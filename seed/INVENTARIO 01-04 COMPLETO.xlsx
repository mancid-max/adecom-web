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mohicanojeans-my.sharepoint.com/personal/controleinventarios_mohicanojeans_onmicrosoft_com/Documents/"/>
    </mc:Choice>
  </mc:AlternateContent>
  <xr:revisionPtr revIDLastSave="7389" documentId="8_{7153A978-015E-4100-A25B-FE4B86BBC307}" xr6:coauthVersionLast="47" xr6:coauthVersionMax="47" xr10:uidLastSave="{FBE356FF-4435-43DF-A6BA-AB12F1304117}"/>
  <bookViews>
    <workbookView xWindow="28680" yWindow="-120" windowWidth="29040" windowHeight="15720" firstSheet="6" activeTab="7" xr2:uid="{DFBB1149-B842-467A-B253-B2263D43B28E}"/>
  </bookViews>
  <sheets>
    <sheet name="cole 37" sheetId="2" r:id="rId1"/>
    <sheet name="cole 38" sheetId="5" r:id="rId2"/>
    <sheet name="cole39" sheetId="6" r:id="rId3"/>
    <sheet name="COLE 40 prima" sheetId="8" r:id="rId4"/>
    <sheet name="COLE 41 Alto v" sheetId="9" r:id="rId5"/>
    <sheet name="COLE 42 otoño" sheetId="4" r:id="rId6"/>
    <sheet name="COLE 43" sheetId="10" r:id="rId7"/>
    <sheet name="COLE 44" sheetId="12" r:id="rId8"/>
    <sheet name="Hoja1" sheetId="13" r:id="rId9"/>
    <sheet name="Resumen" sheetId="11" r:id="rId10"/>
  </sheets>
  <definedNames>
    <definedName name="_xlnm._FilterDatabase" localSheetId="0" hidden="1">'cole 37'!$B$3:$L$3</definedName>
    <definedName name="_xlnm._FilterDatabase" localSheetId="1" hidden="1">'cole 38'!$B$4:$L$4</definedName>
    <definedName name="_xlnm._FilterDatabase" localSheetId="3" hidden="1">'COLE 40 prima'!$B$4:$L$4</definedName>
    <definedName name="_xlnm._FilterDatabase" localSheetId="4" hidden="1">'COLE 41 Alto v'!$B$4:$L$4</definedName>
    <definedName name="_xlnm._FilterDatabase" localSheetId="5" hidden="1">'COLE 42 otoño'!$B$3:$L$82</definedName>
    <definedName name="_xlnm._FilterDatabase" localSheetId="6" hidden="1">'COLE 43'!$C$3:$N$17</definedName>
    <definedName name="_xlnm._FilterDatabase" localSheetId="2" hidden="1">cole39!$B$4:$L$4</definedName>
    <definedName name="_xlnm.Print_Area" localSheetId="6">'COLE 43'!$A$3:$N$17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0" l="1"/>
  <c r="N40" i="10"/>
  <c r="N41" i="10"/>
  <c r="N42" i="10"/>
  <c r="N27" i="10"/>
  <c r="N28" i="10"/>
  <c r="N30" i="10"/>
  <c r="N31" i="10"/>
  <c r="N19" i="10"/>
  <c r="N20" i="10"/>
  <c r="N32" i="10"/>
  <c r="N33" i="10"/>
  <c r="N16" i="10"/>
  <c r="N9" i="10"/>
  <c r="N10" i="10"/>
  <c r="N29" i="10"/>
  <c r="N23" i="10"/>
  <c r="N24" i="10"/>
  <c r="N25" i="10"/>
  <c r="N26" i="10"/>
  <c r="N34" i="10"/>
  <c r="N35" i="10"/>
  <c r="N8" i="10"/>
  <c r="N11" i="10"/>
  <c r="N12" i="10"/>
  <c r="N22" i="10"/>
  <c r="N21" i="10"/>
  <c r="N36" i="10"/>
  <c r="N43" i="10" s="1"/>
  <c r="N38" i="10"/>
  <c r="N39" i="10"/>
  <c r="N14" i="10"/>
  <c r="N18" i="10"/>
  <c r="N13" i="10"/>
  <c r="N6" i="10"/>
  <c r="N5" i="10"/>
  <c r="N7" i="10"/>
  <c r="N17" i="10"/>
  <c r="N40" i="12"/>
  <c r="N19" i="12"/>
  <c r="N20" i="12"/>
  <c r="N21" i="12"/>
  <c r="N17" i="12"/>
  <c r="N15" i="12"/>
  <c r="N11" i="12"/>
  <c r="N12" i="12"/>
  <c r="N18" i="12"/>
  <c r="N13" i="12"/>
  <c r="N10" i="12"/>
  <c r="N7" i="12"/>
  <c r="N4" i="10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16" i="12"/>
  <c r="N8" i="12"/>
  <c r="N14" i="12"/>
  <c r="N5" i="12"/>
  <c r="N6" i="12"/>
  <c r="N9" i="12"/>
  <c r="L9" i="9"/>
  <c r="L8" i="9"/>
  <c r="L11" i="9"/>
  <c r="L14" i="9"/>
  <c r="L10" i="9"/>
  <c r="L12" i="9"/>
  <c r="L15" i="9"/>
  <c r="L34" i="4"/>
  <c r="C11" i="11"/>
  <c r="C9" i="11"/>
  <c r="L19" i="6"/>
  <c r="L34" i="2"/>
  <c r="L31" i="4"/>
  <c r="L68" i="4"/>
  <c r="L72" i="4"/>
  <c r="L22" i="4"/>
  <c r="L67" i="4"/>
  <c r="N15" i="10"/>
  <c r="L58" i="4"/>
  <c r="L18" i="9" l="1"/>
  <c r="L6" i="4"/>
  <c r="L77" i="4"/>
  <c r="L76" i="4"/>
  <c r="L8" i="4"/>
  <c r="L78" i="4"/>
  <c r="L46" i="4"/>
  <c r="L42" i="4"/>
  <c r="L66" i="4"/>
  <c r="L9" i="4"/>
  <c r="L80" i="4"/>
  <c r="L11" i="4"/>
  <c r="L62" i="4"/>
  <c r="L69" i="4"/>
  <c r="L5" i="4"/>
  <c r="L19" i="4"/>
  <c r="L55" i="4"/>
  <c r="L54" i="4"/>
  <c r="L73" i="4"/>
  <c r="L32" i="4"/>
  <c r="L60" i="4"/>
  <c r="L6" i="9"/>
  <c r="L17" i="9"/>
  <c r="L16" i="9"/>
  <c r="L13" i="9"/>
  <c r="L7" i="9"/>
  <c r="L5" i="9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0" i="8"/>
  <c r="L31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8" i="8"/>
  <c r="L9" i="8"/>
  <c r="L7" i="8"/>
  <c r="L6" i="8"/>
  <c r="L5" i="8"/>
  <c r="L50" i="8" s="1"/>
  <c r="C8" i="11" s="1"/>
  <c r="L15" i="6"/>
  <c r="L5" i="6"/>
  <c r="L11" i="6"/>
  <c r="L12" i="6"/>
  <c r="L10" i="6"/>
  <c r="L6" i="6"/>
  <c r="L9" i="6"/>
  <c r="L8" i="6"/>
  <c r="L14" i="6"/>
  <c r="L13" i="6"/>
  <c r="L7" i="6"/>
  <c r="L17" i="5"/>
  <c r="L16" i="5"/>
  <c r="L11" i="5"/>
  <c r="L10" i="5"/>
  <c r="L12" i="5"/>
  <c r="L13" i="5"/>
  <c r="L5" i="5"/>
  <c r="L14" i="5"/>
  <c r="L9" i="5"/>
  <c r="L15" i="5"/>
  <c r="L18" i="5"/>
  <c r="L7" i="5"/>
  <c r="L6" i="5"/>
  <c r="L19" i="5"/>
  <c r="L8" i="5"/>
  <c r="L11" i="2"/>
  <c r="L10" i="2"/>
  <c r="L7" i="2"/>
  <c r="L8" i="2"/>
  <c r="L6" i="2"/>
  <c r="L21" i="2"/>
  <c r="L4" i="2"/>
  <c r="L17" i="2"/>
  <c r="L15" i="2"/>
  <c r="L25" i="2"/>
  <c r="L30" i="2"/>
  <c r="L16" i="2"/>
  <c r="L29" i="2"/>
  <c r="L14" i="2"/>
  <c r="L20" i="2"/>
  <c r="L24" i="2"/>
  <c r="L26" i="2"/>
  <c r="L31" i="2"/>
  <c r="L22" i="2"/>
  <c r="L23" i="2"/>
  <c r="L13" i="2"/>
  <c r="L28" i="2"/>
  <c r="L18" i="2"/>
  <c r="L19" i="2"/>
  <c r="L5" i="2"/>
  <c r="L9" i="2"/>
  <c r="L27" i="2"/>
  <c r="L12" i="2"/>
  <c r="L41" i="4"/>
  <c r="L81" i="4"/>
  <c r="L61" i="4"/>
  <c r="L50" i="4"/>
  <c r="L30" i="4"/>
  <c r="L43" i="4"/>
  <c r="L47" i="4"/>
  <c r="L57" i="4"/>
  <c r="L7" i="4"/>
  <c r="L27" i="4"/>
  <c r="L25" i="4"/>
  <c r="L29" i="4"/>
  <c r="L48" i="4"/>
  <c r="L53" i="4"/>
  <c r="L40" i="4"/>
  <c r="L44" i="4"/>
  <c r="L17" i="4"/>
  <c r="L59" i="4"/>
  <c r="L56" i="4"/>
  <c r="L20" i="4"/>
  <c r="L26" i="4"/>
  <c r="L63" i="4"/>
  <c r="L39" i="4"/>
  <c r="L45" i="4"/>
  <c r="L51" i="4"/>
  <c r="L4" i="4"/>
  <c r="L12" i="4"/>
  <c r="L16" i="4"/>
  <c r="L18" i="4"/>
  <c r="L33" i="4"/>
  <c r="L79" i="4"/>
  <c r="L24" i="4"/>
  <c r="L36" i="4"/>
  <c r="L52" i="4"/>
  <c r="L35" i="4"/>
  <c r="L74" i="4"/>
  <c r="L13" i="4"/>
  <c r="L49" i="4"/>
  <c r="L15" i="4"/>
  <c r="L28" i="4"/>
  <c r="L37" i="4"/>
  <c r="L65" i="4"/>
  <c r="L10" i="4"/>
  <c r="L14" i="4"/>
  <c r="L75" i="4"/>
  <c r="L64" i="4"/>
  <c r="L38" i="4"/>
  <c r="L70" i="4"/>
  <c r="L71" i="4"/>
  <c r="L23" i="4"/>
  <c r="L21" i="4"/>
  <c r="L21" i="9" l="1"/>
  <c r="C7" i="11" s="1"/>
  <c r="L22" i="5"/>
  <c r="C10" i="11" s="1"/>
  <c r="C5" i="11"/>
  <c r="L84" i="4"/>
  <c r="C6" i="11" s="1"/>
  <c r="C16" i="11" s="1"/>
</calcChain>
</file>

<file path=xl/sharedStrings.xml><?xml version="1.0" encoding="utf-8"?>
<sst xmlns="http://schemas.openxmlformats.org/spreadsheetml/2006/main" count="775" uniqueCount="198">
  <si>
    <t>INVENTARIO COLECCIÓN 37</t>
  </si>
  <si>
    <t>CODIGO</t>
  </si>
  <si>
    <t>TIRO</t>
  </si>
  <si>
    <t>BOTA</t>
  </si>
  <si>
    <t>COLOR</t>
  </si>
  <si>
    <t>TOTAL</t>
  </si>
  <si>
    <t>372801</t>
  </si>
  <si>
    <t>CINTURA</t>
  </si>
  <si>
    <t>PITILLO</t>
  </si>
  <si>
    <t>376501</t>
  </si>
  <si>
    <t>TOBILLERO</t>
  </si>
  <si>
    <t>373200</t>
  </si>
  <si>
    <t>FLARE</t>
  </si>
  <si>
    <t>373300</t>
  </si>
  <si>
    <t>373600</t>
  </si>
  <si>
    <t>MEDIO</t>
  </si>
  <si>
    <t>375201</t>
  </si>
  <si>
    <t>053749</t>
  </si>
  <si>
    <t>FALDA</t>
  </si>
  <si>
    <t>373400</t>
  </si>
  <si>
    <t>OXFORD</t>
  </si>
  <si>
    <t>376800</t>
  </si>
  <si>
    <t>RECTO</t>
  </si>
  <si>
    <t>375301</t>
  </si>
  <si>
    <t>374506</t>
  </si>
  <si>
    <t>372100</t>
  </si>
  <si>
    <t>376400</t>
  </si>
  <si>
    <t>372600</t>
  </si>
  <si>
    <t>378700</t>
  </si>
  <si>
    <t>PALAZZO</t>
  </si>
  <si>
    <t>374000</t>
  </si>
  <si>
    <t>377700</t>
  </si>
  <si>
    <t>376900</t>
  </si>
  <si>
    <t>371300</t>
  </si>
  <si>
    <t>376300</t>
  </si>
  <si>
    <t>376600</t>
  </si>
  <si>
    <t>371100</t>
  </si>
  <si>
    <t>372300</t>
  </si>
  <si>
    <t>315700</t>
  </si>
  <si>
    <t>375300</t>
  </si>
  <si>
    <t>5370800</t>
  </si>
  <si>
    <t>5378300</t>
  </si>
  <si>
    <t>376000</t>
  </si>
  <si>
    <t>INVENTARIO COLECCIÓN 38</t>
  </si>
  <si>
    <t>INVENTARIO COLECCIÓN 39</t>
  </si>
  <si>
    <t>394001</t>
  </si>
  <si>
    <t>CARGO</t>
  </si>
  <si>
    <t>397100</t>
  </si>
  <si>
    <t>395400</t>
  </si>
  <si>
    <t>390600</t>
  </si>
  <si>
    <t>393700</t>
  </si>
  <si>
    <t>396000</t>
  </si>
  <si>
    <t>394400</t>
  </si>
  <si>
    <t>390500</t>
  </si>
  <si>
    <t>394100</t>
  </si>
  <si>
    <t>392101</t>
  </si>
  <si>
    <t>391501</t>
  </si>
  <si>
    <t>INVENTARIO COLECCIÓN 40</t>
  </si>
  <si>
    <t>4004-00</t>
  </si>
  <si>
    <t>4021-90</t>
  </si>
  <si>
    <t>4059</t>
  </si>
  <si>
    <t>NEGRO</t>
  </si>
  <si>
    <t>4066</t>
  </si>
  <si>
    <t>4062-00</t>
  </si>
  <si>
    <t>4009</t>
  </si>
  <si>
    <t>4063</t>
  </si>
  <si>
    <t>PALAZZO CGO</t>
  </si>
  <si>
    <t>4002</t>
  </si>
  <si>
    <t>4016</t>
  </si>
  <si>
    <t>PITILLO    (BLUE)</t>
  </si>
  <si>
    <t>BIOMEDIOFOCALIZADO</t>
  </si>
  <si>
    <t>4012-01</t>
  </si>
  <si>
    <t>4024</t>
  </si>
  <si>
    <t>4060-06</t>
  </si>
  <si>
    <t>4051</t>
  </si>
  <si>
    <t>4002-01</t>
  </si>
  <si>
    <t>4023</t>
  </si>
  <si>
    <t>4007</t>
  </si>
  <si>
    <t>4019</t>
  </si>
  <si>
    <t>4011</t>
  </si>
  <si>
    <t>4059-01</t>
  </si>
  <si>
    <t>4060-00</t>
  </si>
  <si>
    <t>4061-00</t>
  </si>
  <si>
    <t>4021</t>
  </si>
  <si>
    <t>PTILLO</t>
  </si>
  <si>
    <t>4066-60</t>
  </si>
  <si>
    <t>4017</t>
  </si>
  <si>
    <t>4023-90</t>
  </si>
  <si>
    <t>PITILLO GLITTER</t>
  </si>
  <si>
    <t>4052</t>
  </si>
  <si>
    <t>4070-00</t>
  </si>
  <si>
    <t>4027-01</t>
  </si>
  <si>
    <t>4001</t>
  </si>
  <si>
    <t>4008</t>
  </si>
  <si>
    <t>4010</t>
  </si>
  <si>
    <t>4011-01</t>
  </si>
  <si>
    <t>PITILLP</t>
  </si>
  <si>
    <t>4013</t>
  </si>
  <si>
    <t>4015</t>
  </si>
  <si>
    <t>4018</t>
  </si>
  <si>
    <t>4027</t>
  </si>
  <si>
    <t>4029</t>
  </si>
  <si>
    <t>4036</t>
  </si>
  <si>
    <t>4042-00</t>
  </si>
  <si>
    <t>4057</t>
  </si>
  <si>
    <t>4061-06</t>
  </si>
  <si>
    <t>4064-01</t>
  </si>
  <si>
    <t>4065-38</t>
  </si>
  <si>
    <t>PITILLO OSTRA</t>
  </si>
  <si>
    <t>4065-60</t>
  </si>
  <si>
    <t>PALAZZO TACHAS</t>
  </si>
  <si>
    <t>4076</t>
  </si>
  <si>
    <t>INVENTARIO COLECCIÓN 41</t>
  </si>
  <si>
    <t>16:00HRS</t>
  </si>
  <si>
    <t>4113-00</t>
  </si>
  <si>
    <t>05-4119</t>
  </si>
  <si>
    <t>MINI</t>
  </si>
  <si>
    <t>4188-00</t>
  </si>
  <si>
    <t>4148-00</t>
  </si>
  <si>
    <t xml:space="preserve">CINTURA </t>
  </si>
  <si>
    <t>4188-90</t>
  </si>
  <si>
    <t>GLITTER</t>
  </si>
  <si>
    <t>4158-00</t>
  </si>
  <si>
    <t>4125-00</t>
  </si>
  <si>
    <t>4116-00</t>
  </si>
  <si>
    <t>4177-08</t>
  </si>
  <si>
    <t>OCRE</t>
  </si>
  <si>
    <t>4147-60</t>
  </si>
  <si>
    <t>COLOR TACHAS</t>
  </si>
  <si>
    <t>4108-00</t>
  </si>
  <si>
    <t>4166-00</t>
  </si>
  <si>
    <t>4109</t>
  </si>
  <si>
    <t>INVENTARIO COLECCIÓN 42</t>
  </si>
  <si>
    <t>bLUE</t>
  </si>
  <si>
    <t>MARENGO</t>
  </si>
  <si>
    <t>BLUE</t>
  </si>
  <si>
    <t>GRAVILLADO GRIS</t>
  </si>
  <si>
    <t>BIOMEDIO FOCALIZ</t>
  </si>
  <si>
    <t>OXIDADO LASER</t>
  </si>
  <si>
    <t>BIOMEDIO</t>
  </si>
  <si>
    <t>CLARO</t>
  </si>
  <si>
    <t>GRIS</t>
  </si>
  <si>
    <t>OXIDADO</t>
  </si>
  <si>
    <t>RECTO TOBI</t>
  </si>
  <si>
    <t>BOTON DIFERENTE</t>
  </si>
  <si>
    <t>GLITER</t>
  </si>
  <si>
    <t>GRAVILLADO  L</t>
  </si>
  <si>
    <t>BOTON  NEGRO</t>
  </si>
  <si>
    <t>BLACK BLUE LASER</t>
  </si>
  <si>
    <t>GRAVILLADO</t>
  </si>
  <si>
    <t xml:space="preserve">MEDIO </t>
  </si>
  <si>
    <t>BURDEO</t>
  </si>
  <si>
    <t>VERDE MENTA</t>
  </si>
  <si>
    <t>CAFE</t>
  </si>
  <si>
    <t>TACHAS</t>
  </si>
  <si>
    <t xml:space="preserve"> </t>
  </si>
  <si>
    <t>OSCURO</t>
  </si>
  <si>
    <t xml:space="preserve">  </t>
  </si>
  <si>
    <t>INVENTARIO COLECCIÓN 43</t>
  </si>
  <si>
    <t>TELA</t>
  </si>
  <si>
    <t>B2868V-3</t>
  </si>
  <si>
    <t>WIDE LEG CROP</t>
  </si>
  <si>
    <t>PUGLIA</t>
  </si>
  <si>
    <t>BIO OSCURO</t>
  </si>
  <si>
    <t>TRASPASAR</t>
  </si>
  <si>
    <t>NEW GLUE</t>
  </si>
  <si>
    <t xml:space="preserve">CAFE </t>
  </si>
  <si>
    <t>YASMIN</t>
  </si>
  <si>
    <t>WIDE  LEG</t>
  </si>
  <si>
    <t>MISSY PLUS</t>
  </si>
  <si>
    <t>GRIS FOCALIZADO</t>
  </si>
  <si>
    <t>AYLA</t>
  </si>
  <si>
    <t>OPAQUE</t>
  </si>
  <si>
    <t>WIDE LEG</t>
  </si>
  <si>
    <t>4370-04</t>
  </si>
  <si>
    <t>PATRICIA DARK</t>
  </si>
  <si>
    <t>BEIGE</t>
  </si>
  <si>
    <t xml:space="preserve">WIDE LEG </t>
  </si>
  <si>
    <t>CAFE ANIMAL PRINT</t>
  </si>
  <si>
    <t>PUSHIN PUSH UP</t>
  </si>
  <si>
    <t>GRIS TACHAS</t>
  </si>
  <si>
    <t>VERDE OLIVA</t>
  </si>
  <si>
    <t>BICOLOR</t>
  </si>
  <si>
    <t>INVENTARIO COLECCIÓN 44</t>
  </si>
  <si>
    <t>BIO MEDIO</t>
  </si>
  <si>
    <t>CELESTE</t>
  </si>
  <si>
    <t>NEW G MIX BLACK</t>
  </si>
  <si>
    <t>NEW GLUE BLUE</t>
  </si>
  <si>
    <t>TOBILLOERO</t>
  </si>
  <si>
    <t>re</t>
  </si>
  <si>
    <t>Resumen</t>
  </si>
  <si>
    <t>Cole 43</t>
  </si>
  <si>
    <t>Cole 42</t>
  </si>
  <si>
    <t>Cole 41</t>
  </si>
  <si>
    <t>Cole 40</t>
  </si>
  <si>
    <t>CoLe 39</t>
  </si>
  <si>
    <t>Cole 38</t>
  </si>
  <si>
    <t>Cole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</si>
</sst>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B9D7EA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AD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/>
      <bottom style="thin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2" borderId="5" xfId="0" applyFill="1" applyBorder="1"/>
    <xf numFmtId="0" fontId="0" fillId="7" borderId="4" xfId="0" applyFill="1" applyBorder="1"/>
    <xf numFmtId="0" fontId="0" fillId="0" borderId="5" xfId="0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6" borderId="4" xfId="0" applyFill="1" applyBorder="1"/>
    <xf numFmtId="0" fontId="0" fillId="5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9" fontId="0" fillId="0" borderId="24" xfId="0" applyNumberFormat="1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0" fillId="0" borderId="16" xfId="0" applyNumberFormat="1" applyBorder="1" applyAlignment="1">
      <alignment horizontal="right" vertical="center"/>
    </xf>
    <xf numFmtId="49" fontId="0" fillId="0" borderId="18" xfId="0" applyNumberFormat="1" applyBorder="1" applyAlignment="1">
      <alignment horizontal="right" vertical="center"/>
    </xf>
    <xf numFmtId="0" fontId="2" fillId="4" borderId="12" xfId="0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left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left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5" borderId="4" xfId="0" applyFill="1" applyBorder="1"/>
    <xf numFmtId="0" fontId="0" fillId="5" borderId="1" xfId="0" applyFill="1" applyBorder="1"/>
    <xf numFmtId="0" fontId="0" fillId="6" borderId="16" xfId="0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/>
    <xf numFmtId="0" fontId="0" fillId="6" borderId="21" xfId="0" applyFill="1" applyBorder="1" applyAlignment="1">
      <alignment horizontal="right" vertical="center"/>
    </xf>
    <xf numFmtId="0" fontId="0" fillId="6" borderId="18" xfId="0" applyFill="1" applyBorder="1" applyAlignment="1">
      <alignment horizontal="right" vertical="center"/>
    </xf>
    <xf numFmtId="0" fontId="0" fillId="8" borderId="16" xfId="0" applyFill="1" applyBorder="1" applyAlignment="1">
      <alignment horizontal="right" vertical="center"/>
    </xf>
    <xf numFmtId="49" fontId="0" fillId="6" borderId="4" xfId="0" applyNumberFormat="1" applyFill="1" applyBorder="1" applyAlignment="1">
      <alignment horizontal="left" vertical="center"/>
    </xf>
    <xf numFmtId="49" fontId="0" fillId="6" borderId="12" xfId="0" applyNumberForma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49" fontId="0" fillId="6" borderId="14" xfId="0" applyNumberFormat="1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left" indent="1"/>
    </xf>
    <xf numFmtId="0" fontId="0" fillId="2" borderId="4" xfId="0" applyFill="1" applyBorder="1"/>
    <xf numFmtId="0" fontId="0" fillId="2" borderId="15" xfId="0" applyFill="1" applyBorder="1" applyAlignment="1">
      <alignment horizontal="center" vertical="center"/>
    </xf>
    <xf numFmtId="0" fontId="0" fillId="0" borderId="15" xfId="0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4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4" xfId="0" applyFill="1" applyBorder="1"/>
    <xf numFmtId="0" fontId="0" fillId="2" borderId="32" xfId="0" applyFill="1" applyBorder="1"/>
    <xf numFmtId="0" fontId="0" fillId="2" borderId="3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4" xfId="0" applyFill="1" applyBorder="1"/>
    <xf numFmtId="0" fontId="1" fillId="10" borderId="33" xfId="0" applyFont="1" applyFill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0" borderId="1" xfId="0" applyFill="1" applyBorder="1"/>
    <xf numFmtId="0" fontId="0" fillId="0" borderId="15" xfId="0" applyFill="1" applyBorder="1"/>
    <xf numFmtId="0" fontId="0" fillId="0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9" borderId="0" xfId="0" applyFill="1" applyBorder="1"/>
    <xf numFmtId="0" fontId="0" fillId="6" borderId="36" xfId="0" applyFill="1" applyBorder="1" applyAlignment="1">
      <alignment horizontal="center"/>
    </xf>
    <xf numFmtId="0" fontId="0" fillId="0" borderId="12" xfId="0" applyBorder="1"/>
    <xf numFmtId="0" fontId="0" fillId="0" borderId="31" xfId="0" applyFill="1" applyBorder="1" applyAlignment="1">
      <alignment horizontal="center"/>
    </xf>
    <xf numFmtId="0" fontId="0" fillId="0" borderId="5" xfId="0" applyFill="1" applyBorder="1"/>
    <xf numFmtId="0" fontId="0" fillId="0" borderId="37" xfId="0" applyFill="1" applyBorder="1"/>
    <xf numFmtId="0" fontId="0" fillId="0" borderId="14" xfId="0" applyBorder="1"/>
    <xf numFmtId="0" fontId="0" fillId="0" borderId="35" xfId="0" applyBorder="1" applyAlignment="1">
      <alignment horizontal="center"/>
    </xf>
    <xf numFmtId="0" fontId="0" fillId="0" borderId="4" xfId="0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38" xfId="0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3" xfId="0" applyBorder="1"/>
    <xf numFmtId="0" fontId="0" fillId="0" borderId="13" xfId="0" applyFill="1" applyBorder="1"/>
    <xf numFmtId="0" fontId="0" fillId="0" borderId="0" xfId="0" applyAlignment="1"/>
    <xf numFmtId="0" fontId="0" fillId="0" borderId="7" xfId="0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ADE"/>
      <color rgb="FFF3F7B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918944A-690C-4FAF-86C7-D4C8095E14EF}">
  <we:reference id="WA200005271" version="2.6.1.0" store="Ome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5D77760-8E18-40C7-8A74-60553030A2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0ce5e7d-37f8-469c-9f6f-1a80d8974e8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535F-634B-4933-81FF-529A98082563}">
  <dimension ref="B2:L34"/>
  <sheetViews>
    <sheetView topLeftCell="A23" workbookViewId="0">
      <selection activeCell="B4" sqref="B4"/>
    </sheetView>
  </sheetViews>
  <sheetFormatPr defaultColWidth="11.42578125" defaultRowHeight="14.45"/>
  <sheetData>
    <row r="2" spans="2:12" ht="18.600000000000001">
      <c r="B2" s="87" t="s">
        <v>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2:12">
      <c r="B3" s="40" t="s">
        <v>1</v>
      </c>
      <c r="C3" s="40" t="s">
        <v>2</v>
      </c>
      <c r="D3" s="40" t="s">
        <v>3</v>
      </c>
      <c r="E3" s="40" t="s">
        <v>4</v>
      </c>
      <c r="F3" s="40">
        <v>36</v>
      </c>
      <c r="G3" s="40">
        <v>38</v>
      </c>
      <c r="H3" s="40">
        <v>40</v>
      </c>
      <c r="I3" s="40">
        <v>42</v>
      </c>
      <c r="J3" s="40">
        <v>44</v>
      </c>
      <c r="K3" s="40">
        <v>46</v>
      </c>
      <c r="L3" s="40" t="s">
        <v>5</v>
      </c>
    </row>
    <row r="4" spans="2:12">
      <c r="B4" s="35" t="s">
        <v>6</v>
      </c>
      <c r="C4" s="36" t="s">
        <v>7</v>
      </c>
      <c r="D4" s="36" t="s">
        <v>8</v>
      </c>
      <c r="E4" s="36"/>
      <c r="F4" s="36">
        <v>18</v>
      </c>
      <c r="G4" s="36">
        <v>28</v>
      </c>
      <c r="H4" s="36">
        <v>9</v>
      </c>
      <c r="I4" s="36">
        <v>6</v>
      </c>
      <c r="J4" s="36"/>
      <c r="K4" s="36"/>
      <c r="L4" s="37">
        <f t="shared" ref="L4:L31" si="0">SUM(F4:K4)</f>
        <v>61</v>
      </c>
    </row>
    <row r="5" spans="2:12">
      <c r="B5" s="38" t="s">
        <v>9</v>
      </c>
      <c r="C5" s="5" t="s">
        <v>7</v>
      </c>
      <c r="D5" s="5" t="s">
        <v>10</v>
      </c>
      <c r="E5" s="5"/>
      <c r="F5" s="5">
        <v>27</v>
      </c>
      <c r="G5" s="5">
        <v>12</v>
      </c>
      <c r="H5" s="5">
        <v>6</v>
      </c>
      <c r="I5" s="5"/>
      <c r="J5" s="5"/>
      <c r="K5" s="5"/>
      <c r="L5" s="26">
        <f t="shared" si="0"/>
        <v>45</v>
      </c>
    </row>
    <row r="6" spans="2:12">
      <c r="B6" s="38" t="s">
        <v>11</v>
      </c>
      <c r="C6" s="5" t="s">
        <v>7</v>
      </c>
      <c r="D6" s="5" t="s">
        <v>12</v>
      </c>
      <c r="E6" s="5"/>
      <c r="F6" s="5">
        <v>28</v>
      </c>
      <c r="G6" s="5"/>
      <c r="H6" s="5">
        <v>3</v>
      </c>
      <c r="I6" s="5"/>
      <c r="J6" s="5"/>
      <c r="K6" s="5">
        <v>3</v>
      </c>
      <c r="L6" s="26">
        <f t="shared" si="0"/>
        <v>34</v>
      </c>
    </row>
    <row r="7" spans="2:12">
      <c r="B7" s="38" t="s">
        <v>13</v>
      </c>
      <c r="C7" s="5" t="s">
        <v>7</v>
      </c>
      <c r="D7" s="5" t="s">
        <v>10</v>
      </c>
      <c r="E7" s="5"/>
      <c r="F7" s="5"/>
      <c r="G7" s="5"/>
      <c r="H7" s="5"/>
      <c r="I7" s="5"/>
      <c r="J7" s="5">
        <v>22</v>
      </c>
      <c r="K7" s="5">
        <v>8</v>
      </c>
      <c r="L7" s="26">
        <f t="shared" si="0"/>
        <v>30</v>
      </c>
    </row>
    <row r="8" spans="2:12">
      <c r="B8" s="38" t="s">
        <v>14</v>
      </c>
      <c r="C8" s="5" t="s">
        <v>15</v>
      </c>
      <c r="D8" s="5" t="s">
        <v>8</v>
      </c>
      <c r="E8" s="5"/>
      <c r="F8" s="5">
        <v>14</v>
      </c>
      <c r="G8" s="5">
        <v>13</v>
      </c>
      <c r="H8" s="5"/>
      <c r="I8" s="5"/>
      <c r="J8" s="5">
        <v>1</v>
      </c>
      <c r="K8" s="5"/>
      <c r="L8" s="26">
        <f t="shared" si="0"/>
        <v>28</v>
      </c>
    </row>
    <row r="9" spans="2:12">
      <c r="B9" s="38" t="s">
        <v>16</v>
      </c>
      <c r="C9" s="5" t="s">
        <v>7</v>
      </c>
      <c r="D9" s="5" t="s">
        <v>8</v>
      </c>
      <c r="E9" s="5"/>
      <c r="F9" s="5"/>
      <c r="G9" s="5"/>
      <c r="H9" s="5"/>
      <c r="I9" s="5"/>
      <c r="J9" s="5">
        <v>15</v>
      </c>
      <c r="K9" s="5"/>
      <c r="L9" s="26">
        <f t="shared" si="0"/>
        <v>15</v>
      </c>
    </row>
    <row r="10" spans="2:12">
      <c r="B10" s="38" t="s">
        <v>17</v>
      </c>
      <c r="C10" s="5" t="s">
        <v>18</v>
      </c>
      <c r="D10" s="5"/>
      <c r="E10" s="5"/>
      <c r="F10" s="5"/>
      <c r="G10" s="5">
        <v>2</v>
      </c>
      <c r="H10" s="5">
        <v>4</v>
      </c>
      <c r="I10" s="5">
        <v>4</v>
      </c>
      <c r="J10" s="5">
        <v>4</v>
      </c>
      <c r="K10" s="5">
        <v>1</v>
      </c>
      <c r="L10" s="26">
        <f t="shared" si="0"/>
        <v>15</v>
      </c>
    </row>
    <row r="11" spans="2:12">
      <c r="B11" s="38" t="s">
        <v>19</v>
      </c>
      <c r="C11" s="5" t="s">
        <v>15</v>
      </c>
      <c r="D11" s="5" t="s">
        <v>20</v>
      </c>
      <c r="E11" s="5"/>
      <c r="F11" s="5">
        <v>14</v>
      </c>
      <c r="G11" s="5"/>
      <c r="H11" s="5"/>
      <c r="I11" s="5"/>
      <c r="J11" s="5"/>
      <c r="K11" s="5"/>
      <c r="L11" s="26">
        <f t="shared" si="0"/>
        <v>14</v>
      </c>
    </row>
    <row r="12" spans="2:12">
      <c r="B12" s="38" t="s">
        <v>21</v>
      </c>
      <c r="C12" s="5" t="s">
        <v>7</v>
      </c>
      <c r="D12" s="5" t="s">
        <v>22</v>
      </c>
      <c r="E12" s="5"/>
      <c r="F12" s="5">
        <v>7</v>
      </c>
      <c r="G12" s="5">
        <v>6</v>
      </c>
      <c r="H12" s="5"/>
      <c r="I12" s="5"/>
      <c r="J12" s="5"/>
      <c r="K12" s="5"/>
      <c r="L12" s="26">
        <f t="shared" si="0"/>
        <v>13</v>
      </c>
    </row>
    <row r="13" spans="2:12">
      <c r="B13" s="38" t="s">
        <v>23</v>
      </c>
      <c r="C13" s="5" t="s">
        <v>7</v>
      </c>
      <c r="D13" s="5" t="s">
        <v>8</v>
      </c>
      <c r="E13" s="5"/>
      <c r="F13" s="5"/>
      <c r="G13" s="5"/>
      <c r="H13" s="5">
        <v>5</v>
      </c>
      <c r="I13" s="5">
        <v>6</v>
      </c>
      <c r="J13" s="5">
        <v>1</v>
      </c>
      <c r="K13" s="5"/>
      <c r="L13" s="26">
        <f t="shared" si="0"/>
        <v>12</v>
      </c>
    </row>
    <row r="14" spans="2:12">
      <c r="B14" s="38" t="s">
        <v>24</v>
      </c>
      <c r="C14" s="5" t="s">
        <v>7</v>
      </c>
      <c r="D14" s="5" t="s">
        <v>8</v>
      </c>
      <c r="E14" s="5"/>
      <c r="F14" s="5">
        <v>0</v>
      </c>
      <c r="G14" s="5">
        <v>0</v>
      </c>
      <c r="H14" s="5">
        <v>0</v>
      </c>
      <c r="I14" s="5">
        <v>5</v>
      </c>
      <c r="J14" s="5">
        <v>4</v>
      </c>
      <c r="K14" s="5">
        <v>3</v>
      </c>
      <c r="L14" s="26">
        <f t="shared" si="0"/>
        <v>12</v>
      </c>
    </row>
    <row r="15" spans="2:12">
      <c r="B15" s="38" t="s">
        <v>25</v>
      </c>
      <c r="C15" s="5" t="s">
        <v>7</v>
      </c>
      <c r="D15" s="5" t="s">
        <v>8</v>
      </c>
      <c r="E15" s="5"/>
      <c r="F15" s="5">
        <v>11</v>
      </c>
      <c r="G15" s="5">
        <v>1</v>
      </c>
      <c r="H15" s="5"/>
      <c r="I15" s="5"/>
      <c r="J15" s="5"/>
      <c r="K15" s="5"/>
      <c r="L15" s="26">
        <f t="shared" si="0"/>
        <v>12</v>
      </c>
    </row>
    <row r="16" spans="2:12">
      <c r="B16" s="38" t="s">
        <v>26</v>
      </c>
      <c r="C16" s="5" t="s">
        <v>7</v>
      </c>
      <c r="D16" s="5" t="s">
        <v>12</v>
      </c>
      <c r="E16" s="5"/>
      <c r="F16" s="5"/>
      <c r="G16" s="5"/>
      <c r="H16" s="5"/>
      <c r="I16" s="5"/>
      <c r="J16" s="5"/>
      <c r="K16" s="5">
        <v>11</v>
      </c>
      <c r="L16" s="26">
        <f t="shared" si="0"/>
        <v>11</v>
      </c>
    </row>
    <row r="17" spans="2:12">
      <c r="B17" s="38" t="s">
        <v>27</v>
      </c>
      <c r="C17" s="5" t="s">
        <v>7</v>
      </c>
      <c r="D17" s="5" t="s">
        <v>22</v>
      </c>
      <c r="E17" s="5"/>
      <c r="F17" s="5"/>
      <c r="G17" s="5">
        <v>3</v>
      </c>
      <c r="H17" s="5">
        <v>3</v>
      </c>
      <c r="I17" s="5">
        <v>1</v>
      </c>
      <c r="J17" s="5">
        <v>2</v>
      </c>
      <c r="K17" s="5">
        <v>1</v>
      </c>
      <c r="L17" s="26">
        <f t="shared" si="0"/>
        <v>10</v>
      </c>
    </row>
    <row r="18" spans="2:12">
      <c r="B18" s="38" t="s">
        <v>28</v>
      </c>
      <c r="C18" s="5" t="s">
        <v>7</v>
      </c>
      <c r="D18" s="5" t="s">
        <v>29</v>
      </c>
      <c r="E18" s="5"/>
      <c r="F18" s="5">
        <v>9</v>
      </c>
      <c r="G18" s="5"/>
      <c r="H18" s="5"/>
      <c r="I18" s="5"/>
      <c r="J18" s="5"/>
      <c r="K18" s="5"/>
      <c r="L18" s="26">
        <f t="shared" si="0"/>
        <v>9</v>
      </c>
    </row>
    <row r="19" spans="2:12">
      <c r="B19" s="38" t="s">
        <v>30</v>
      </c>
      <c r="C19" s="5" t="s">
        <v>7</v>
      </c>
      <c r="D19" s="5" t="s">
        <v>12</v>
      </c>
      <c r="E19" s="5"/>
      <c r="F19" s="5">
        <v>2</v>
      </c>
      <c r="G19" s="5">
        <v>1</v>
      </c>
      <c r="H19" s="5">
        <v>5</v>
      </c>
      <c r="I19" s="5"/>
      <c r="J19" s="5"/>
      <c r="K19" s="5"/>
      <c r="L19" s="26">
        <f t="shared" si="0"/>
        <v>8</v>
      </c>
    </row>
    <row r="20" spans="2:12">
      <c r="B20" s="38" t="s">
        <v>31</v>
      </c>
      <c r="C20" s="5" t="s">
        <v>7</v>
      </c>
      <c r="D20" s="5" t="s">
        <v>20</v>
      </c>
      <c r="E20" s="5"/>
      <c r="F20" s="5">
        <v>1</v>
      </c>
      <c r="G20" s="5"/>
      <c r="H20" s="5">
        <v>2</v>
      </c>
      <c r="I20" s="5">
        <v>2</v>
      </c>
      <c r="J20" s="5">
        <v>1</v>
      </c>
      <c r="K20" s="5">
        <v>1</v>
      </c>
      <c r="L20" s="26">
        <f t="shared" si="0"/>
        <v>7</v>
      </c>
    </row>
    <row r="21" spans="2:12">
      <c r="B21" s="38" t="s">
        <v>32</v>
      </c>
      <c r="C21" s="5" t="s">
        <v>7</v>
      </c>
      <c r="D21" s="5" t="s">
        <v>29</v>
      </c>
      <c r="E21" s="5"/>
      <c r="F21" s="5"/>
      <c r="G21" s="5"/>
      <c r="H21" s="5"/>
      <c r="I21" s="5">
        <v>7</v>
      </c>
      <c r="J21" s="5"/>
      <c r="K21" s="5"/>
      <c r="L21" s="26">
        <f t="shared" si="0"/>
        <v>7</v>
      </c>
    </row>
    <row r="22" spans="2:12">
      <c r="B22" s="38" t="s">
        <v>33</v>
      </c>
      <c r="C22" s="5" t="s">
        <v>7</v>
      </c>
      <c r="D22" s="5" t="s">
        <v>8</v>
      </c>
      <c r="E22" s="5"/>
      <c r="F22" s="5"/>
      <c r="G22" s="5"/>
      <c r="H22" s="5"/>
      <c r="I22" s="5"/>
      <c r="J22" s="5"/>
      <c r="K22" s="5">
        <v>6</v>
      </c>
      <c r="L22" s="26">
        <f t="shared" si="0"/>
        <v>6</v>
      </c>
    </row>
    <row r="23" spans="2:12">
      <c r="B23" s="38" t="s">
        <v>34</v>
      </c>
      <c r="C23" s="5" t="s">
        <v>15</v>
      </c>
      <c r="D23" s="5" t="s">
        <v>10</v>
      </c>
      <c r="E23" s="5"/>
      <c r="F23" s="5">
        <v>5</v>
      </c>
      <c r="G23" s="5"/>
      <c r="H23" s="5"/>
      <c r="I23" s="5"/>
      <c r="J23" s="5"/>
      <c r="K23" s="5"/>
      <c r="L23" s="26">
        <f t="shared" si="0"/>
        <v>5</v>
      </c>
    </row>
    <row r="24" spans="2:12">
      <c r="B24" s="38" t="s">
        <v>35</v>
      </c>
      <c r="C24" s="5" t="s">
        <v>15</v>
      </c>
      <c r="D24" s="5" t="s">
        <v>8</v>
      </c>
      <c r="E24" s="5"/>
      <c r="F24" s="5">
        <v>5</v>
      </c>
      <c r="G24" s="5"/>
      <c r="H24" s="5"/>
      <c r="I24" s="5"/>
      <c r="J24" s="5"/>
      <c r="K24" s="5"/>
      <c r="L24" s="26">
        <f t="shared" si="0"/>
        <v>5</v>
      </c>
    </row>
    <row r="25" spans="2:12">
      <c r="B25" s="38" t="s">
        <v>36</v>
      </c>
      <c r="C25" s="5" t="s">
        <v>7</v>
      </c>
      <c r="D25" s="5" t="s">
        <v>12</v>
      </c>
      <c r="E25" s="5"/>
      <c r="F25" s="5">
        <v>4</v>
      </c>
      <c r="G25" s="5"/>
      <c r="H25" s="5"/>
      <c r="I25" s="5"/>
      <c r="J25" s="5"/>
      <c r="K25" s="5"/>
      <c r="L25" s="26">
        <f t="shared" si="0"/>
        <v>4</v>
      </c>
    </row>
    <row r="26" spans="2:12">
      <c r="B26" s="38" t="s">
        <v>37</v>
      </c>
      <c r="C26" s="5" t="s">
        <v>7</v>
      </c>
      <c r="D26" s="5" t="s">
        <v>12</v>
      </c>
      <c r="E26" s="5"/>
      <c r="F26" s="5"/>
      <c r="G26" s="5"/>
      <c r="H26" s="5"/>
      <c r="I26" s="5"/>
      <c r="J26" s="5"/>
      <c r="K26" s="5">
        <v>3</v>
      </c>
      <c r="L26" s="26">
        <f t="shared" si="0"/>
        <v>3</v>
      </c>
    </row>
    <row r="27" spans="2:12">
      <c r="B27" s="38" t="s">
        <v>38</v>
      </c>
      <c r="C27" s="5" t="s">
        <v>15</v>
      </c>
      <c r="D27" s="5" t="s">
        <v>29</v>
      </c>
      <c r="E27" s="5"/>
      <c r="F27" s="5">
        <v>1</v>
      </c>
      <c r="G27" s="5"/>
      <c r="H27" s="5"/>
      <c r="I27" s="5">
        <v>1</v>
      </c>
      <c r="J27" s="5"/>
      <c r="K27" s="5"/>
      <c r="L27" s="26">
        <f t="shared" si="0"/>
        <v>2</v>
      </c>
    </row>
    <row r="28" spans="2:12">
      <c r="B28" s="38" t="s">
        <v>39</v>
      </c>
      <c r="C28" s="5" t="s">
        <v>7</v>
      </c>
      <c r="D28" s="5" t="s">
        <v>8</v>
      </c>
      <c r="E28" s="5"/>
      <c r="F28" s="5"/>
      <c r="G28" s="5">
        <v>1</v>
      </c>
      <c r="H28" s="5"/>
      <c r="I28" s="5">
        <v>1</v>
      </c>
      <c r="J28" s="5"/>
      <c r="K28" s="5"/>
      <c r="L28" s="26">
        <f t="shared" si="0"/>
        <v>2</v>
      </c>
    </row>
    <row r="29" spans="2:12">
      <c r="B29" s="38" t="s">
        <v>40</v>
      </c>
      <c r="C29" s="5" t="s">
        <v>18</v>
      </c>
      <c r="D29" s="5"/>
      <c r="E29" s="5"/>
      <c r="F29" s="5"/>
      <c r="G29" s="5"/>
      <c r="H29" s="5"/>
      <c r="I29" s="5">
        <v>2</v>
      </c>
      <c r="J29" s="5"/>
      <c r="K29" s="5"/>
      <c r="L29" s="26">
        <f t="shared" si="0"/>
        <v>2</v>
      </c>
    </row>
    <row r="30" spans="2:12">
      <c r="B30" s="38" t="s">
        <v>41</v>
      </c>
      <c r="C30" s="5" t="s">
        <v>18</v>
      </c>
      <c r="D30" s="5"/>
      <c r="E30" s="5"/>
      <c r="F30" s="5"/>
      <c r="G30" s="5"/>
      <c r="H30" s="5">
        <v>2</v>
      </c>
      <c r="I30" s="5"/>
      <c r="J30" s="5"/>
      <c r="K30" s="5"/>
      <c r="L30" s="26">
        <f t="shared" si="0"/>
        <v>2</v>
      </c>
    </row>
    <row r="31" spans="2:12">
      <c r="B31" s="39" t="s">
        <v>42</v>
      </c>
      <c r="C31" s="27" t="s">
        <v>7</v>
      </c>
      <c r="D31" s="27" t="s">
        <v>12</v>
      </c>
      <c r="E31" s="27"/>
      <c r="F31" s="27"/>
      <c r="G31" s="27"/>
      <c r="H31" s="27"/>
      <c r="I31" s="27"/>
      <c r="J31" s="27">
        <v>1</v>
      </c>
      <c r="K31" s="27"/>
      <c r="L31" s="28">
        <f t="shared" si="0"/>
        <v>1</v>
      </c>
    </row>
    <row r="34" spans="12:12">
      <c r="L34" s="21">
        <f>SUM(L4:L33)</f>
        <v>375</v>
      </c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74A9-0248-46ED-981A-FD90D8DB99B2}">
  <dimension ref="B3:O22"/>
  <sheetViews>
    <sheetView topLeftCell="A3" workbookViewId="0">
      <selection activeCell="P16" sqref="P16"/>
    </sheetView>
  </sheetViews>
  <sheetFormatPr defaultColWidth="11.42578125" defaultRowHeight="14.45"/>
  <cols>
    <col min="2" max="2" width="9.85546875" customWidth="1"/>
    <col min="3" max="4" width="11.42578125" style="20"/>
    <col min="6" max="6" width="8.85546875" customWidth="1"/>
    <col min="7" max="7" width="9.5703125" customWidth="1"/>
    <col min="8" max="8" width="9.28515625" customWidth="1"/>
    <col min="9" max="9" width="9.7109375" customWidth="1"/>
    <col min="10" max="11" width="9.28515625" customWidth="1"/>
  </cols>
  <sheetData>
    <row r="3" spans="2:15">
      <c r="B3" s="88" t="s">
        <v>43</v>
      </c>
      <c r="C3" s="89"/>
      <c r="D3" s="89"/>
      <c r="E3" s="89"/>
      <c r="F3" s="89"/>
      <c r="G3" s="89"/>
      <c r="H3" s="89"/>
      <c r="I3" s="89"/>
      <c r="J3" s="89"/>
      <c r="K3" s="89"/>
      <c r="L3" s="90"/>
      <c r="N3" s="52">
        <v>46029</v>
      </c>
      <c r="O3" s="53">
        <v>0.66666666666666663</v>
      </c>
    </row>
    <row r="4" spans="2:15">
      <c r="B4" s="31" t="s">
        <v>1</v>
      </c>
      <c r="C4" s="32" t="s">
        <v>2</v>
      </c>
      <c r="D4" s="32" t="s">
        <v>3</v>
      </c>
      <c r="E4" s="31" t="s">
        <v>4</v>
      </c>
      <c r="F4" s="31">
        <v>36</v>
      </c>
      <c r="G4" s="31">
        <v>38</v>
      </c>
      <c r="H4" s="31">
        <v>40</v>
      </c>
      <c r="I4" s="31">
        <v>42</v>
      </c>
      <c r="J4" s="31">
        <v>44</v>
      </c>
      <c r="K4" s="31">
        <v>46</v>
      </c>
      <c r="L4" s="31" t="s">
        <v>5</v>
      </c>
    </row>
    <row r="5" spans="2:15">
      <c r="B5" s="54">
        <v>389201</v>
      </c>
      <c r="C5" s="33" t="s">
        <v>7</v>
      </c>
      <c r="D5" s="33" t="s">
        <v>22</v>
      </c>
      <c r="E5" s="29"/>
      <c r="F5" s="29">
        <v>4</v>
      </c>
      <c r="G5" s="29">
        <v>29</v>
      </c>
      <c r="H5" s="29">
        <v>27</v>
      </c>
      <c r="I5" s="29">
        <v>30</v>
      </c>
      <c r="J5" s="29">
        <v>23</v>
      </c>
      <c r="K5" s="29">
        <v>16</v>
      </c>
      <c r="L5" s="30">
        <f t="shared" ref="L5:L19" si="0">SUM(F5:K5)</f>
        <v>129</v>
      </c>
    </row>
    <row r="6" spans="2:15">
      <c r="B6" s="51">
        <v>380200</v>
      </c>
      <c r="C6" s="17" t="s">
        <v>7</v>
      </c>
      <c r="D6" s="17" t="s">
        <v>20</v>
      </c>
      <c r="E6" s="5"/>
      <c r="F6" s="5">
        <v>14</v>
      </c>
      <c r="G6" s="5">
        <v>37</v>
      </c>
      <c r="H6" s="5">
        <v>35</v>
      </c>
      <c r="I6" s="5">
        <v>31</v>
      </c>
      <c r="J6" s="5">
        <v>18</v>
      </c>
      <c r="K6" s="5">
        <v>2</v>
      </c>
      <c r="L6" s="26">
        <f t="shared" si="0"/>
        <v>137</v>
      </c>
    </row>
    <row r="7" spans="2:15">
      <c r="B7" s="56">
        <v>382100</v>
      </c>
      <c r="C7" s="17" t="s">
        <v>15</v>
      </c>
      <c r="D7" s="17" t="s">
        <v>20</v>
      </c>
      <c r="E7" s="5"/>
      <c r="F7" s="5"/>
      <c r="G7" s="5">
        <v>0</v>
      </c>
      <c r="H7" s="5">
        <v>0</v>
      </c>
      <c r="I7" s="5">
        <v>0</v>
      </c>
      <c r="J7" s="5">
        <v>0</v>
      </c>
      <c r="K7" s="5">
        <v>0</v>
      </c>
      <c r="L7" s="26">
        <f t="shared" si="0"/>
        <v>0</v>
      </c>
    </row>
    <row r="8" spans="2:15">
      <c r="B8" s="51">
        <v>388000</v>
      </c>
      <c r="C8" s="17" t="s">
        <v>7</v>
      </c>
      <c r="D8" s="17" t="s">
        <v>10</v>
      </c>
      <c r="E8" s="5"/>
      <c r="F8" s="5">
        <v>39</v>
      </c>
      <c r="G8" s="5">
        <v>26</v>
      </c>
      <c r="H8" s="5">
        <v>0</v>
      </c>
      <c r="I8" s="5">
        <v>0</v>
      </c>
      <c r="J8" s="5">
        <v>0</v>
      </c>
      <c r="K8" s="5">
        <v>0</v>
      </c>
      <c r="L8" s="26">
        <f t="shared" si="0"/>
        <v>65</v>
      </c>
    </row>
    <row r="9" spans="2:15">
      <c r="B9" s="51">
        <v>389300</v>
      </c>
      <c r="C9" s="17" t="s">
        <v>7</v>
      </c>
      <c r="D9" s="17" t="s">
        <v>29</v>
      </c>
      <c r="E9" s="5"/>
      <c r="F9" s="5">
        <v>0</v>
      </c>
      <c r="G9" s="5">
        <v>12</v>
      </c>
      <c r="H9" s="5">
        <v>0</v>
      </c>
      <c r="I9" s="5">
        <v>12</v>
      </c>
      <c r="J9" s="5">
        <v>8</v>
      </c>
      <c r="K9" s="5">
        <v>18</v>
      </c>
      <c r="L9" s="26">
        <f t="shared" si="0"/>
        <v>50</v>
      </c>
    </row>
    <row r="10" spans="2:15">
      <c r="B10" s="51">
        <v>385371</v>
      </c>
      <c r="C10" s="17" t="s">
        <v>7</v>
      </c>
      <c r="D10" s="17" t="s">
        <v>20</v>
      </c>
      <c r="E10" s="5"/>
      <c r="F10" s="5">
        <v>7</v>
      </c>
      <c r="G10" s="5">
        <v>11</v>
      </c>
      <c r="H10" s="5">
        <v>11</v>
      </c>
      <c r="I10" s="5">
        <v>9</v>
      </c>
      <c r="J10" s="5">
        <v>3</v>
      </c>
      <c r="K10" s="5">
        <v>2</v>
      </c>
      <c r="L10" s="26">
        <f t="shared" si="0"/>
        <v>43</v>
      </c>
    </row>
    <row r="11" spans="2:15">
      <c r="B11" s="51">
        <v>386501</v>
      </c>
      <c r="C11" s="17" t="s">
        <v>7</v>
      </c>
      <c r="D11" s="17" t="s">
        <v>12</v>
      </c>
      <c r="E11" s="5"/>
      <c r="F11" s="5">
        <v>0</v>
      </c>
      <c r="G11" s="5">
        <v>13</v>
      </c>
      <c r="H11" s="5">
        <v>7</v>
      </c>
      <c r="I11" s="5">
        <v>7</v>
      </c>
      <c r="J11" s="5">
        <v>0</v>
      </c>
      <c r="K11" s="5">
        <v>0</v>
      </c>
      <c r="L11" s="26">
        <f t="shared" si="0"/>
        <v>27</v>
      </c>
    </row>
    <row r="12" spans="2:15">
      <c r="B12" s="51">
        <v>385304</v>
      </c>
      <c r="C12" s="17" t="s">
        <v>7</v>
      </c>
      <c r="D12" s="17" t="s">
        <v>20</v>
      </c>
      <c r="E12" s="5"/>
      <c r="F12" s="5">
        <v>0</v>
      </c>
      <c r="G12" s="5">
        <v>5</v>
      </c>
      <c r="H12" s="5">
        <v>3</v>
      </c>
      <c r="I12" s="5">
        <v>6</v>
      </c>
      <c r="J12" s="5">
        <v>9</v>
      </c>
      <c r="K12" s="5">
        <v>0</v>
      </c>
      <c r="L12" s="26">
        <f t="shared" si="0"/>
        <v>23</v>
      </c>
    </row>
    <row r="13" spans="2:15">
      <c r="B13" s="51">
        <v>388300</v>
      </c>
      <c r="C13" s="17" t="s">
        <v>7</v>
      </c>
      <c r="D13" s="17" t="s">
        <v>22</v>
      </c>
      <c r="E13" s="5"/>
      <c r="F13" s="5">
        <v>17</v>
      </c>
      <c r="G13" s="5">
        <v>12</v>
      </c>
      <c r="H13" s="5">
        <v>0</v>
      </c>
      <c r="I13" s="5">
        <v>0</v>
      </c>
      <c r="J13" s="5">
        <v>0</v>
      </c>
      <c r="K13" s="5">
        <v>0</v>
      </c>
      <c r="L13" s="26">
        <f t="shared" si="0"/>
        <v>29</v>
      </c>
    </row>
    <row r="14" spans="2:15">
      <c r="B14" s="51">
        <v>387900</v>
      </c>
      <c r="C14" s="17" t="s">
        <v>15</v>
      </c>
      <c r="D14" s="17" t="s">
        <v>8</v>
      </c>
      <c r="E14" s="5"/>
      <c r="F14" s="5">
        <v>28</v>
      </c>
      <c r="G14" s="5">
        <v>3</v>
      </c>
      <c r="H14" s="5">
        <v>0</v>
      </c>
      <c r="I14" s="5">
        <v>0</v>
      </c>
      <c r="J14" s="5">
        <v>0</v>
      </c>
      <c r="K14" s="5">
        <v>0</v>
      </c>
      <c r="L14" s="26">
        <f t="shared" si="0"/>
        <v>31</v>
      </c>
    </row>
    <row r="15" spans="2:15">
      <c r="B15" s="51">
        <v>385800</v>
      </c>
      <c r="C15" s="17" t="s">
        <v>7</v>
      </c>
      <c r="D15" s="17" t="s">
        <v>22</v>
      </c>
      <c r="E15" s="5"/>
      <c r="F15" s="5">
        <v>8</v>
      </c>
      <c r="G15" s="5">
        <v>0</v>
      </c>
      <c r="H15" s="5">
        <v>0</v>
      </c>
      <c r="I15" s="5">
        <v>0</v>
      </c>
      <c r="J15" s="5">
        <v>9</v>
      </c>
      <c r="K15" s="5">
        <v>0</v>
      </c>
      <c r="L15" s="26">
        <f t="shared" si="0"/>
        <v>17</v>
      </c>
    </row>
    <row r="16" spans="2:15">
      <c r="B16" s="51">
        <v>381801</v>
      </c>
      <c r="C16" s="17" t="s">
        <v>7</v>
      </c>
      <c r="D16" s="17" t="s">
        <v>22</v>
      </c>
      <c r="E16" s="5"/>
      <c r="F16" s="5">
        <v>10</v>
      </c>
      <c r="G16" s="5">
        <v>2</v>
      </c>
      <c r="H16" s="5">
        <v>0</v>
      </c>
      <c r="I16" s="5">
        <v>0</v>
      </c>
      <c r="J16" s="5">
        <v>1</v>
      </c>
      <c r="K16" s="5">
        <v>0</v>
      </c>
      <c r="L16" s="26">
        <f t="shared" si="0"/>
        <v>13</v>
      </c>
    </row>
    <row r="17" spans="2:12">
      <c r="B17" s="51">
        <v>389401</v>
      </c>
      <c r="C17" s="17" t="s">
        <v>7</v>
      </c>
      <c r="D17" s="17" t="s">
        <v>8</v>
      </c>
      <c r="E17" s="5"/>
      <c r="F17" s="5">
        <v>10</v>
      </c>
      <c r="G17" s="5">
        <v>0</v>
      </c>
      <c r="H17" s="5">
        <v>0</v>
      </c>
      <c r="I17" s="5">
        <v>3</v>
      </c>
      <c r="J17" s="5">
        <v>0</v>
      </c>
      <c r="K17" s="5">
        <v>0</v>
      </c>
      <c r="L17" s="26">
        <f t="shared" si="0"/>
        <v>13</v>
      </c>
    </row>
    <row r="18" spans="2:12">
      <c r="B18" s="51">
        <v>382101</v>
      </c>
      <c r="C18" s="17" t="s">
        <v>15</v>
      </c>
      <c r="D18" s="17" t="s">
        <v>29</v>
      </c>
      <c r="E18" s="5"/>
      <c r="F18" s="5">
        <v>1</v>
      </c>
      <c r="G18" s="5">
        <v>2</v>
      </c>
      <c r="H18" s="5">
        <v>0</v>
      </c>
      <c r="I18" s="5">
        <v>1</v>
      </c>
      <c r="J18" s="5">
        <v>1</v>
      </c>
      <c r="K18" s="5">
        <v>0</v>
      </c>
      <c r="L18" s="26">
        <f t="shared" si="0"/>
        <v>5</v>
      </c>
    </row>
    <row r="19" spans="2:12">
      <c r="B19" s="55">
        <v>389700</v>
      </c>
      <c r="C19" s="34" t="s">
        <v>7</v>
      </c>
      <c r="D19" s="34" t="s">
        <v>12</v>
      </c>
      <c r="E19" s="27"/>
      <c r="F19" s="27">
        <v>6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8">
        <f t="shared" si="0"/>
        <v>6</v>
      </c>
    </row>
    <row r="22" spans="2:12">
      <c r="L22" s="21">
        <f>SUM(L5:L21)</f>
        <v>588</v>
      </c>
    </row>
  </sheetData>
  <mergeCells count="1">
    <mergeCell ref="B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64EF-F28E-4311-81D5-A7BF6F5FC77F}">
  <dimension ref="B3:L19"/>
  <sheetViews>
    <sheetView workbookViewId="0">
      <selection activeCell="B3" sqref="B3"/>
    </sheetView>
  </sheetViews>
  <sheetFormatPr defaultColWidth="11.42578125" defaultRowHeight="14.45"/>
  <sheetData>
    <row r="3" spans="2:12" ht="18.600000000000001">
      <c r="B3" s="91" t="s">
        <v>44</v>
      </c>
      <c r="C3" s="116"/>
      <c r="D3" s="116"/>
      <c r="E3" s="116"/>
      <c r="F3" s="116"/>
      <c r="G3" s="116"/>
      <c r="H3" s="116"/>
      <c r="I3" s="116"/>
      <c r="J3" s="116"/>
      <c r="K3" s="116"/>
      <c r="L3" s="117"/>
    </row>
    <row r="4" spans="2:12">
      <c r="B4" s="42" t="s">
        <v>1</v>
      </c>
      <c r="C4" s="43" t="s">
        <v>2</v>
      </c>
      <c r="D4" s="43" t="s">
        <v>3</v>
      </c>
      <c r="E4" s="44" t="s">
        <v>4</v>
      </c>
      <c r="F4" s="44">
        <v>36</v>
      </c>
      <c r="G4" s="44">
        <v>38</v>
      </c>
      <c r="H4" s="44">
        <v>40</v>
      </c>
      <c r="I4" s="44">
        <v>42</v>
      </c>
      <c r="J4" s="44">
        <v>44</v>
      </c>
      <c r="K4" s="44">
        <v>46</v>
      </c>
      <c r="L4" s="45" t="s">
        <v>5</v>
      </c>
    </row>
    <row r="5" spans="2:12">
      <c r="B5" s="41" t="s">
        <v>45</v>
      </c>
      <c r="C5" s="33" t="s">
        <v>46</v>
      </c>
      <c r="D5" s="33" t="s">
        <v>22</v>
      </c>
      <c r="E5" s="29"/>
      <c r="F5" s="29">
        <v>15</v>
      </c>
      <c r="G5" s="29">
        <v>15</v>
      </c>
      <c r="H5" s="29">
        <v>19</v>
      </c>
      <c r="I5" s="29">
        <v>20</v>
      </c>
      <c r="J5" s="29">
        <v>15</v>
      </c>
      <c r="K5" s="29">
        <v>11</v>
      </c>
      <c r="L5" s="29">
        <f t="shared" ref="L5:L15" si="0">SUM(F5:K5)</f>
        <v>95</v>
      </c>
    </row>
    <row r="6" spans="2:12">
      <c r="B6" s="19" t="s">
        <v>47</v>
      </c>
      <c r="C6" s="17" t="s">
        <v>7</v>
      </c>
      <c r="D6" s="17" t="s">
        <v>29</v>
      </c>
      <c r="E6" s="5"/>
      <c r="F6" s="5">
        <v>17</v>
      </c>
      <c r="G6" s="5">
        <v>22</v>
      </c>
      <c r="H6" s="5">
        <v>15</v>
      </c>
      <c r="I6" s="5"/>
      <c r="J6" s="5">
        <v>1</v>
      </c>
      <c r="K6" s="5"/>
      <c r="L6" s="5">
        <f t="shared" si="0"/>
        <v>55</v>
      </c>
    </row>
    <row r="7" spans="2:12">
      <c r="B7" s="19" t="s">
        <v>48</v>
      </c>
      <c r="C7" s="17" t="s">
        <v>7</v>
      </c>
      <c r="D7" s="17" t="s">
        <v>12</v>
      </c>
      <c r="E7" s="5"/>
      <c r="F7" s="5"/>
      <c r="G7" s="5">
        <v>5</v>
      </c>
      <c r="H7" s="5">
        <v>6</v>
      </c>
      <c r="I7" s="5">
        <v>20</v>
      </c>
      <c r="J7" s="5"/>
      <c r="K7" s="5">
        <v>7</v>
      </c>
      <c r="L7" s="5">
        <f t="shared" si="0"/>
        <v>38</v>
      </c>
    </row>
    <row r="8" spans="2:12">
      <c r="B8" s="19" t="s">
        <v>49</v>
      </c>
      <c r="C8" s="17" t="s">
        <v>7</v>
      </c>
      <c r="D8" s="17" t="s">
        <v>20</v>
      </c>
      <c r="E8" s="5"/>
      <c r="F8" s="5"/>
      <c r="G8" s="5">
        <v>5</v>
      </c>
      <c r="H8" s="5">
        <v>13</v>
      </c>
      <c r="I8" s="5">
        <v>9</v>
      </c>
      <c r="J8" s="5"/>
      <c r="K8" s="5">
        <v>1</v>
      </c>
      <c r="L8" s="5">
        <f t="shared" si="0"/>
        <v>28</v>
      </c>
    </row>
    <row r="9" spans="2:12">
      <c r="B9" s="19" t="s">
        <v>50</v>
      </c>
      <c r="C9" s="17" t="s">
        <v>7</v>
      </c>
      <c r="D9" s="17" t="s">
        <v>20</v>
      </c>
      <c r="E9" s="5"/>
      <c r="F9" s="5"/>
      <c r="G9" s="5"/>
      <c r="H9" s="5">
        <v>6</v>
      </c>
      <c r="I9" s="5">
        <v>13</v>
      </c>
      <c r="J9" s="5"/>
      <c r="K9" s="5">
        <v>4</v>
      </c>
      <c r="L9" s="5">
        <f t="shared" si="0"/>
        <v>23</v>
      </c>
    </row>
    <row r="10" spans="2:12">
      <c r="B10" s="19" t="s">
        <v>51</v>
      </c>
      <c r="C10" s="17" t="s">
        <v>7</v>
      </c>
      <c r="D10" s="17" t="s">
        <v>29</v>
      </c>
      <c r="E10" s="5"/>
      <c r="F10" s="5">
        <v>8</v>
      </c>
      <c r="G10" s="5"/>
      <c r="H10" s="5"/>
      <c r="I10" s="5"/>
      <c r="J10" s="5">
        <v>9</v>
      </c>
      <c r="K10" s="5"/>
      <c r="L10" s="5">
        <f t="shared" si="0"/>
        <v>17</v>
      </c>
    </row>
    <row r="11" spans="2:12">
      <c r="B11" s="19" t="s">
        <v>52</v>
      </c>
      <c r="C11" s="17" t="s">
        <v>7</v>
      </c>
      <c r="D11" s="17" t="s">
        <v>29</v>
      </c>
      <c r="E11" s="5"/>
      <c r="F11" s="5"/>
      <c r="G11" s="5"/>
      <c r="H11" s="5"/>
      <c r="I11" s="5">
        <v>7</v>
      </c>
      <c r="J11" s="5">
        <v>6</v>
      </c>
      <c r="K11" s="5">
        <v>1</v>
      </c>
      <c r="L11" s="5">
        <f t="shared" si="0"/>
        <v>14</v>
      </c>
    </row>
    <row r="12" spans="2:12">
      <c r="B12" s="19" t="s">
        <v>53</v>
      </c>
      <c r="C12" s="17" t="s">
        <v>7</v>
      </c>
      <c r="D12" s="17" t="s">
        <v>12</v>
      </c>
      <c r="E12" s="5"/>
      <c r="F12" s="5"/>
      <c r="G12" s="5"/>
      <c r="H12" s="5"/>
      <c r="I12" s="5"/>
      <c r="J12" s="5">
        <v>4</v>
      </c>
      <c r="K12" s="5">
        <v>5</v>
      </c>
      <c r="L12" s="5">
        <f t="shared" si="0"/>
        <v>9</v>
      </c>
    </row>
    <row r="13" spans="2:12">
      <c r="B13" s="19" t="s">
        <v>54</v>
      </c>
      <c r="C13" s="17" t="s">
        <v>7</v>
      </c>
      <c r="D13" s="17" t="s">
        <v>8</v>
      </c>
      <c r="E13" s="5"/>
      <c r="F13" s="5">
        <v>5</v>
      </c>
      <c r="G13" s="5"/>
      <c r="H13" s="5"/>
      <c r="I13" s="5"/>
      <c r="J13" s="5"/>
      <c r="K13" s="5"/>
      <c r="L13" s="5">
        <f t="shared" si="0"/>
        <v>5</v>
      </c>
    </row>
    <row r="14" spans="2:12">
      <c r="B14" s="19" t="s">
        <v>55</v>
      </c>
      <c r="C14" s="17" t="s">
        <v>7</v>
      </c>
      <c r="D14" s="17" t="s">
        <v>8</v>
      </c>
      <c r="E14" s="5"/>
      <c r="F14" s="5"/>
      <c r="G14" s="5">
        <v>4</v>
      </c>
      <c r="H14" s="5"/>
      <c r="I14" s="5"/>
      <c r="J14" s="5"/>
      <c r="K14" s="5"/>
      <c r="L14" s="5">
        <f t="shared" si="0"/>
        <v>4</v>
      </c>
    </row>
    <row r="15" spans="2:12">
      <c r="B15" s="19" t="s">
        <v>56</v>
      </c>
      <c r="C15" s="17" t="s">
        <v>7</v>
      </c>
      <c r="D15" s="17" t="s">
        <v>8</v>
      </c>
      <c r="E15" s="5"/>
      <c r="F15" s="5">
        <v>1</v>
      </c>
      <c r="G15" s="5"/>
      <c r="H15" s="5"/>
      <c r="I15" s="5"/>
      <c r="J15" s="5"/>
      <c r="K15" s="5"/>
      <c r="L15" s="5">
        <f t="shared" si="0"/>
        <v>1</v>
      </c>
    </row>
    <row r="19" spans="12:12">
      <c r="L19" s="21">
        <f>SUM(L5:L18)</f>
        <v>289</v>
      </c>
    </row>
  </sheetData>
  <mergeCells count="1">
    <mergeCell ref="B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1C20-0AB4-435A-AEDE-B6C824B1C346}">
  <dimension ref="B3:L50"/>
  <sheetViews>
    <sheetView topLeftCell="A21" workbookViewId="0">
      <selection activeCell="A51" sqref="A50:XFD51"/>
    </sheetView>
  </sheetViews>
  <sheetFormatPr defaultColWidth="11.42578125" defaultRowHeight="14.45"/>
  <cols>
    <col min="2" max="3" width="11.42578125" style="20"/>
    <col min="4" max="4" width="16" style="20" customWidth="1"/>
    <col min="5" max="5" width="20.85546875" customWidth="1"/>
    <col min="6" max="6" width="10" customWidth="1"/>
    <col min="7" max="7" width="10.140625" customWidth="1"/>
    <col min="8" max="8" width="9.140625" customWidth="1"/>
    <col min="9" max="9" width="9.7109375" customWidth="1"/>
    <col min="10" max="10" width="9" customWidth="1"/>
    <col min="11" max="11" width="7.42578125" customWidth="1"/>
  </cols>
  <sheetData>
    <row r="3" spans="2:12" ht="18.600000000000001">
      <c r="B3" s="91" t="s">
        <v>57</v>
      </c>
      <c r="C3" s="116"/>
      <c r="D3" s="116"/>
      <c r="E3" s="116"/>
      <c r="F3" s="116"/>
      <c r="G3" s="116"/>
      <c r="H3" s="116"/>
      <c r="I3" s="116"/>
      <c r="J3" s="116"/>
      <c r="K3" s="116"/>
      <c r="L3" s="117"/>
    </row>
    <row r="4" spans="2:12">
      <c r="B4" s="18" t="s">
        <v>1</v>
      </c>
      <c r="C4" s="18" t="s">
        <v>2</v>
      </c>
      <c r="D4" s="18" t="s">
        <v>3</v>
      </c>
      <c r="E4" s="16" t="s">
        <v>4</v>
      </c>
      <c r="F4" s="16">
        <v>36</v>
      </c>
      <c r="G4" s="16">
        <v>38</v>
      </c>
      <c r="H4" s="16">
        <v>40</v>
      </c>
      <c r="I4" s="16">
        <v>42</v>
      </c>
      <c r="J4" s="16">
        <v>44</v>
      </c>
      <c r="K4" s="16">
        <v>46</v>
      </c>
      <c r="L4" s="16" t="s">
        <v>5</v>
      </c>
    </row>
    <row r="5" spans="2:12">
      <c r="B5" s="19" t="s">
        <v>58</v>
      </c>
      <c r="C5" s="17" t="s">
        <v>7</v>
      </c>
      <c r="D5" s="17" t="s">
        <v>20</v>
      </c>
      <c r="E5" s="5"/>
      <c r="F5" s="5">
        <v>9</v>
      </c>
      <c r="G5" s="5">
        <v>24</v>
      </c>
      <c r="H5" s="5">
        <v>28</v>
      </c>
      <c r="I5" s="5">
        <v>23</v>
      </c>
      <c r="J5" s="5">
        <v>10</v>
      </c>
      <c r="K5" s="5">
        <v>10</v>
      </c>
      <c r="L5" s="5">
        <f t="shared" ref="L5:L49" si="0">SUM(F5:K5)</f>
        <v>104</v>
      </c>
    </row>
    <row r="6" spans="2:12">
      <c r="B6" s="19" t="s">
        <v>59</v>
      </c>
      <c r="C6" s="17" t="s">
        <v>7</v>
      </c>
      <c r="D6" s="17" t="s">
        <v>8</v>
      </c>
      <c r="E6" s="5"/>
      <c r="F6" s="5">
        <v>25</v>
      </c>
      <c r="G6" s="5">
        <v>22</v>
      </c>
      <c r="H6" s="5">
        <v>18</v>
      </c>
      <c r="I6" s="5">
        <v>20</v>
      </c>
      <c r="J6" s="5">
        <v>8</v>
      </c>
      <c r="K6" s="5">
        <v>3</v>
      </c>
      <c r="L6" s="5">
        <f t="shared" si="0"/>
        <v>96</v>
      </c>
    </row>
    <row r="7" spans="2:12">
      <c r="B7" s="19" t="s">
        <v>60</v>
      </c>
      <c r="C7" s="17" t="s">
        <v>7</v>
      </c>
      <c r="D7" s="17" t="s">
        <v>22</v>
      </c>
      <c r="E7" s="5" t="s">
        <v>61</v>
      </c>
      <c r="F7" s="5">
        <v>7</v>
      </c>
      <c r="G7" s="5">
        <v>30</v>
      </c>
      <c r="H7" s="5">
        <v>18</v>
      </c>
      <c r="I7" s="5">
        <v>7</v>
      </c>
      <c r="J7" s="5">
        <v>0</v>
      </c>
      <c r="K7" s="5">
        <v>0</v>
      </c>
      <c r="L7" s="5">
        <f t="shared" si="0"/>
        <v>62</v>
      </c>
    </row>
    <row r="8" spans="2:12">
      <c r="B8" s="19" t="s">
        <v>62</v>
      </c>
      <c r="C8" s="17" t="s">
        <v>7</v>
      </c>
      <c r="D8" s="17" t="s">
        <v>12</v>
      </c>
      <c r="E8" s="5"/>
      <c r="F8" s="5">
        <v>20</v>
      </c>
      <c r="G8" s="5">
        <v>15</v>
      </c>
      <c r="H8" s="5">
        <v>12</v>
      </c>
      <c r="I8" s="5">
        <v>3</v>
      </c>
      <c r="J8" s="5">
        <v>3</v>
      </c>
      <c r="K8" s="5">
        <v>1</v>
      </c>
      <c r="L8" s="5">
        <f t="shared" si="0"/>
        <v>54</v>
      </c>
    </row>
    <row r="9" spans="2:12">
      <c r="B9" s="19" t="s">
        <v>63</v>
      </c>
      <c r="C9" s="17" t="s">
        <v>7</v>
      </c>
      <c r="D9" s="17" t="s">
        <v>12</v>
      </c>
      <c r="E9" s="5"/>
      <c r="F9" s="5">
        <v>0</v>
      </c>
      <c r="G9" s="5">
        <v>21</v>
      </c>
      <c r="H9" s="5">
        <v>10</v>
      </c>
      <c r="I9" s="5">
        <v>12</v>
      </c>
      <c r="J9" s="5">
        <v>6</v>
      </c>
      <c r="K9" s="5">
        <v>2</v>
      </c>
      <c r="L9" s="5">
        <f t="shared" si="0"/>
        <v>51</v>
      </c>
    </row>
    <row r="10" spans="2:12">
      <c r="B10" s="19" t="s">
        <v>64</v>
      </c>
      <c r="C10" s="17" t="s">
        <v>7</v>
      </c>
      <c r="D10" s="17" t="s">
        <v>20</v>
      </c>
      <c r="E10" s="5"/>
      <c r="F10" s="5">
        <v>21</v>
      </c>
      <c r="G10" s="5">
        <v>14</v>
      </c>
      <c r="H10" s="5">
        <v>10</v>
      </c>
      <c r="I10" s="5">
        <v>0</v>
      </c>
      <c r="J10" s="5">
        <v>0</v>
      </c>
      <c r="K10" s="5">
        <v>0</v>
      </c>
      <c r="L10" s="5">
        <f t="shared" si="0"/>
        <v>45</v>
      </c>
    </row>
    <row r="11" spans="2:12">
      <c r="B11" s="19" t="s">
        <v>65</v>
      </c>
      <c r="C11" s="17" t="s">
        <v>7</v>
      </c>
      <c r="D11" s="17" t="s">
        <v>66</v>
      </c>
      <c r="E11" s="5"/>
      <c r="F11" s="5">
        <v>5</v>
      </c>
      <c r="G11" s="5">
        <v>7</v>
      </c>
      <c r="H11" s="5">
        <v>10</v>
      </c>
      <c r="I11" s="5">
        <v>13</v>
      </c>
      <c r="J11" s="5">
        <v>6</v>
      </c>
      <c r="K11" s="5">
        <v>4</v>
      </c>
      <c r="L11" s="5">
        <f t="shared" si="0"/>
        <v>45</v>
      </c>
    </row>
    <row r="12" spans="2:12">
      <c r="B12" s="19" t="s">
        <v>67</v>
      </c>
      <c r="C12" s="17" t="s">
        <v>15</v>
      </c>
      <c r="D12" s="17" t="s">
        <v>20</v>
      </c>
      <c r="E12" s="5"/>
      <c r="F12" s="5">
        <v>10</v>
      </c>
      <c r="G12" s="5">
        <v>1</v>
      </c>
      <c r="H12" s="5">
        <v>3</v>
      </c>
      <c r="I12" s="5">
        <v>7</v>
      </c>
      <c r="J12" s="5">
        <v>13</v>
      </c>
      <c r="K12" s="5">
        <v>1</v>
      </c>
      <c r="L12" s="5">
        <f t="shared" si="0"/>
        <v>35</v>
      </c>
    </row>
    <row r="13" spans="2:12">
      <c r="B13" s="19" t="s">
        <v>68</v>
      </c>
      <c r="C13" s="17" t="s">
        <v>7</v>
      </c>
      <c r="D13" s="17" t="s">
        <v>69</v>
      </c>
      <c r="E13" s="17" t="s">
        <v>70</v>
      </c>
      <c r="F13" s="5">
        <v>18</v>
      </c>
      <c r="G13" s="5">
        <v>2</v>
      </c>
      <c r="H13" s="5">
        <v>8</v>
      </c>
      <c r="I13" s="5">
        <v>2</v>
      </c>
      <c r="J13" s="5">
        <v>2</v>
      </c>
      <c r="K13" s="5">
        <v>3</v>
      </c>
      <c r="L13" s="5">
        <f t="shared" si="0"/>
        <v>35</v>
      </c>
    </row>
    <row r="14" spans="2:12">
      <c r="B14" s="19" t="s">
        <v>71</v>
      </c>
      <c r="C14" s="17" t="s">
        <v>7</v>
      </c>
      <c r="D14" s="17" t="s">
        <v>12</v>
      </c>
      <c r="E14" s="5"/>
      <c r="F14" s="5">
        <v>9</v>
      </c>
      <c r="G14" s="5">
        <v>0</v>
      </c>
      <c r="H14" s="5">
        <v>0</v>
      </c>
      <c r="I14" s="5">
        <v>0</v>
      </c>
      <c r="J14" s="5">
        <v>12</v>
      </c>
      <c r="K14" s="5">
        <v>1</v>
      </c>
      <c r="L14" s="5">
        <f t="shared" si="0"/>
        <v>22</v>
      </c>
    </row>
    <row r="15" spans="2:12">
      <c r="B15" s="19" t="s">
        <v>72</v>
      </c>
      <c r="C15" s="17" t="s">
        <v>7</v>
      </c>
      <c r="D15" s="17" t="s">
        <v>29</v>
      </c>
      <c r="E15" s="5"/>
      <c r="F15" s="5">
        <v>0</v>
      </c>
      <c r="G15" s="5">
        <v>10</v>
      </c>
      <c r="H15" s="5">
        <v>6</v>
      </c>
      <c r="I15" s="5">
        <v>6</v>
      </c>
      <c r="J15" s="5">
        <v>0</v>
      </c>
      <c r="K15" s="5">
        <v>0</v>
      </c>
      <c r="L15" s="5">
        <f t="shared" si="0"/>
        <v>22</v>
      </c>
    </row>
    <row r="16" spans="2:12">
      <c r="B16" s="19" t="s">
        <v>73</v>
      </c>
      <c r="C16" s="17" t="s">
        <v>7</v>
      </c>
      <c r="D16" s="17" t="s">
        <v>8</v>
      </c>
      <c r="E16" s="5"/>
      <c r="F16" s="5">
        <v>7</v>
      </c>
      <c r="G16" s="5">
        <v>3</v>
      </c>
      <c r="H16" s="5">
        <v>1</v>
      </c>
      <c r="I16" s="5">
        <v>3</v>
      </c>
      <c r="J16" s="5">
        <v>3</v>
      </c>
      <c r="K16" s="5">
        <v>4</v>
      </c>
      <c r="L16" s="5">
        <f t="shared" si="0"/>
        <v>21</v>
      </c>
    </row>
    <row r="17" spans="2:12">
      <c r="B17" s="19" t="s">
        <v>74</v>
      </c>
      <c r="C17" s="17" t="s">
        <v>7</v>
      </c>
      <c r="D17" s="17" t="s">
        <v>8</v>
      </c>
      <c r="E17" s="5"/>
      <c r="F17" s="5">
        <v>2</v>
      </c>
      <c r="G17" s="5">
        <v>6</v>
      </c>
      <c r="H17" s="5">
        <v>8</v>
      </c>
      <c r="I17" s="5">
        <v>0</v>
      </c>
      <c r="J17" s="5">
        <v>2</v>
      </c>
      <c r="K17" s="5">
        <v>0</v>
      </c>
      <c r="L17" s="5">
        <f t="shared" si="0"/>
        <v>18</v>
      </c>
    </row>
    <row r="18" spans="2:12">
      <c r="B18" s="19" t="s">
        <v>75</v>
      </c>
      <c r="C18" s="17" t="s">
        <v>15</v>
      </c>
      <c r="D18" s="17" t="s">
        <v>20</v>
      </c>
      <c r="E18" s="5"/>
      <c r="F18" s="5">
        <v>3</v>
      </c>
      <c r="G18" s="5">
        <v>7</v>
      </c>
      <c r="H18" s="5">
        <v>5</v>
      </c>
      <c r="I18" s="5">
        <v>1</v>
      </c>
      <c r="J18" s="5">
        <v>0</v>
      </c>
      <c r="K18" s="5">
        <v>0</v>
      </c>
      <c r="L18" s="5">
        <f t="shared" si="0"/>
        <v>16</v>
      </c>
    </row>
    <row r="19" spans="2:12">
      <c r="B19" s="19" t="s">
        <v>76</v>
      </c>
      <c r="C19" s="17" t="s">
        <v>7</v>
      </c>
      <c r="D19" s="17" t="s">
        <v>8</v>
      </c>
      <c r="E19" s="5"/>
      <c r="F19" s="5">
        <v>1</v>
      </c>
      <c r="G19" s="5">
        <v>10</v>
      </c>
      <c r="H19" s="5">
        <v>5</v>
      </c>
      <c r="I19" s="5">
        <v>0</v>
      </c>
      <c r="J19" s="5">
        <v>0</v>
      </c>
      <c r="K19" s="5">
        <v>0</v>
      </c>
      <c r="L19" s="5">
        <f t="shared" si="0"/>
        <v>16</v>
      </c>
    </row>
    <row r="20" spans="2:12">
      <c r="B20" s="19" t="s">
        <v>77</v>
      </c>
      <c r="C20" s="17" t="s">
        <v>7</v>
      </c>
      <c r="D20" s="17" t="s">
        <v>8</v>
      </c>
      <c r="E20" s="5"/>
      <c r="F20" s="5">
        <v>7</v>
      </c>
      <c r="G20" s="5">
        <v>0</v>
      </c>
      <c r="H20" s="5">
        <v>1</v>
      </c>
      <c r="I20" s="5">
        <v>0</v>
      </c>
      <c r="J20" s="5">
        <v>2</v>
      </c>
      <c r="K20" s="5">
        <v>5</v>
      </c>
      <c r="L20" s="5">
        <f t="shared" si="0"/>
        <v>15</v>
      </c>
    </row>
    <row r="21" spans="2:12">
      <c r="B21" s="19" t="s">
        <v>78</v>
      </c>
      <c r="C21" s="17" t="s">
        <v>15</v>
      </c>
      <c r="D21" s="17" t="s">
        <v>8</v>
      </c>
      <c r="E21" s="5"/>
      <c r="F21" s="5">
        <v>5</v>
      </c>
      <c r="G21" s="5">
        <v>1</v>
      </c>
      <c r="H21" s="5">
        <v>4</v>
      </c>
      <c r="I21" s="5">
        <v>0</v>
      </c>
      <c r="J21" s="5">
        <v>0</v>
      </c>
      <c r="K21" s="5">
        <v>2</v>
      </c>
      <c r="L21" s="5">
        <f t="shared" si="0"/>
        <v>12</v>
      </c>
    </row>
    <row r="22" spans="2:12">
      <c r="B22" s="19" t="s">
        <v>79</v>
      </c>
      <c r="C22" s="17" t="s">
        <v>7</v>
      </c>
      <c r="D22" s="17" t="s">
        <v>12</v>
      </c>
      <c r="E22" s="5"/>
      <c r="F22" s="5">
        <v>11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f t="shared" si="0"/>
        <v>11</v>
      </c>
    </row>
    <row r="23" spans="2:12">
      <c r="B23" s="19" t="s">
        <v>80</v>
      </c>
      <c r="C23" s="17" t="s">
        <v>15</v>
      </c>
      <c r="D23" s="17" t="s">
        <v>22</v>
      </c>
      <c r="E23" s="5"/>
      <c r="F23" s="5">
        <v>7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f t="shared" si="0"/>
        <v>8</v>
      </c>
    </row>
    <row r="24" spans="2:12">
      <c r="B24" s="19" t="s">
        <v>81</v>
      </c>
      <c r="C24" s="17" t="s">
        <v>15</v>
      </c>
      <c r="D24" s="17" t="s">
        <v>12</v>
      </c>
      <c r="E24" s="5"/>
      <c r="F24" s="5">
        <v>1</v>
      </c>
      <c r="G24" s="5">
        <v>0</v>
      </c>
      <c r="H24" s="5">
        <v>0</v>
      </c>
      <c r="I24" s="5">
        <v>0</v>
      </c>
      <c r="J24" s="5">
        <v>4</v>
      </c>
      <c r="K24" s="5">
        <v>2</v>
      </c>
      <c r="L24" s="5">
        <f t="shared" si="0"/>
        <v>7</v>
      </c>
    </row>
    <row r="25" spans="2:12">
      <c r="B25" s="19" t="s">
        <v>82</v>
      </c>
      <c r="C25" s="17" t="s">
        <v>7</v>
      </c>
      <c r="D25" s="17" t="s">
        <v>29</v>
      </c>
      <c r="E25" s="5"/>
      <c r="F25" s="5">
        <v>0</v>
      </c>
      <c r="G25" s="5">
        <v>0</v>
      </c>
      <c r="H25" s="5">
        <v>2</v>
      </c>
      <c r="I25" s="5">
        <v>0</v>
      </c>
      <c r="J25" s="5">
        <v>2</v>
      </c>
      <c r="K25" s="5">
        <v>3</v>
      </c>
      <c r="L25" s="5">
        <f t="shared" si="0"/>
        <v>7</v>
      </c>
    </row>
    <row r="26" spans="2:12">
      <c r="B26" s="19" t="s">
        <v>83</v>
      </c>
      <c r="C26" s="17" t="s">
        <v>7</v>
      </c>
      <c r="D26" s="17" t="s">
        <v>84</v>
      </c>
      <c r="E26" s="5"/>
      <c r="F26" s="5">
        <v>1</v>
      </c>
      <c r="G26" s="5">
        <v>2</v>
      </c>
      <c r="H26" s="5">
        <v>0</v>
      </c>
      <c r="I26" s="5">
        <v>1</v>
      </c>
      <c r="J26" s="5">
        <v>1</v>
      </c>
      <c r="K26" s="5">
        <v>2</v>
      </c>
      <c r="L26" s="5">
        <f t="shared" si="0"/>
        <v>7</v>
      </c>
    </row>
    <row r="27" spans="2:12">
      <c r="B27" s="19" t="s">
        <v>85</v>
      </c>
      <c r="C27" s="17" t="s">
        <v>7</v>
      </c>
      <c r="D27" s="17" t="s">
        <v>12</v>
      </c>
      <c r="E27" s="5"/>
      <c r="F27" s="5">
        <v>1</v>
      </c>
      <c r="G27" s="5">
        <v>3</v>
      </c>
      <c r="H27" s="5">
        <v>1</v>
      </c>
      <c r="I27" s="5">
        <v>0</v>
      </c>
      <c r="J27" s="5">
        <v>0</v>
      </c>
      <c r="K27" s="5">
        <v>0</v>
      </c>
      <c r="L27" s="5">
        <f t="shared" si="0"/>
        <v>5</v>
      </c>
    </row>
    <row r="28" spans="2:12">
      <c r="B28" s="19" t="s">
        <v>86</v>
      </c>
      <c r="C28" s="17" t="s">
        <v>7</v>
      </c>
      <c r="D28" s="17" t="s">
        <v>10</v>
      </c>
      <c r="E28" s="5"/>
      <c r="F28" s="5">
        <v>0</v>
      </c>
      <c r="G28" s="5">
        <v>0</v>
      </c>
      <c r="H28" s="5">
        <v>0</v>
      </c>
      <c r="I28" s="5">
        <v>0</v>
      </c>
      <c r="J28" s="5">
        <v>5</v>
      </c>
      <c r="K28" s="5">
        <v>0</v>
      </c>
      <c r="L28" s="5">
        <f t="shared" si="0"/>
        <v>5</v>
      </c>
    </row>
    <row r="29" spans="2:12">
      <c r="B29" s="19" t="s">
        <v>87</v>
      </c>
      <c r="C29" s="17" t="s">
        <v>7</v>
      </c>
      <c r="D29" s="17" t="s">
        <v>88</v>
      </c>
      <c r="E29" s="5"/>
      <c r="F29" s="5">
        <v>0</v>
      </c>
      <c r="G29" s="5">
        <v>2</v>
      </c>
      <c r="H29" s="5">
        <v>2</v>
      </c>
      <c r="I29" s="5">
        <v>0</v>
      </c>
      <c r="J29" s="5">
        <v>1</v>
      </c>
      <c r="K29" s="5">
        <v>0</v>
      </c>
      <c r="L29" s="5">
        <f t="shared" si="0"/>
        <v>5</v>
      </c>
    </row>
    <row r="30" spans="2:12">
      <c r="B30" s="19" t="s">
        <v>89</v>
      </c>
      <c r="C30" s="17" t="s">
        <v>15</v>
      </c>
      <c r="D30" s="17" t="s">
        <v>12</v>
      </c>
      <c r="E30" s="5"/>
      <c r="F30" s="5">
        <v>0</v>
      </c>
      <c r="G30" s="5">
        <v>4</v>
      </c>
      <c r="H30" s="5">
        <v>0</v>
      </c>
      <c r="I30" s="5">
        <v>0</v>
      </c>
      <c r="J30" s="5">
        <v>0</v>
      </c>
      <c r="K30" s="5">
        <v>0</v>
      </c>
      <c r="L30" s="5">
        <f t="shared" si="0"/>
        <v>4</v>
      </c>
    </row>
    <row r="31" spans="2:12">
      <c r="B31" s="19" t="s">
        <v>90</v>
      </c>
      <c r="C31" s="17" t="s">
        <v>7</v>
      </c>
      <c r="D31" s="17" t="s">
        <v>29</v>
      </c>
      <c r="E31" s="5"/>
      <c r="F31" s="5">
        <v>0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f t="shared" si="0"/>
        <v>1</v>
      </c>
    </row>
    <row r="32" spans="2:12">
      <c r="B32" s="19" t="s">
        <v>91</v>
      </c>
      <c r="C32" s="17" t="s">
        <v>7</v>
      </c>
      <c r="D32" s="17" t="s">
        <v>12</v>
      </c>
      <c r="E32" s="5"/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f t="shared" si="0"/>
        <v>1</v>
      </c>
    </row>
    <row r="33" spans="2:12">
      <c r="B33" s="19" t="s">
        <v>92</v>
      </c>
      <c r="C33" s="17" t="s">
        <v>15</v>
      </c>
      <c r="D33" s="17" t="s">
        <v>29</v>
      </c>
      <c r="E33" s="5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f t="shared" si="0"/>
        <v>0</v>
      </c>
    </row>
    <row r="34" spans="2:12">
      <c r="B34" s="19" t="s">
        <v>93</v>
      </c>
      <c r="C34" s="17" t="s">
        <v>7</v>
      </c>
      <c r="D34" s="17" t="s">
        <v>12</v>
      </c>
      <c r="E34" s="5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f t="shared" si="0"/>
        <v>0</v>
      </c>
    </row>
    <row r="35" spans="2:12">
      <c r="B35" s="19" t="s">
        <v>94</v>
      </c>
      <c r="C35" s="17" t="s">
        <v>7</v>
      </c>
      <c r="D35" s="17" t="s">
        <v>8</v>
      </c>
      <c r="E35" s="5"/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f t="shared" si="0"/>
        <v>0</v>
      </c>
    </row>
    <row r="36" spans="2:12">
      <c r="B36" s="19" t="s">
        <v>95</v>
      </c>
      <c r="C36" s="17" t="s">
        <v>7</v>
      </c>
      <c r="D36" s="17" t="s">
        <v>96</v>
      </c>
      <c r="E36" s="5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f t="shared" si="0"/>
        <v>0</v>
      </c>
    </row>
    <row r="37" spans="2:12">
      <c r="B37" s="19" t="s">
        <v>97</v>
      </c>
      <c r="C37" s="17" t="s">
        <v>7</v>
      </c>
      <c r="D37" s="17" t="s">
        <v>29</v>
      </c>
      <c r="E37" s="5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f t="shared" si="0"/>
        <v>0</v>
      </c>
    </row>
    <row r="38" spans="2:12">
      <c r="B38" s="19" t="s">
        <v>98</v>
      </c>
      <c r="C38" s="17" t="s">
        <v>7</v>
      </c>
      <c r="D38" s="17" t="s">
        <v>8</v>
      </c>
      <c r="E38" s="5"/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f t="shared" si="0"/>
        <v>0</v>
      </c>
    </row>
    <row r="39" spans="2:12">
      <c r="B39" s="19" t="s">
        <v>99</v>
      </c>
      <c r="C39" s="17" t="s">
        <v>7</v>
      </c>
      <c r="D39" s="17" t="s">
        <v>8</v>
      </c>
      <c r="E39" s="5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f t="shared" si="0"/>
        <v>0</v>
      </c>
    </row>
    <row r="40" spans="2:12">
      <c r="B40" s="19" t="s">
        <v>100</v>
      </c>
      <c r="C40" s="17" t="s">
        <v>7</v>
      </c>
      <c r="D40" s="17" t="s">
        <v>12</v>
      </c>
      <c r="E40" s="5"/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f t="shared" si="0"/>
        <v>0</v>
      </c>
    </row>
    <row r="41" spans="2:12">
      <c r="B41" s="19" t="s">
        <v>101</v>
      </c>
      <c r="C41" s="17" t="s">
        <v>7</v>
      </c>
      <c r="D41" s="17" t="s">
        <v>12</v>
      </c>
      <c r="E41" s="5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f t="shared" si="0"/>
        <v>0</v>
      </c>
    </row>
    <row r="42" spans="2:12">
      <c r="B42" s="19" t="s">
        <v>102</v>
      </c>
      <c r="C42" s="17" t="s">
        <v>7</v>
      </c>
      <c r="D42" s="17" t="s">
        <v>46</v>
      </c>
      <c r="E42" s="5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f t="shared" si="0"/>
        <v>0</v>
      </c>
    </row>
    <row r="43" spans="2:12">
      <c r="B43" s="19" t="s">
        <v>103</v>
      </c>
      <c r="C43" s="17" t="s">
        <v>15</v>
      </c>
      <c r="D43" s="17" t="s">
        <v>10</v>
      </c>
      <c r="E43" s="5"/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f t="shared" si="0"/>
        <v>0</v>
      </c>
    </row>
    <row r="44" spans="2:12">
      <c r="B44" s="19" t="s">
        <v>104</v>
      </c>
      <c r="C44" s="17" t="s">
        <v>7</v>
      </c>
      <c r="D44" s="17" t="s">
        <v>12</v>
      </c>
      <c r="E44" s="5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f t="shared" si="0"/>
        <v>0</v>
      </c>
    </row>
    <row r="45" spans="2:12">
      <c r="B45" s="19" t="s">
        <v>105</v>
      </c>
      <c r="C45" s="17" t="s">
        <v>7</v>
      </c>
      <c r="D45" s="17" t="s">
        <v>29</v>
      </c>
      <c r="E45" s="5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f t="shared" si="0"/>
        <v>0</v>
      </c>
    </row>
    <row r="46" spans="2:12">
      <c r="B46" s="19" t="s">
        <v>106</v>
      </c>
      <c r="C46" s="17" t="s">
        <v>7</v>
      </c>
      <c r="D46" s="17" t="s">
        <v>22</v>
      </c>
      <c r="E46" s="5"/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f t="shared" si="0"/>
        <v>0</v>
      </c>
    </row>
    <row r="47" spans="2:12">
      <c r="B47" s="19" t="s">
        <v>107</v>
      </c>
      <c r="C47" s="17" t="s">
        <v>7</v>
      </c>
      <c r="D47" s="17" t="s">
        <v>108</v>
      </c>
      <c r="E47" s="5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f t="shared" si="0"/>
        <v>0</v>
      </c>
    </row>
    <row r="48" spans="2:12">
      <c r="B48" s="19" t="s">
        <v>109</v>
      </c>
      <c r="C48" s="17" t="s">
        <v>7</v>
      </c>
      <c r="D48" s="17" t="s">
        <v>110</v>
      </c>
      <c r="E48" s="5"/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f t="shared" si="0"/>
        <v>0</v>
      </c>
    </row>
    <row r="49" spans="2:12">
      <c r="B49" s="19" t="s">
        <v>111</v>
      </c>
      <c r="C49" s="17" t="s">
        <v>7</v>
      </c>
      <c r="D49" s="17" t="s">
        <v>22</v>
      </c>
      <c r="E49" s="5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f t="shared" si="0"/>
        <v>0</v>
      </c>
    </row>
    <row r="50" spans="2:12">
      <c r="L50" s="21">
        <f>SUM(L5:L49)</f>
        <v>730</v>
      </c>
    </row>
  </sheetData>
  <mergeCells count="1">
    <mergeCell ref="B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B22C-7ED7-4D45-8EA1-BD18A384D586}">
  <dimension ref="B3:N21"/>
  <sheetViews>
    <sheetView topLeftCell="A17" workbookViewId="0">
      <selection activeCell="K27" sqref="K27"/>
    </sheetView>
  </sheetViews>
  <sheetFormatPr defaultColWidth="11.42578125" defaultRowHeight="14.45"/>
  <cols>
    <col min="5" max="5" width="15" customWidth="1"/>
  </cols>
  <sheetData>
    <row r="3" spans="2:14" ht="18.600000000000001">
      <c r="B3" s="91" t="s">
        <v>112</v>
      </c>
      <c r="C3" s="116"/>
      <c r="D3" s="116"/>
      <c r="E3" s="116"/>
      <c r="F3" s="116"/>
      <c r="G3" s="116"/>
      <c r="H3" s="116"/>
      <c r="I3" s="116"/>
      <c r="J3" s="116"/>
      <c r="K3" s="116"/>
      <c r="L3" s="117"/>
    </row>
    <row r="4" spans="2:14">
      <c r="B4" s="46" t="s">
        <v>1</v>
      </c>
      <c r="C4" s="46" t="s">
        <v>2</v>
      </c>
      <c r="D4" s="46" t="s">
        <v>3</v>
      </c>
      <c r="E4" s="46" t="s">
        <v>4</v>
      </c>
      <c r="F4" s="46">
        <v>36</v>
      </c>
      <c r="G4" s="46">
        <v>38</v>
      </c>
      <c r="H4" s="46">
        <v>40</v>
      </c>
      <c r="I4" s="46">
        <v>42</v>
      </c>
      <c r="J4" s="46">
        <v>44</v>
      </c>
      <c r="K4" s="46">
        <v>46</v>
      </c>
      <c r="L4" s="46" t="s">
        <v>5</v>
      </c>
      <c r="M4" s="52">
        <v>46029</v>
      </c>
      <c r="N4" t="s">
        <v>113</v>
      </c>
    </row>
    <row r="5" spans="2:14">
      <c r="B5" s="57" t="s">
        <v>114</v>
      </c>
      <c r="C5" s="63" t="s">
        <v>15</v>
      </c>
      <c r="D5" s="4" t="s">
        <v>12</v>
      </c>
      <c r="E5" s="4"/>
      <c r="F5" s="4">
        <v>0</v>
      </c>
      <c r="G5" s="4">
        <v>3</v>
      </c>
      <c r="H5" s="4">
        <v>15</v>
      </c>
      <c r="I5" s="4">
        <v>7</v>
      </c>
      <c r="J5" s="4">
        <v>16</v>
      </c>
      <c r="K5" s="4">
        <v>7</v>
      </c>
      <c r="L5" s="4">
        <f t="shared" ref="L5:L17" si="0">SUM(F5:K5)</f>
        <v>48</v>
      </c>
    </row>
    <row r="6" spans="2:14">
      <c r="B6" s="58" t="s">
        <v>115</v>
      </c>
      <c r="C6" s="64" t="s">
        <v>7</v>
      </c>
      <c r="D6" s="59" t="s">
        <v>116</v>
      </c>
      <c r="E6" s="59" t="s">
        <v>18</v>
      </c>
      <c r="F6" s="59">
        <v>5</v>
      </c>
      <c r="G6" s="59">
        <v>11</v>
      </c>
      <c r="H6" s="59">
        <v>12</v>
      </c>
      <c r="I6" s="59">
        <v>6</v>
      </c>
      <c r="J6" s="59">
        <v>6</v>
      </c>
      <c r="K6" s="59">
        <v>2</v>
      </c>
      <c r="L6" s="59">
        <f t="shared" si="0"/>
        <v>42</v>
      </c>
    </row>
    <row r="7" spans="2:14">
      <c r="B7" s="57" t="s">
        <v>117</v>
      </c>
      <c r="C7" s="65" t="s">
        <v>15</v>
      </c>
      <c r="D7" s="10" t="s">
        <v>20</v>
      </c>
      <c r="E7" s="10"/>
      <c r="F7" s="10">
        <v>6</v>
      </c>
      <c r="G7" s="10">
        <v>5</v>
      </c>
      <c r="H7" s="10">
        <v>6</v>
      </c>
      <c r="I7" s="10">
        <v>4</v>
      </c>
      <c r="J7" s="10">
        <v>4</v>
      </c>
      <c r="K7" s="10">
        <v>0</v>
      </c>
      <c r="L7" s="10">
        <f>SUM(F7:K7)</f>
        <v>25</v>
      </c>
    </row>
    <row r="8" spans="2:14">
      <c r="B8" s="57" t="s">
        <v>118</v>
      </c>
      <c r="C8" s="65" t="s">
        <v>119</v>
      </c>
      <c r="D8" s="10" t="s">
        <v>10</v>
      </c>
      <c r="E8" s="10"/>
      <c r="F8" s="10">
        <v>3</v>
      </c>
      <c r="G8" s="10">
        <v>4</v>
      </c>
      <c r="H8" s="10">
        <v>4</v>
      </c>
      <c r="I8" s="10">
        <v>4</v>
      </c>
      <c r="J8" s="10">
        <v>3</v>
      </c>
      <c r="K8" s="10">
        <v>2</v>
      </c>
      <c r="L8" s="10">
        <f>SUM(F8:K8)</f>
        <v>20</v>
      </c>
    </row>
    <row r="9" spans="2:14">
      <c r="B9" s="57" t="s">
        <v>120</v>
      </c>
      <c r="C9" s="65" t="s">
        <v>119</v>
      </c>
      <c r="D9" s="10" t="s">
        <v>29</v>
      </c>
      <c r="E9" s="10" t="s">
        <v>121</v>
      </c>
      <c r="F9" s="10">
        <v>6</v>
      </c>
      <c r="G9" s="10">
        <v>5</v>
      </c>
      <c r="H9" s="10">
        <v>6</v>
      </c>
      <c r="I9" s="10">
        <v>4</v>
      </c>
      <c r="J9" s="10">
        <v>4</v>
      </c>
      <c r="K9" s="10">
        <v>0</v>
      </c>
      <c r="L9" s="10">
        <f>SUM(F9:K9)</f>
        <v>25</v>
      </c>
    </row>
    <row r="10" spans="2:14">
      <c r="B10" s="22" t="s">
        <v>122</v>
      </c>
      <c r="C10" s="66" t="s">
        <v>119</v>
      </c>
      <c r="D10" s="9" t="s">
        <v>22</v>
      </c>
      <c r="E10" s="9"/>
      <c r="F10" s="11">
        <v>2</v>
      </c>
      <c r="G10" s="11">
        <v>4</v>
      </c>
      <c r="H10" s="11">
        <v>3</v>
      </c>
      <c r="I10" s="11">
        <v>0</v>
      </c>
      <c r="J10" s="11">
        <v>0</v>
      </c>
      <c r="K10" s="11">
        <v>2</v>
      </c>
      <c r="L10" s="10">
        <f t="shared" si="0"/>
        <v>11</v>
      </c>
    </row>
    <row r="11" spans="2:14">
      <c r="B11" s="57" t="s">
        <v>123</v>
      </c>
      <c r="C11" s="10" t="s">
        <v>119</v>
      </c>
      <c r="D11" s="10" t="s">
        <v>29</v>
      </c>
      <c r="E11" s="10"/>
      <c r="F11" s="10">
        <v>3</v>
      </c>
      <c r="G11" s="10">
        <v>3</v>
      </c>
      <c r="H11" s="10">
        <v>2</v>
      </c>
      <c r="I11" s="10">
        <v>0</v>
      </c>
      <c r="J11" s="10">
        <v>0</v>
      </c>
      <c r="K11" s="10">
        <v>1</v>
      </c>
      <c r="L11" s="10">
        <f>SUM(F11:K11)</f>
        <v>9</v>
      </c>
    </row>
    <row r="12" spans="2:14">
      <c r="B12" s="57" t="s">
        <v>124</v>
      </c>
      <c r="C12" s="10" t="s">
        <v>7</v>
      </c>
      <c r="D12" s="10" t="s">
        <v>20</v>
      </c>
      <c r="E12" s="10"/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f t="shared" si="0"/>
        <v>0</v>
      </c>
    </row>
    <row r="13" spans="2:14">
      <c r="B13" s="57" t="s">
        <v>125</v>
      </c>
      <c r="C13" s="10" t="s">
        <v>7</v>
      </c>
      <c r="D13" s="10" t="s">
        <v>12</v>
      </c>
      <c r="E13" s="10" t="s">
        <v>126</v>
      </c>
      <c r="F13" s="10">
        <v>3</v>
      </c>
      <c r="G13" s="10">
        <v>1</v>
      </c>
      <c r="H13" s="10">
        <v>0</v>
      </c>
      <c r="I13" s="10">
        <v>0</v>
      </c>
      <c r="J13" s="10">
        <v>0</v>
      </c>
      <c r="K13" s="10">
        <v>1</v>
      </c>
      <c r="L13" s="10">
        <f>SUM(F13:K13)</f>
        <v>5</v>
      </c>
    </row>
    <row r="14" spans="2:14">
      <c r="B14" s="60" t="s">
        <v>127</v>
      </c>
      <c r="C14" s="61" t="s">
        <v>119</v>
      </c>
      <c r="D14" s="61" t="s">
        <v>8</v>
      </c>
      <c r="E14" s="61" t="s">
        <v>128</v>
      </c>
      <c r="F14" s="61">
        <v>0</v>
      </c>
      <c r="G14" s="61">
        <v>1</v>
      </c>
      <c r="H14" s="61">
        <v>0</v>
      </c>
      <c r="I14" s="61">
        <v>0</v>
      </c>
      <c r="J14" s="61">
        <v>0</v>
      </c>
      <c r="K14" s="61">
        <v>0</v>
      </c>
      <c r="L14" s="62">
        <f t="shared" si="0"/>
        <v>1</v>
      </c>
    </row>
    <row r="15" spans="2:14">
      <c r="B15" s="47" t="s">
        <v>129</v>
      </c>
      <c r="C15" s="10" t="s">
        <v>7</v>
      </c>
      <c r="D15" s="10" t="s">
        <v>29</v>
      </c>
      <c r="E15" s="10"/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f t="shared" si="0"/>
        <v>0</v>
      </c>
    </row>
    <row r="16" spans="2:14">
      <c r="B16" s="47" t="s">
        <v>130</v>
      </c>
      <c r="C16" s="61" t="s">
        <v>7</v>
      </c>
      <c r="D16" s="10" t="s">
        <v>8</v>
      </c>
      <c r="E16" s="10"/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f t="shared" si="0"/>
        <v>0</v>
      </c>
    </row>
    <row r="17" spans="2:12">
      <c r="B17" s="47" t="s">
        <v>131</v>
      </c>
      <c r="C17" s="10" t="s">
        <v>7</v>
      </c>
      <c r="D17" s="10" t="s">
        <v>29</v>
      </c>
      <c r="E17" s="10"/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f t="shared" si="0"/>
        <v>0</v>
      </c>
    </row>
    <row r="18" spans="2:12">
      <c r="B18" s="48">
        <v>416500</v>
      </c>
      <c r="C18" s="10" t="s">
        <v>7</v>
      </c>
      <c r="D18" s="10" t="s">
        <v>8</v>
      </c>
      <c r="E18" s="9"/>
      <c r="F18" s="11">
        <v>0</v>
      </c>
      <c r="G18" s="10">
        <v>0</v>
      </c>
      <c r="H18" s="11">
        <v>0</v>
      </c>
      <c r="I18" s="11">
        <v>0</v>
      </c>
      <c r="J18" s="11">
        <v>0</v>
      </c>
      <c r="K18" s="11">
        <v>0</v>
      </c>
      <c r="L18" s="11">
        <f>SUM(F18:K18)</f>
        <v>0</v>
      </c>
    </row>
    <row r="21" spans="2:12">
      <c r="L21" s="21">
        <f>SUM(L5:L20)</f>
        <v>186</v>
      </c>
    </row>
  </sheetData>
  <mergeCells count="1">
    <mergeCell ref="B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103A-CDAB-4900-9F11-1B2050D63174}">
  <dimension ref="A2:L132"/>
  <sheetViews>
    <sheetView zoomScaleNormal="100" workbookViewId="0">
      <pane xSplit="4" topLeftCell="E69" activePane="topRight" state="frozen"/>
      <selection pane="topRight" activeCell="H34" sqref="H34"/>
    </sheetView>
  </sheetViews>
  <sheetFormatPr defaultColWidth="11.42578125" defaultRowHeight="14.45"/>
  <cols>
    <col min="5" max="5" width="19.140625" customWidth="1"/>
    <col min="6" max="6" width="9.42578125" customWidth="1"/>
    <col min="7" max="7" width="7.140625" customWidth="1"/>
    <col min="8" max="8" width="8" customWidth="1"/>
    <col min="9" max="10" width="9" customWidth="1"/>
    <col min="11" max="11" width="7.5703125" customWidth="1"/>
  </cols>
  <sheetData>
    <row r="2" spans="1:12" ht="18.600000000000001">
      <c r="E2" s="84" t="s">
        <v>132</v>
      </c>
      <c r="F2" s="85"/>
      <c r="G2" s="85"/>
      <c r="H2" s="85"/>
      <c r="I2" s="85"/>
      <c r="J2" s="85"/>
      <c r="K2" s="85"/>
      <c r="L2" s="86"/>
    </row>
    <row r="3" spans="1:12">
      <c r="B3" s="15" t="s">
        <v>1</v>
      </c>
      <c r="C3" s="13" t="s">
        <v>2</v>
      </c>
      <c r="D3" s="13" t="s">
        <v>3</v>
      </c>
      <c r="E3" s="76" t="s">
        <v>4</v>
      </c>
      <c r="F3" s="77">
        <v>36</v>
      </c>
      <c r="G3" s="77">
        <v>38</v>
      </c>
      <c r="H3" s="77">
        <v>40</v>
      </c>
      <c r="I3" s="77">
        <v>42</v>
      </c>
      <c r="J3" s="77">
        <v>44</v>
      </c>
      <c r="K3" s="77">
        <v>46</v>
      </c>
      <c r="L3" s="76" t="s">
        <v>5</v>
      </c>
    </row>
    <row r="4" spans="1:12">
      <c r="A4" s="8"/>
      <c r="B4" s="11">
        <v>422200</v>
      </c>
      <c r="C4" s="9" t="s">
        <v>15</v>
      </c>
      <c r="D4" s="9" t="s">
        <v>10</v>
      </c>
      <c r="E4" s="9" t="s">
        <v>133</v>
      </c>
      <c r="F4" s="10">
        <v>0</v>
      </c>
      <c r="G4" s="10">
        <v>18</v>
      </c>
      <c r="H4" s="10">
        <v>17</v>
      </c>
      <c r="I4" s="10">
        <v>14</v>
      </c>
      <c r="J4" s="10">
        <v>10</v>
      </c>
      <c r="K4" s="10">
        <v>11</v>
      </c>
      <c r="L4" s="9">
        <f t="shared" ref="L4:L35" si="0">SUM(F4:K4)</f>
        <v>70</v>
      </c>
    </row>
    <row r="5" spans="1:12">
      <c r="A5" s="8"/>
      <c r="B5" s="11">
        <v>424900</v>
      </c>
      <c r="C5" s="9" t="s">
        <v>7</v>
      </c>
      <c r="D5" s="9" t="s">
        <v>29</v>
      </c>
      <c r="E5" s="9" t="s">
        <v>134</v>
      </c>
      <c r="F5" s="10">
        <v>15</v>
      </c>
      <c r="G5" s="10">
        <v>29</v>
      </c>
      <c r="H5" s="11">
        <v>34</v>
      </c>
      <c r="I5" s="10">
        <v>23</v>
      </c>
      <c r="J5" s="10">
        <v>19</v>
      </c>
      <c r="K5" s="10">
        <v>5</v>
      </c>
      <c r="L5" s="9">
        <f t="shared" si="0"/>
        <v>125</v>
      </c>
    </row>
    <row r="6" spans="1:12">
      <c r="A6" s="8"/>
      <c r="B6" s="11">
        <v>423600</v>
      </c>
      <c r="C6" s="9" t="s">
        <v>7</v>
      </c>
      <c r="D6" s="9" t="s">
        <v>29</v>
      </c>
      <c r="E6" s="9" t="s">
        <v>135</v>
      </c>
      <c r="F6" s="10">
        <v>14</v>
      </c>
      <c r="G6" s="10">
        <v>28</v>
      </c>
      <c r="H6" s="10">
        <v>19</v>
      </c>
      <c r="I6" s="10">
        <v>16</v>
      </c>
      <c r="J6" s="10">
        <v>11</v>
      </c>
      <c r="K6" s="10">
        <v>16</v>
      </c>
      <c r="L6" s="9">
        <f t="shared" si="0"/>
        <v>104</v>
      </c>
    </row>
    <row r="7" spans="1:12">
      <c r="A7" s="8"/>
      <c r="B7" s="11">
        <v>423500</v>
      </c>
      <c r="C7" s="9" t="s">
        <v>7</v>
      </c>
      <c r="D7" s="9" t="s">
        <v>8</v>
      </c>
      <c r="E7" s="9" t="s">
        <v>135</v>
      </c>
      <c r="F7" s="10">
        <v>9</v>
      </c>
      <c r="G7" s="10">
        <v>16</v>
      </c>
      <c r="H7" s="10">
        <v>16</v>
      </c>
      <c r="I7" s="10">
        <v>20</v>
      </c>
      <c r="J7" s="10">
        <v>17</v>
      </c>
      <c r="K7" s="10">
        <v>10</v>
      </c>
      <c r="L7" s="9">
        <f t="shared" si="0"/>
        <v>88</v>
      </c>
    </row>
    <row r="8" spans="1:12">
      <c r="A8" s="8"/>
      <c r="B8" s="11">
        <v>420301</v>
      </c>
      <c r="C8" s="9" t="s">
        <v>15</v>
      </c>
      <c r="D8" s="9" t="s">
        <v>10</v>
      </c>
      <c r="E8" s="9" t="s">
        <v>136</v>
      </c>
      <c r="F8" s="11">
        <v>4</v>
      </c>
      <c r="G8" s="11">
        <v>11</v>
      </c>
      <c r="H8" s="11">
        <v>16</v>
      </c>
      <c r="I8" s="11">
        <v>21</v>
      </c>
      <c r="J8" s="11">
        <v>18</v>
      </c>
      <c r="K8" s="11">
        <v>10</v>
      </c>
      <c r="L8" s="9">
        <f t="shared" si="0"/>
        <v>80</v>
      </c>
    </row>
    <row r="9" spans="1:12">
      <c r="A9" s="8"/>
      <c r="B9" s="11">
        <v>421000</v>
      </c>
      <c r="C9" s="9" t="s">
        <v>15</v>
      </c>
      <c r="D9" s="9" t="s">
        <v>20</v>
      </c>
      <c r="E9" s="9" t="s">
        <v>135</v>
      </c>
      <c r="F9" s="11">
        <v>5</v>
      </c>
      <c r="G9" s="11">
        <v>15</v>
      </c>
      <c r="H9" s="11">
        <v>15</v>
      </c>
      <c r="I9" s="11">
        <v>15</v>
      </c>
      <c r="J9" s="11">
        <v>10</v>
      </c>
      <c r="K9" s="11">
        <v>10</v>
      </c>
      <c r="L9" s="9">
        <f t="shared" si="0"/>
        <v>70</v>
      </c>
    </row>
    <row r="10" spans="1:12">
      <c r="A10" s="8"/>
      <c r="B10" s="11">
        <v>422800</v>
      </c>
      <c r="C10" s="9" t="s">
        <v>15</v>
      </c>
      <c r="D10" s="9" t="s">
        <v>12</v>
      </c>
      <c r="E10" s="9" t="s">
        <v>61</v>
      </c>
      <c r="F10" s="10">
        <v>0</v>
      </c>
      <c r="G10" s="10">
        <v>0</v>
      </c>
      <c r="H10" s="10">
        <v>28</v>
      </c>
      <c r="I10" s="10">
        <v>0</v>
      </c>
      <c r="J10" s="10">
        <v>27</v>
      </c>
      <c r="K10" s="10">
        <v>0</v>
      </c>
      <c r="L10" s="9">
        <f t="shared" si="0"/>
        <v>55</v>
      </c>
    </row>
    <row r="11" spans="1:12">
      <c r="A11" s="8"/>
      <c r="B11" s="11">
        <v>420800</v>
      </c>
      <c r="C11" s="9" t="s">
        <v>7</v>
      </c>
      <c r="D11" s="9" t="s">
        <v>12</v>
      </c>
      <c r="E11" s="9" t="s">
        <v>135</v>
      </c>
      <c r="F11" s="11">
        <v>6</v>
      </c>
      <c r="G11" s="11">
        <v>11</v>
      </c>
      <c r="H11" s="11">
        <v>14</v>
      </c>
      <c r="I11" s="11">
        <v>13</v>
      </c>
      <c r="J11" s="11">
        <v>6</v>
      </c>
      <c r="K11" s="10">
        <v>6</v>
      </c>
      <c r="L11" s="9">
        <f t="shared" si="0"/>
        <v>56</v>
      </c>
    </row>
    <row r="12" spans="1:12">
      <c r="A12" s="8"/>
      <c r="B12" s="11">
        <v>422000</v>
      </c>
      <c r="C12" s="9" t="s">
        <v>7</v>
      </c>
      <c r="D12" s="9" t="s">
        <v>8</v>
      </c>
      <c r="E12" s="9" t="s">
        <v>135</v>
      </c>
      <c r="F12" s="10">
        <v>32</v>
      </c>
      <c r="G12" s="10">
        <v>6</v>
      </c>
      <c r="H12" s="10">
        <v>8</v>
      </c>
      <c r="I12" s="10">
        <v>4</v>
      </c>
      <c r="J12" s="10">
        <v>3</v>
      </c>
      <c r="K12" s="10">
        <v>0</v>
      </c>
      <c r="L12" s="9">
        <f t="shared" si="0"/>
        <v>53</v>
      </c>
    </row>
    <row r="13" spans="1:12">
      <c r="B13" s="11">
        <v>421400</v>
      </c>
      <c r="C13" s="9" t="s">
        <v>7</v>
      </c>
      <c r="D13" s="9" t="s">
        <v>20</v>
      </c>
      <c r="E13" s="9" t="s">
        <v>61</v>
      </c>
      <c r="F13" s="10">
        <v>4</v>
      </c>
      <c r="G13" s="10">
        <v>1</v>
      </c>
      <c r="H13" s="10">
        <v>5</v>
      </c>
      <c r="I13" s="10">
        <v>5</v>
      </c>
      <c r="J13" s="10">
        <v>10</v>
      </c>
      <c r="K13" s="10">
        <v>24</v>
      </c>
      <c r="L13" s="9">
        <f t="shared" si="0"/>
        <v>49</v>
      </c>
    </row>
    <row r="14" spans="1:12">
      <c r="A14" s="8"/>
      <c r="B14" s="11">
        <v>424400</v>
      </c>
      <c r="C14" s="9" t="s">
        <v>7</v>
      </c>
      <c r="D14" s="9" t="s">
        <v>8</v>
      </c>
      <c r="E14" s="9" t="s">
        <v>137</v>
      </c>
      <c r="F14" s="10">
        <v>16</v>
      </c>
      <c r="G14" s="10">
        <v>10</v>
      </c>
      <c r="H14" s="10">
        <v>6</v>
      </c>
      <c r="I14" s="10">
        <v>15</v>
      </c>
      <c r="J14" s="10">
        <v>0</v>
      </c>
      <c r="K14" s="10">
        <v>0</v>
      </c>
      <c r="L14" s="9">
        <f t="shared" si="0"/>
        <v>47</v>
      </c>
    </row>
    <row r="15" spans="1:12">
      <c r="A15" s="8"/>
      <c r="B15" s="11">
        <v>424600</v>
      </c>
      <c r="C15" s="9" t="s">
        <v>7</v>
      </c>
      <c r="D15" s="9" t="s">
        <v>10</v>
      </c>
      <c r="E15" s="9" t="s">
        <v>135</v>
      </c>
      <c r="F15" s="10">
        <v>3</v>
      </c>
      <c r="G15" s="10">
        <v>0</v>
      </c>
      <c r="H15" s="10">
        <v>17</v>
      </c>
      <c r="I15" s="10">
        <v>12</v>
      </c>
      <c r="J15" s="10">
        <v>14</v>
      </c>
      <c r="K15" s="10">
        <v>0</v>
      </c>
      <c r="L15" s="9">
        <f t="shared" si="0"/>
        <v>46</v>
      </c>
    </row>
    <row r="16" spans="1:12">
      <c r="B16" s="11">
        <v>422101</v>
      </c>
      <c r="C16" s="9" t="s">
        <v>7</v>
      </c>
      <c r="D16" s="9" t="s">
        <v>8</v>
      </c>
      <c r="E16" s="9" t="s">
        <v>138</v>
      </c>
      <c r="F16" s="10">
        <v>14</v>
      </c>
      <c r="G16" s="10">
        <v>0</v>
      </c>
      <c r="H16" s="10">
        <v>12</v>
      </c>
      <c r="I16" s="10">
        <v>7</v>
      </c>
      <c r="J16" s="10">
        <v>11</v>
      </c>
      <c r="K16" s="10">
        <v>0</v>
      </c>
      <c r="L16" s="9">
        <f t="shared" si="0"/>
        <v>44</v>
      </c>
    </row>
    <row r="17" spans="1:12">
      <c r="B17" s="11">
        <v>422701</v>
      </c>
      <c r="C17" s="9" t="s">
        <v>7</v>
      </c>
      <c r="D17" s="9" t="s">
        <v>22</v>
      </c>
      <c r="E17" s="9" t="s">
        <v>139</v>
      </c>
      <c r="F17" s="10">
        <v>4</v>
      </c>
      <c r="G17" s="10">
        <v>3</v>
      </c>
      <c r="H17" s="10">
        <v>3</v>
      </c>
      <c r="I17" s="10">
        <v>7</v>
      </c>
      <c r="J17" s="10">
        <v>12</v>
      </c>
      <c r="K17" s="10">
        <v>15</v>
      </c>
      <c r="L17" s="9">
        <f t="shared" si="0"/>
        <v>44</v>
      </c>
    </row>
    <row r="18" spans="1:12">
      <c r="B18" s="11">
        <v>420160</v>
      </c>
      <c r="C18" s="9" t="s">
        <v>7</v>
      </c>
      <c r="D18" s="9" t="s">
        <v>8</v>
      </c>
      <c r="E18" s="9" t="s">
        <v>140</v>
      </c>
      <c r="F18" s="10">
        <v>0</v>
      </c>
      <c r="G18" s="10">
        <v>12</v>
      </c>
      <c r="H18" s="10">
        <v>9</v>
      </c>
      <c r="I18" s="10">
        <v>10</v>
      </c>
      <c r="J18" s="10">
        <v>6</v>
      </c>
      <c r="K18" s="10">
        <v>5</v>
      </c>
      <c r="L18" s="9">
        <f t="shared" si="0"/>
        <v>42</v>
      </c>
    </row>
    <row r="19" spans="1:12">
      <c r="B19" s="11">
        <v>424900</v>
      </c>
      <c r="C19" s="9" t="s">
        <v>119</v>
      </c>
      <c r="D19" s="9" t="s">
        <v>29</v>
      </c>
      <c r="E19" s="9" t="s">
        <v>61</v>
      </c>
      <c r="F19" s="10">
        <v>4</v>
      </c>
      <c r="G19" s="10">
        <v>12</v>
      </c>
      <c r="H19" s="9">
        <v>13</v>
      </c>
      <c r="I19" s="10">
        <v>6</v>
      </c>
      <c r="J19" s="10">
        <v>3</v>
      </c>
      <c r="K19" s="10">
        <v>0</v>
      </c>
      <c r="L19" s="9">
        <f t="shared" si="0"/>
        <v>38</v>
      </c>
    </row>
    <row r="20" spans="1:12">
      <c r="A20" s="8"/>
      <c r="B20" s="11">
        <v>422900</v>
      </c>
      <c r="C20" s="9" t="s">
        <v>7</v>
      </c>
      <c r="D20" s="9" t="s">
        <v>8</v>
      </c>
      <c r="E20" s="9" t="s">
        <v>135</v>
      </c>
      <c r="F20" s="10">
        <v>35</v>
      </c>
      <c r="G20" s="10">
        <v>1</v>
      </c>
      <c r="H20" s="10">
        <v>0</v>
      </c>
      <c r="I20" s="10">
        <v>0</v>
      </c>
      <c r="J20" s="10">
        <v>2</v>
      </c>
      <c r="K20" s="10">
        <v>0</v>
      </c>
      <c r="L20" s="9">
        <f t="shared" si="0"/>
        <v>38</v>
      </c>
    </row>
    <row r="21" spans="1:12">
      <c r="A21" s="8"/>
      <c r="B21" s="11">
        <v>420100</v>
      </c>
      <c r="C21" s="9" t="s">
        <v>7</v>
      </c>
      <c r="D21" s="9" t="s">
        <v>8</v>
      </c>
      <c r="E21" s="9" t="s">
        <v>133</v>
      </c>
      <c r="F21" s="10">
        <v>8</v>
      </c>
      <c r="G21" s="10">
        <v>0</v>
      </c>
      <c r="H21" s="10">
        <v>29</v>
      </c>
      <c r="I21" s="10">
        <v>0</v>
      </c>
      <c r="J21" s="10">
        <v>0</v>
      </c>
      <c r="K21" s="10">
        <v>0</v>
      </c>
      <c r="L21" s="9">
        <f t="shared" si="0"/>
        <v>37</v>
      </c>
    </row>
    <row r="22" spans="1:12">
      <c r="A22" s="8"/>
      <c r="B22" s="11">
        <v>424900</v>
      </c>
      <c r="C22" s="9" t="s">
        <v>119</v>
      </c>
      <c r="D22" s="9" t="s">
        <v>29</v>
      </c>
      <c r="E22" s="9" t="s">
        <v>141</v>
      </c>
      <c r="F22" s="10">
        <v>7</v>
      </c>
      <c r="G22" s="10">
        <v>12</v>
      </c>
      <c r="H22" s="11">
        <v>0</v>
      </c>
      <c r="I22" s="10">
        <v>12</v>
      </c>
      <c r="J22" s="10">
        <v>4</v>
      </c>
      <c r="K22" s="10">
        <v>2</v>
      </c>
      <c r="L22" s="9">
        <f t="shared" si="0"/>
        <v>37</v>
      </c>
    </row>
    <row r="23" spans="1:12">
      <c r="A23" s="8"/>
      <c r="B23" s="11">
        <v>423000</v>
      </c>
      <c r="C23" s="9" t="s">
        <v>7</v>
      </c>
      <c r="D23" s="9" t="s">
        <v>29</v>
      </c>
      <c r="E23" s="9" t="s">
        <v>135</v>
      </c>
      <c r="F23" s="10">
        <v>7</v>
      </c>
      <c r="G23" s="10">
        <v>0</v>
      </c>
      <c r="H23" s="10">
        <v>0</v>
      </c>
      <c r="I23" s="10">
        <v>1</v>
      </c>
      <c r="J23" s="10">
        <v>19</v>
      </c>
      <c r="K23" s="10">
        <v>8</v>
      </c>
      <c r="L23" s="9">
        <f t="shared" si="0"/>
        <v>35</v>
      </c>
    </row>
    <row r="24" spans="1:12">
      <c r="A24" s="8"/>
      <c r="B24" s="11">
        <v>421100</v>
      </c>
      <c r="C24" s="9" t="s">
        <v>7</v>
      </c>
      <c r="D24" s="9" t="s">
        <v>12</v>
      </c>
      <c r="E24" s="9" t="s">
        <v>135</v>
      </c>
      <c r="F24" s="10">
        <v>1</v>
      </c>
      <c r="G24" s="10">
        <v>1</v>
      </c>
      <c r="H24" s="10">
        <v>3</v>
      </c>
      <c r="I24" s="10">
        <v>5</v>
      </c>
      <c r="J24" s="10">
        <v>18</v>
      </c>
      <c r="K24" s="10">
        <v>5</v>
      </c>
      <c r="L24" s="9">
        <f t="shared" si="0"/>
        <v>33</v>
      </c>
    </row>
    <row r="25" spans="1:12">
      <c r="B25" s="11">
        <v>424801</v>
      </c>
      <c r="C25" s="9" t="s">
        <v>7</v>
      </c>
      <c r="D25" s="9" t="s">
        <v>22</v>
      </c>
      <c r="E25" s="9" t="s">
        <v>136</v>
      </c>
      <c r="F25" s="10">
        <v>1</v>
      </c>
      <c r="G25" s="10">
        <v>7</v>
      </c>
      <c r="H25" s="10">
        <v>2</v>
      </c>
      <c r="I25" s="10">
        <v>9</v>
      </c>
      <c r="J25" s="10">
        <v>6</v>
      </c>
      <c r="K25" s="10">
        <v>4</v>
      </c>
      <c r="L25" s="9">
        <f t="shared" si="0"/>
        <v>29</v>
      </c>
    </row>
    <row r="26" spans="1:12">
      <c r="B26" s="11">
        <v>421801</v>
      </c>
      <c r="C26" s="9" t="s">
        <v>7</v>
      </c>
      <c r="D26" s="9" t="s">
        <v>12</v>
      </c>
      <c r="E26" s="9" t="s">
        <v>135</v>
      </c>
      <c r="F26" s="10">
        <v>0</v>
      </c>
      <c r="G26" s="10">
        <v>0</v>
      </c>
      <c r="H26" s="10">
        <v>4</v>
      </c>
      <c r="I26" s="10">
        <v>4</v>
      </c>
      <c r="J26" s="10">
        <v>11</v>
      </c>
      <c r="K26" s="10">
        <v>9</v>
      </c>
      <c r="L26" s="9">
        <f t="shared" si="0"/>
        <v>28</v>
      </c>
    </row>
    <row r="27" spans="1:12">
      <c r="A27" s="8"/>
      <c r="B27" s="11">
        <v>421901</v>
      </c>
      <c r="C27" s="9" t="s">
        <v>7</v>
      </c>
      <c r="D27" s="9" t="s">
        <v>8</v>
      </c>
      <c r="E27" s="9" t="s">
        <v>135</v>
      </c>
      <c r="F27" s="10">
        <v>2</v>
      </c>
      <c r="G27" s="10">
        <v>8</v>
      </c>
      <c r="H27" s="10">
        <v>6</v>
      </c>
      <c r="I27" s="10">
        <v>5</v>
      </c>
      <c r="J27" s="10">
        <v>4</v>
      </c>
      <c r="K27" s="10">
        <v>1</v>
      </c>
      <c r="L27" s="9">
        <f t="shared" si="0"/>
        <v>26</v>
      </c>
    </row>
    <row r="28" spans="1:12">
      <c r="A28" s="8"/>
      <c r="B28" s="11">
        <v>422300</v>
      </c>
      <c r="C28" s="9" t="s">
        <v>15</v>
      </c>
      <c r="D28" s="9" t="s">
        <v>12</v>
      </c>
      <c r="E28" s="9" t="s">
        <v>61</v>
      </c>
      <c r="F28" s="10">
        <v>6</v>
      </c>
      <c r="G28" s="10">
        <v>2</v>
      </c>
      <c r="H28" s="10">
        <v>4</v>
      </c>
      <c r="I28" s="10">
        <v>11</v>
      </c>
      <c r="J28" s="10">
        <v>3</v>
      </c>
      <c r="K28" s="10">
        <v>0</v>
      </c>
      <c r="L28" s="9">
        <f t="shared" si="0"/>
        <v>26</v>
      </c>
    </row>
    <row r="29" spans="1:12">
      <c r="A29" s="8"/>
      <c r="B29" s="11">
        <v>421902</v>
      </c>
      <c r="C29" s="9" t="s">
        <v>7</v>
      </c>
      <c r="D29" s="9" t="s">
        <v>8</v>
      </c>
      <c r="E29" s="9" t="s">
        <v>142</v>
      </c>
      <c r="F29" s="10">
        <v>2</v>
      </c>
      <c r="G29" s="10">
        <v>6</v>
      </c>
      <c r="H29" s="10">
        <v>6</v>
      </c>
      <c r="I29" s="10">
        <v>5</v>
      </c>
      <c r="J29" s="10">
        <v>4</v>
      </c>
      <c r="K29" s="10">
        <v>2</v>
      </c>
      <c r="L29" s="9">
        <f t="shared" si="0"/>
        <v>25</v>
      </c>
    </row>
    <row r="30" spans="1:12">
      <c r="A30" s="8"/>
      <c r="B30" s="11">
        <v>422700</v>
      </c>
      <c r="C30" s="9" t="s">
        <v>7</v>
      </c>
      <c r="D30" s="9" t="s">
        <v>143</v>
      </c>
      <c r="E30" s="9" t="s">
        <v>135</v>
      </c>
      <c r="F30" s="10">
        <v>5</v>
      </c>
      <c r="G30" s="10">
        <v>7</v>
      </c>
      <c r="H30" s="10">
        <v>6</v>
      </c>
      <c r="I30" s="10">
        <v>0</v>
      </c>
      <c r="J30" s="10">
        <v>0</v>
      </c>
      <c r="K30" s="10">
        <v>5</v>
      </c>
      <c r="L30" s="9">
        <f t="shared" si="0"/>
        <v>23</v>
      </c>
    </row>
    <row r="31" spans="1:12">
      <c r="A31" s="8"/>
      <c r="B31" s="11">
        <v>420400</v>
      </c>
      <c r="C31" s="9" t="s">
        <v>15</v>
      </c>
      <c r="D31" s="9" t="s">
        <v>12</v>
      </c>
      <c r="E31" s="9" t="s">
        <v>144</v>
      </c>
      <c r="F31" s="10">
        <v>22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9">
        <f t="shared" si="0"/>
        <v>22</v>
      </c>
    </row>
    <row r="32" spans="1:12">
      <c r="B32" s="11">
        <v>422190</v>
      </c>
      <c r="C32" s="9" t="s">
        <v>7</v>
      </c>
      <c r="D32" s="9" t="s">
        <v>10</v>
      </c>
      <c r="E32" s="9" t="s">
        <v>145</v>
      </c>
      <c r="F32" s="10">
        <v>2</v>
      </c>
      <c r="G32" s="10">
        <v>2</v>
      </c>
      <c r="H32" s="11">
        <v>5</v>
      </c>
      <c r="I32" s="10">
        <v>5</v>
      </c>
      <c r="J32" s="10">
        <v>3</v>
      </c>
      <c r="K32" s="10">
        <v>2</v>
      </c>
      <c r="L32" s="9">
        <f t="shared" si="0"/>
        <v>19</v>
      </c>
    </row>
    <row r="33" spans="1:12">
      <c r="B33" s="11">
        <v>420101</v>
      </c>
      <c r="C33" s="9" t="s">
        <v>7</v>
      </c>
      <c r="D33" s="9" t="s">
        <v>8</v>
      </c>
      <c r="E33" s="9" t="s">
        <v>135</v>
      </c>
      <c r="F33" s="10">
        <v>5</v>
      </c>
      <c r="G33" s="10">
        <v>3</v>
      </c>
      <c r="H33" s="10">
        <v>0</v>
      </c>
      <c r="I33" s="10">
        <v>3</v>
      </c>
      <c r="J33" s="10">
        <v>3</v>
      </c>
      <c r="K33" s="10">
        <v>0</v>
      </c>
      <c r="L33" s="9">
        <f t="shared" si="0"/>
        <v>14</v>
      </c>
    </row>
    <row r="34" spans="1:12">
      <c r="A34" s="8"/>
      <c r="B34" s="11">
        <v>420802</v>
      </c>
      <c r="C34" s="9" t="s">
        <v>7</v>
      </c>
      <c r="D34" s="9" t="s">
        <v>12</v>
      </c>
      <c r="E34" s="9" t="s">
        <v>146</v>
      </c>
      <c r="F34" s="11">
        <v>1</v>
      </c>
      <c r="G34" s="10">
        <v>5</v>
      </c>
      <c r="H34" s="10">
        <v>5</v>
      </c>
      <c r="I34" s="10">
        <v>3</v>
      </c>
      <c r="J34" s="10">
        <v>3</v>
      </c>
      <c r="K34" s="10">
        <v>2</v>
      </c>
      <c r="L34" s="9">
        <f t="shared" si="0"/>
        <v>19</v>
      </c>
    </row>
    <row r="35" spans="1:12">
      <c r="B35" s="11">
        <v>423200</v>
      </c>
      <c r="C35" s="9" t="s">
        <v>7</v>
      </c>
      <c r="D35" s="9" t="s">
        <v>20</v>
      </c>
      <c r="E35" s="9" t="s">
        <v>135</v>
      </c>
      <c r="F35" s="10">
        <v>0</v>
      </c>
      <c r="G35" s="10">
        <v>0</v>
      </c>
      <c r="H35" s="10">
        <v>9</v>
      </c>
      <c r="I35" s="10">
        <v>3</v>
      </c>
      <c r="J35" s="10">
        <v>3</v>
      </c>
      <c r="K35" s="10">
        <v>3</v>
      </c>
      <c r="L35" s="9">
        <f t="shared" si="0"/>
        <v>18</v>
      </c>
    </row>
    <row r="36" spans="1:12">
      <c r="A36" s="8"/>
      <c r="B36" s="11">
        <v>420400</v>
      </c>
      <c r="C36" s="9" t="s">
        <v>15</v>
      </c>
      <c r="D36" s="9" t="s">
        <v>12</v>
      </c>
      <c r="E36" s="9" t="s">
        <v>147</v>
      </c>
      <c r="F36" s="10">
        <v>0</v>
      </c>
      <c r="G36" s="10">
        <v>0</v>
      </c>
      <c r="H36" s="10">
        <v>0</v>
      </c>
      <c r="I36" s="10">
        <v>0</v>
      </c>
      <c r="J36" s="10">
        <v>5</v>
      </c>
      <c r="K36" s="10">
        <v>12</v>
      </c>
      <c r="L36" s="9">
        <f t="shared" ref="L36:L67" si="1">SUM(F36:K36)</f>
        <v>17</v>
      </c>
    </row>
    <row r="37" spans="1:12">
      <c r="A37" s="8"/>
      <c r="B37" s="11">
        <v>424701</v>
      </c>
      <c r="C37" s="9" t="s">
        <v>7</v>
      </c>
      <c r="D37" s="9" t="s">
        <v>22</v>
      </c>
      <c r="E37" s="9" t="s">
        <v>137</v>
      </c>
      <c r="F37" s="10">
        <v>0</v>
      </c>
      <c r="G37" s="10">
        <v>0</v>
      </c>
      <c r="H37" s="10">
        <v>7</v>
      </c>
      <c r="I37" s="10">
        <v>0</v>
      </c>
      <c r="J37" s="10">
        <v>10</v>
      </c>
      <c r="K37" s="10">
        <v>0</v>
      </c>
      <c r="L37" s="9">
        <f t="shared" si="1"/>
        <v>17</v>
      </c>
    </row>
    <row r="38" spans="1:12">
      <c r="B38" s="11">
        <v>422100</v>
      </c>
      <c r="C38" s="9" t="s">
        <v>7</v>
      </c>
      <c r="D38" s="9" t="s">
        <v>10</v>
      </c>
      <c r="E38" s="9" t="s">
        <v>148</v>
      </c>
      <c r="F38" s="10">
        <v>0</v>
      </c>
      <c r="G38" s="10">
        <v>0</v>
      </c>
      <c r="H38" s="10">
        <v>0</v>
      </c>
      <c r="I38" s="10">
        <v>0</v>
      </c>
      <c r="J38" s="10">
        <v>3</v>
      </c>
      <c r="K38" s="10">
        <v>13</v>
      </c>
      <c r="L38" s="9">
        <f t="shared" si="1"/>
        <v>16</v>
      </c>
    </row>
    <row r="39" spans="1:12">
      <c r="A39" s="8"/>
      <c r="B39" s="11">
        <v>424000</v>
      </c>
      <c r="C39" s="9" t="s">
        <v>7</v>
      </c>
      <c r="D39" s="9" t="s">
        <v>8</v>
      </c>
      <c r="E39" s="9" t="s">
        <v>61</v>
      </c>
      <c r="F39" s="10">
        <v>5</v>
      </c>
      <c r="G39" s="10">
        <v>0</v>
      </c>
      <c r="H39" s="10">
        <v>0</v>
      </c>
      <c r="I39" s="10">
        <v>0</v>
      </c>
      <c r="J39" s="10">
        <v>10</v>
      </c>
      <c r="K39" s="10">
        <v>0</v>
      </c>
      <c r="L39" s="9">
        <f t="shared" si="1"/>
        <v>15</v>
      </c>
    </row>
    <row r="40" spans="1:12">
      <c r="A40" s="8"/>
      <c r="B40" s="11">
        <v>421301</v>
      </c>
      <c r="C40" s="9" t="s">
        <v>7</v>
      </c>
      <c r="D40" s="9" t="s">
        <v>20</v>
      </c>
      <c r="E40" s="9" t="s">
        <v>149</v>
      </c>
      <c r="F40" s="10">
        <v>3</v>
      </c>
      <c r="G40" s="10">
        <v>0</v>
      </c>
      <c r="H40" s="10">
        <v>6</v>
      </c>
      <c r="I40" s="10">
        <v>2</v>
      </c>
      <c r="J40" s="10">
        <v>4</v>
      </c>
      <c r="K40" s="10">
        <v>0</v>
      </c>
      <c r="L40" s="9">
        <f t="shared" si="1"/>
        <v>15</v>
      </c>
    </row>
    <row r="41" spans="1:12">
      <c r="A41" s="8"/>
      <c r="B41" s="11">
        <v>420200</v>
      </c>
      <c r="C41" s="9" t="s">
        <v>7</v>
      </c>
      <c r="D41" s="9" t="s">
        <v>22</v>
      </c>
      <c r="E41" s="9" t="s">
        <v>135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10</v>
      </c>
      <c r="L41" s="9">
        <f t="shared" si="1"/>
        <v>10</v>
      </c>
    </row>
    <row r="42" spans="1:12">
      <c r="A42" s="8"/>
      <c r="B42" s="11">
        <v>422600</v>
      </c>
      <c r="C42" s="9" t="s">
        <v>150</v>
      </c>
      <c r="D42" s="9" t="s">
        <v>8</v>
      </c>
      <c r="E42" t="s">
        <v>135</v>
      </c>
      <c r="F42" s="11">
        <v>3</v>
      </c>
      <c r="G42" s="11">
        <v>2</v>
      </c>
      <c r="H42" s="11">
        <v>3</v>
      </c>
      <c r="I42" s="11">
        <v>2</v>
      </c>
      <c r="J42" s="11">
        <v>0</v>
      </c>
      <c r="K42" s="11">
        <v>4</v>
      </c>
      <c r="L42" s="9">
        <f t="shared" si="1"/>
        <v>14</v>
      </c>
    </row>
    <row r="43" spans="1:12">
      <c r="B43" s="11">
        <v>424300</v>
      </c>
      <c r="C43" s="9" t="s">
        <v>7</v>
      </c>
      <c r="D43" s="9" t="s">
        <v>8</v>
      </c>
      <c r="E43" s="9" t="s">
        <v>135</v>
      </c>
      <c r="F43" s="10">
        <v>0</v>
      </c>
      <c r="G43" s="10">
        <v>2</v>
      </c>
      <c r="H43" s="10">
        <v>0</v>
      </c>
      <c r="I43" s="10">
        <v>0</v>
      </c>
      <c r="J43" s="10">
        <v>0</v>
      </c>
      <c r="K43" s="10">
        <v>5</v>
      </c>
      <c r="L43" s="9">
        <f t="shared" si="1"/>
        <v>7</v>
      </c>
    </row>
    <row r="44" spans="1:12">
      <c r="A44" s="8"/>
      <c r="B44" s="11">
        <v>421402</v>
      </c>
      <c r="C44" s="9" t="s">
        <v>7</v>
      </c>
      <c r="D44" s="9" t="s">
        <v>20</v>
      </c>
      <c r="E44" s="9"/>
      <c r="F44" s="10">
        <v>0</v>
      </c>
      <c r="G44" s="10">
        <v>3</v>
      </c>
      <c r="H44" s="10">
        <v>1</v>
      </c>
      <c r="I44" s="10">
        <v>4</v>
      </c>
      <c r="J44" s="10">
        <v>3</v>
      </c>
      <c r="K44" s="10">
        <v>2</v>
      </c>
      <c r="L44" s="9">
        <f t="shared" si="1"/>
        <v>13</v>
      </c>
    </row>
    <row r="45" spans="1:12">
      <c r="A45" s="8"/>
      <c r="B45" s="11">
        <v>423501</v>
      </c>
      <c r="C45" s="9" t="s">
        <v>7</v>
      </c>
      <c r="D45" s="9" t="s">
        <v>8</v>
      </c>
      <c r="E45" s="9"/>
      <c r="F45" s="10">
        <v>2</v>
      </c>
      <c r="G45" s="10">
        <v>3</v>
      </c>
      <c r="H45" s="10">
        <v>0</v>
      </c>
      <c r="I45" s="10">
        <v>2</v>
      </c>
      <c r="J45" s="10">
        <v>0</v>
      </c>
      <c r="K45" s="10">
        <v>5</v>
      </c>
      <c r="L45" s="9">
        <f t="shared" si="1"/>
        <v>12</v>
      </c>
    </row>
    <row r="46" spans="1:12">
      <c r="A46" s="8"/>
      <c r="B46" s="11">
        <v>424200</v>
      </c>
      <c r="C46" s="9" t="s">
        <v>7</v>
      </c>
      <c r="D46" s="9" t="s">
        <v>29</v>
      </c>
      <c r="E46" s="9"/>
      <c r="F46" s="11">
        <v>2</v>
      </c>
      <c r="G46" s="11">
        <v>3</v>
      </c>
      <c r="H46" s="11">
        <v>1</v>
      </c>
      <c r="I46" s="11">
        <v>2</v>
      </c>
      <c r="J46" s="11">
        <v>2</v>
      </c>
      <c r="K46" s="11">
        <v>1</v>
      </c>
      <c r="L46" s="12">
        <f t="shared" si="1"/>
        <v>11</v>
      </c>
    </row>
    <row r="47" spans="1:12">
      <c r="A47" s="8"/>
      <c r="B47" s="11">
        <v>420501</v>
      </c>
      <c r="C47" s="9" t="s">
        <v>7</v>
      </c>
      <c r="D47" s="9" t="s">
        <v>20</v>
      </c>
      <c r="E47" s="9"/>
      <c r="F47" s="10">
        <v>6</v>
      </c>
      <c r="G47" s="10">
        <v>0</v>
      </c>
      <c r="H47" s="10">
        <v>0</v>
      </c>
      <c r="I47" s="10">
        <v>0</v>
      </c>
      <c r="J47" s="10">
        <v>5</v>
      </c>
      <c r="K47" s="10">
        <v>1</v>
      </c>
      <c r="L47" s="9">
        <f t="shared" si="1"/>
        <v>12</v>
      </c>
    </row>
    <row r="48" spans="1:12">
      <c r="A48" s="8"/>
      <c r="B48" s="11">
        <v>421401</v>
      </c>
      <c r="C48" s="9" t="s">
        <v>7</v>
      </c>
      <c r="D48" s="9" t="s">
        <v>20</v>
      </c>
      <c r="E48" s="9"/>
      <c r="F48" s="10">
        <v>0</v>
      </c>
      <c r="G48" s="10">
        <v>3</v>
      </c>
      <c r="H48" s="10">
        <v>6</v>
      </c>
      <c r="I48" s="10">
        <v>2</v>
      </c>
      <c r="J48" s="10">
        <v>0</v>
      </c>
      <c r="K48" s="10">
        <v>1</v>
      </c>
      <c r="L48" s="9">
        <f t="shared" si="1"/>
        <v>12</v>
      </c>
    </row>
    <row r="49" spans="1:12">
      <c r="A49" s="8"/>
      <c r="B49" s="11">
        <v>423900</v>
      </c>
      <c r="C49" s="9" t="s">
        <v>7</v>
      </c>
      <c r="D49" s="9" t="s">
        <v>12</v>
      </c>
      <c r="E49" s="9"/>
      <c r="F49" s="10">
        <v>0</v>
      </c>
      <c r="G49" s="10">
        <v>0</v>
      </c>
      <c r="H49" s="10">
        <v>0</v>
      </c>
      <c r="I49" s="10">
        <v>0</v>
      </c>
      <c r="J49" s="10">
        <v>1</v>
      </c>
      <c r="K49" s="10">
        <v>2</v>
      </c>
      <c r="L49" s="9">
        <f t="shared" si="1"/>
        <v>3</v>
      </c>
    </row>
    <row r="50" spans="1:12">
      <c r="A50" s="8"/>
      <c r="B50" s="11">
        <v>422601</v>
      </c>
      <c r="C50" s="9" t="s">
        <v>15</v>
      </c>
      <c r="D50" s="9" t="s">
        <v>8</v>
      </c>
      <c r="E50" s="9"/>
      <c r="F50" s="10">
        <v>0</v>
      </c>
      <c r="G50" s="10">
        <v>0</v>
      </c>
      <c r="H50" s="10">
        <v>0</v>
      </c>
      <c r="I50" s="10">
        <v>0</v>
      </c>
      <c r="J50" s="10">
        <v>7</v>
      </c>
      <c r="K50" s="10">
        <v>0</v>
      </c>
      <c r="L50" s="9">
        <f t="shared" si="1"/>
        <v>7</v>
      </c>
    </row>
    <row r="51" spans="1:12">
      <c r="B51" s="11">
        <v>424700</v>
      </c>
      <c r="C51" s="9" t="s">
        <v>7</v>
      </c>
      <c r="D51" s="9" t="s">
        <v>22</v>
      </c>
      <c r="E51" s="9"/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9">
        <f t="shared" si="1"/>
        <v>0</v>
      </c>
    </row>
    <row r="52" spans="1:12">
      <c r="B52" s="11">
        <v>421300</v>
      </c>
      <c r="C52" s="9" t="s">
        <v>7</v>
      </c>
      <c r="D52" s="9" t="s">
        <v>20</v>
      </c>
      <c r="E52" s="9"/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9">
        <f t="shared" si="1"/>
        <v>0</v>
      </c>
    </row>
    <row r="53" spans="1:12">
      <c r="B53" s="11">
        <v>424500</v>
      </c>
      <c r="C53" s="9" t="s">
        <v>7</v>
      </c>
      <c r="D53" s="9" t="s">
        <v>8</v>
      </c>
      <c r="E53" s="9"/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9">
        <f t="shared" si="1"/>
        <v>0</v>
      </c>
    </row>
    <row r="54" spans="1:12">
      <c r="A54" s="8"/>
      <c r="B54" s="11">
        <v>424960</v>
      </c>
      <c r="C54" s="9" t="s">
        <v>7</v>
      </c>
      <c r="D54" s="9" t="s">
        <v>29</v>
      </c>
      <c r="E54" s="9"/>
      <c r="F54" s="10">
        <v>1</v>
      </c>
      <c r="G54" s="10">
        <v>2</v>
      </c>
      <c r="H54" s="11">
        <v>2</v>
      </c>
      <c r="I54" s="10">
        <v>2</v>
      </c>
      <c r="J54" s="10">
        <v>1</v>
      </c>
      <c r="K54" s="10">
        <v>1</v>
      </c>
      <c r="L54" s="12">
        <f t="shared" si="1"/>
        <v>9</v>
      </c>
    </row>
    <row r="55" spans="1:12">
      <c r="A55" s="8"/>
      <c r="B55" s="11">
        <v>423348</v>
      </c>
      <c r="C55" s="9" t="s">
        <v>7</v>
      </c>
      <c r="D55" s="9" t="s">
        <v>10</v>
      </c>
      <c r="E55" s="9" t="s">
        <v>151</v>
      </c>
      <c r="F55" s="10">
        <v>0</v>
      </c>
      <c r="G55" s="10">
        <v>2</v>
      </c>
      <c r="H55" s="11">
        <v>2</v>
      </c>
      <c r="I55" s="10">
        <v>1</v>
      </c>
      <c r="J55" s="10">
        <v>3</v>
      </c>
      <c r="K55" s="10">
        <v>0</v>
      </c>
      <c r="L55" s="9">
        <f t="shared" si="1"/>
        <v>8</v>
      </c>
    </row>
    <row r="56" spans="1:12">
      <c r="B56" s="11">
        <v>421900</v>
      </c>
      <c r="C56" s="9" t="s">
        <v>7</v>
      </c>
      <c r="D56" s="9" t="s">
        <v>8</v>
      </c>
      <c r="E56" s="9"/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9">
        <f t="shared" si="1"/>
        <v>0</v>
      </c>
    </row>
    <row r="57" spans="1:12">
      <c r="A57" s="8"/>
      <c r="B57" s="11">
        <v>420900</v>
      </c>
      <c r="C57" s="9" t="s">
        <v>15</v>
      </c>
      <c r="D57" s="9" t="s">
        <v>8</v>
      </c>
      <c r="E57" s="9"/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7</v>
      </c>
      <c r="L57" s="9">
        <f t="shared" si="1"/>
        <v>7</v>
      </c>
    </row>
    <row r="58" spans="1:12">
      <c r="A58" s="8"/>
      <c r="B58" s="11">
        <v>421001</v>
      </c>
      <c r="C58" s="9" t="s">
        <v>15</v>
      </c>
      <c r="D58" s="9" t="s">
        <v>22</v>
      </c>
      <c r="E58" s="9"/>
      <c r="F58" s="11">
        <v>0</v>
      </c>
      <c r="G58" s="11">
        <v>0</v>
      </c>
      <c r="H58" s="11">
        <v>2</v>
      </c>
      <c r="I58" s="11">
        <v>1</v>
      </c>
      <c r="J58" s="11">
        <v>1</v>
      </c>
      <c r="K58" s="11">
        <v>2</v>
      </c>
      <c r="L58" s="12">
        <f>SUM(H58:K58)</f>
        <v>6</v>
      </c>
    </row>
    <row r="59" spans="1:12">
      <c r="A59" s="8"/>
      <c r="B59" s="11">
        <v>423309</v>
      </c>
      <c r="C59" s="9" t="s">
        <v>7</v>
      </c>
      <c r="D59" s="9" t="s">
        <v>10</v>
      </c>
      <c r="E59" s="9" t="s">
        <v>152</v>
      </c>
      <c r="F59" s="10">
        <v>0</v>
      </c>
      <c r="G59" s="10">
        <v>1</v>
      </c>
      <c r="H59" s="10">
        <v>2</v>
      </c>
      <c r="I59" s="10">
        <v>2</v>
      </c>
      <c r="J59" s="10">
        <v>0</v>
      </c>
      <c r="K59" s="10">
        <v>0</v>
      </c>
      <c r="L59" s="9">
        <f t="shared" ref="L59:L79" si="2">SUM(F59:K59)</f>
        <v>5</v>
      </c>
    </row>
    <row r="60" spans="1:12">
      <c r="A60" s="8"/>
      <c r="B60" s="11">
        <v>423304</v>
      </c>
      <c r="C60" s="9" t="s">
        <v>7</v>
      </c>
      <c r="D60" s="9" t="s">
        <v>10</v>
      </c>
      <c r="E60" s="9" t="s">
        <v>153</v>
      </c>
      <c r="F60" s="10">
        <v>2</v>
      </c>
      <c r="G60" s="10">
        <v>1</v>
      </c>
      <c r="H60" s="11">
        <v>1</v>
      </c>
      <c r="I60" s="10">
        <v>0</v>
      </c>
      <c r="J60" s="10">
        <v>0</v>
      </c>
      <c r="K60" s="10">
        <v>0</v>
      </c>
      <c r="L60" s="9">
        <f t="shared" si="2"/>
        <v>4</v>
      </c>
    </row>
    <row r="61" spans="1:12">
      <c r="A61" s="8"/>
      <c r="B61" s="11">
        <v>420402</v>
      </c>
      <c r="C61" s="9" t="s">
        <v>15</v>
      </c>
      <c r="D61" s="9" t="s">
        <v>12</v>
      </c>
      <c r="E61" s="9"/>
      <c r="F61" s="10">
        <v>0</v>
      </c>
      <c r="G61" s="10">
        <v>0</v>
      </c>
      <c r="H61" s="10">
        <v>0</v>
      </c>
      <c r="I61" s="10">
        <v>0</v>
      </c>
      <c r="J61" s="10">
        <v>4</v>
      </c>
      <c r="K61" s="10">
        <v>0</v>
      </c>
      <c r="L61" s="9">
        <f t="shared" si="2"/>
        <v>4</v>
      </c>
    </row>
    <row r="62" spans="1:12">
      <c r="B62" s="11">
        <v>423448</v>
      </c>
      <c r="C62" s="9" t="s">
        <v>119</v>
      </c>
      <c r="D62" s="9" t="s">
        <v>12</v>
      </c>
      <c r="E62" s="9" t="s">
        <v>151</v>
      </c>
      <c r="F62" s="10">
        <v>0</v>
      </c>
      <c r="G62" s="10">
        <v>0</v>
      </c>
      <c r="H62" s="11">
        <v>0</v>
      </c>
      <c r="I62" s="10">
        <v>0</v>
      </c>
      <c r="J62" s="10">
        <v>4</v>
      </c>
      <c r="K62" s="10">
        <v>0</v>
      </c>
      <c r="L62" s="9">
        <f t="shared" si="2"/>
        <v>4</v>
      </c>
    </row>
    <row r="63" spans="1:12">
      <c r="A63" s="8"/>
      <c r="B63" s="11">
        <v>423404</v>
      </c>
      <c r="C63" s="9" t="s">
        <v>7</v>
      </c>
      <c r="D63" s="9" t="s">
        <v>12</v>
      </c>
      <c r="E63" s="9" t="s">
        <v>153</v>
      </c>
      <c r="F63" s="10">
        <v>0</v>
      </c>
      <c r="G63" s="10">
        <v>1</v>
      </c>
      <c r="H63" s="10">
        <v>1</v>
      </c>
      <c r="I63" s="10">
        <v>1</v>
      </c>
      <c r="J63" s="10">
        <v>1</v>
      </c>
      <c r="K63" s="10">
        <v>0</v>
      </c>
      <c r="L63" s="9">
        <f t="shared" si="2"/>
        <v>4</v>
      </c>
    </row>
    <row r="64" spans="1:12">
      <c r="A64" s="8"/>
      <c r="B64" s="11">
        <v>423408</v>
      </c>
      <c r="C64" s="9" t="s">
        <v>7</v>
      </c>
      <c r="D64" s="9" t="s">
        <v>12</v>
      </c>
      <c r="E64" s="9" t="s">
        <v>126</v>
      </c>
      <c r="F64" s="10">
        <v>0</v>
      </c>
      <c r="G64" s="10">
        <v>0</v>
      </c>
      <c r="H64" s="10">
        <v>0</v>
      </c>
      <c r="I64" s="10">
        <v>1</v>
      </c>
      <c r="J64" s="10">
        <v>1</v>
      </c>
      <c r="K64" s="10">
        <v>0</v>
      </c>
      <c r="L64" s="9">
        <f t="shared" si="2"/>
        <v>2</v>
      </c>
    </row>
    <row r="65" spans="1:12">
      <c r="B65" s="11">
        <v>423308</v>
      </c>
      <c r="C65" s="9" t="s">
        <v>7</v>
      </c>
      <c r="D65" s="9" t="s">
        <v>10</v>
      </c>
      <c r="E65" s="9"/>
      <c r="F65" s="10"/>
      <c r="G65" s="10">
        <v>2</v>
      </c>
      <c r="H65" s="10"/>
      <c r="I65" s="10"/>
      <c r="J65" s="10"/>
      <c r="K65" s="10"/>
      <c r="L65" s="9">
        <f t="shared" si="2"/>
        <v>2</v>
      </c>
    </row>
    <row r="66" spans="1:12">
      <c r="A66" s="8"/>
      <c r="B66" s="11">
        <v>422400</v>
      </c>
      <c r="C66" s="9" t="s">
        <v>15</v>
      </c>
      <c r="D66" s="9" t="s">
        <v>20</v>
      </c>
      <c r="E66" s="9"/>
      <c r="F66" s="11">
        <v>0</v>
      </c>
      <c r="G66" s="11">
        <v>0</v>
      </c>
      <c r="H66" s="11">
        <v>0</v>
      </c>
      <c r="I66" s="11">
        <v>0</v>
      </c>
      <c r="J66" s="11">
        <v>2</v>
      </c>
      <c r="K66" s="11">
        <v>0</v>
      </c>
      <c r="L66" s="9">
        <f t="shared" si="2"/>
        <v>2</v>
      </c>
    </row>
    <row r="67" spans="1:12">
      <c r="A67" s="8"/>
      <c r="B67" s="11">
        <v>421101</v>
      </c>
      <c r="C67" s="9" t="s">
        <v>119</v>
      </c>
      <c r="D67" s="9" t="s">
        <v>12</v>
      </c>
      <c r="E67" s="9"/>
      <c r="F67" s="10">
        <v>0</v>
      </c>
      <c r="G67" s="10">
        <v>1</v>
      </c>
      <c r="H67" s="10">
        <v>1</v>
      </c>
      <c r="I67" s="10">
        <v>0</v>
      </c>
      <c r="J67" s="10"/>
      <c r="K67" s="10"/>
      <c r="L67" s="9">
        <f t="shared" si="2"/>
        <v>2</v>
      </c>
    </row>
    <row r="68" spans="1:12">
      <c r="A68" s="8"/>
      <c r="B68" s="11">
        <v>421460</v>
      </c>
      <c r="C68" s="9" t="s">
        <v>7</v>
      </c>
      <c r="D68" s="9" t="s">
        <v>20</v>
      </c>
      <c r="E68" s="9" t="s">
        <v>154</v>
      </c>
      <c r="F68" s="10">
        <v>0</v>
      </c>
      <c r="G68" s="10">
        <v>0</v>
      </c>
      <c r="H68" s="10">
        <v>0</v>
      </c>
      <c r="I68" s="10">
        <v>0</v>
      </c>
      <c r="J68" s="10">
        <v>1</v>
      </c>
      <c r="K68" s="10">
        <v>0</v>
      </c>
      <c r="L68" s="9">
        <f t="shared" si="2"/>
        <v>1</v>
      </c>
    </row>
    <row r="69" spans="1:12">
      <c r="A69" s="8"/>
      <c r="B69" s="11">
        <v>420500</v>
      </c>
      <c r="C69" s="9" t="s">
        <v>119</v>
      </c>
      <c r="D69" s="9" t="s">
        <v>20</v>
      </c>
      <c r="E69" s="9"/>
      <c r="F69" s="11">
        <v>0</v>
      </c>
      <c r="G69" s="11">
        <v>0</v>
      </c>
      <c r="H69" s="11">
        <v>0</v>
      </c>
      <c r="I69" s="10">
        <v>0</v>
      </c>
      <c r="J69" s="11">
        <v>1</v>
      </c>
      <c r="K69" s="10">
        <v>0</v>
      </c>
      <c r="L69" s="9">
        <f t="shared" si="2"/>
        <v>1</v>
      </c>
    </row>
    <row r="70" spans="1:12">
      <c r="B70" s="11">
        <v>422500</v>
      </c>
      <c r="C70" s="9" t="s">
        <v>7</v>
      </c>
      <c r="D70" s="9" t="s">
        <v>12</v>
      </c>
      <c r="E70" s="9"/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9">
        <f t="shared" si="2"/>
        <v>0</v>
      </c>
    </row>
    <row r="71" spans="1:12">
      <c r="B71" s="11">
        <v>420600</v>
      </c>
      <c r="C71" s="9" t="s">
        <v>7</v>
      </c>
      <c r="D71" s="9" t="s">
        <v>8</v>
      </c>
      <c r="E71" s="9"/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9">
        <f t="shared" si="2"/>
        <v>0</v>
      </c>
    </row>
    <row r="72" spans="1:12">
      <c r="B72" s="11">
        <v>425600</v>
      </c>
      <c r="C72" s="9" t="s">
        <v>7</v>
      </c>
      <c r="D72" s="9" t="s">
        <v>29</v>
      </c>
      <c r="E72" s="9"/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9">
        <f t="shared" si="2"/>
        <v>0</v>
      </c>
    </row>
    <row r="73" spans="1:12">
      <c r="B73" s="11">
        <v>421800</v>
      </c>
      <c r="C73" s="9" t="s">
        <v>7</v>
      </c>
      <c r="D73" s="9" t="s">
        <v>12</v>
      </c>
      <c r="E73" s="9"/>
      <c r="F73" s="10"/>
      <c r="G73" s="10"/>
      <c r="H73" s="10"/>
      <c r="I73" s="10"/>
      <c r="J73" s="10"/>
      <c r="K73" s="10"/>
      <c r="L73" s="9">
        <f t="shared" si="2"/>
        <v>0</v>
      </c>
    </row>
    <row r="74" spans="1:12">
      <c r="B74" s="11">
        <v>423316</v>
      </c>
      <c r="C74" s="9" t="s">
        <v>7</v>
      </c>
      <c r="D74" s="9" t="s">
        <v>10</v>
      </c>
      <c r="E74" s="9"/>
      <c r="F74" s="10"/>
      <c r="G74" s="10"/>
      <c r="H74" s="10"/>
      <c r="I74" s="10"/>
      <c r="J74" s="10"/>
      <c r="K74" s="10"/>
      <c r="L74" s="9">
        <f t="shared" si="2"/>
        <v>0</v>
      </c>
    </row>
    <row r="75" spans="1:12">
      <c r="B75" s="11">
        <v>423416</v>
      </c>
      <c r="C75" s="9" t="s">
        <v>119</v>
      </c>
      <c r="D75" s="9" t="s">
        <v>12</v>
      </c>
      <c r="E75" s="9"/>
      <c r="F75" s="10"/>
      <c r="G75" s="10"/>
      <c r="H75" s="10"/>
      <c r="I75" s="10"/>
      <c r="J75" s="10"/>
      <c r="K75" s="10"/>
      <c r="L75" s="9">
        <f t="shared" si="2"/>
        <v>0</v>
      </c>
    </row>
    <row r="76" spans="1:12">
      <c r="B76" s="11">
        <v>420300</v>
      </c>
      <c r="C76" s="9" t="s">
        <v>15</v>
      </c>
      <c r="D76" s="9" t="s">
        <v>10</v>
      </c>
      <c r="E76" s="9"/>
      <c r="F76" s="11"/>
      <c r="G76" s="11"/>
      <c r="H76" s="11"/>
      <c r="I76" s="11"/>
      <c r="J76" s="11"/>
      <c r="K76" s="11"/>
      <c r="L76" s="12">
        <f t="shared" si="2"/>
        <v>0</v>
      </c>
    </row>
    <row r="77" spans="1:12">
      <c r="B77" s="11">
        <v>422401</v>
      </c>
      <c r="C77" s="9" t="s">
        <v>15</v>
      </c>
      <c r="D77" s="9" t="s">
        <v>20</v>
      </c>
      <c r="E77" s="9"/>
      <c r="F77" s="9"/>
      <c r="G77" s="9"/>
      <c r="H77" s="9"/>
      <c r="I77" s="9"/>
      <c r="J77" s="9"/>
      <c r="K77" s="9"/>
      <c r="L77" s="9">
        <f t="shared" si="2"/>
        <v>0</v>
      </c>
    </row>
    <row r="78" spans="1:12">
      <c r="B78" s="11">
        <v>423800</v>
      </c>
      <c r="C78" s="9" t="s">
        <v>7</v>
      </c>
      <c r="D78" s="9" t="s">
        <v>29</v>
      </c>
      <c r="E78" s="9" t="s">
        <v>155</v>
      </c>
      <c r="F78" s="11"/>
      <c r="G78" s="11"/>
      <c r="H78" s="11"/>
      <c r="I78" s="11"/>
      <c r="J78" s="11"/>
      <c r="K78" s="11"/>
      <c r="L78" s="9">
        <f t="shared" si="2"/>
        <v>0</v>
      </c>
    </row>
    <row r="79" spans="1:12">
      <c r="B79" s="11">
        <v>423409</v>
      </c>
      <c r="C79" s="9" t="s">
        <v>119</v>
      </c>
      <c r="D79" s="9" t="s">
        <v>12</v>
      </c>
      <c r="E79" s="9"/>
      <c r="F79" s="10"/>
      <c r="G79" s="10"/>
      <c r="H79" s="10"/>
      <c r="I79" s="10"/>
      <c r="J79" s="10"/>
      <c r="K79" s="10"/>
      <c r="L79" s="9">
        <f t="shared" si="2"/>
        <v>0</v>
      </c>
    </row>
    <row r="80" spans="1:12">
      <c r="B80" s="11">
        <v>420801</v>
      </c>
      <c r="C80" s="9" t="s">
        <v>7</v>
      </c>
      <c r="D80" s="9" t="s">
        <v>12</v>
      </c>
      <c r="E80" s="9"/>
      <c r="F80" s="9"/>
      <c r="G80" s="11"/>
      <c r="H80" s="11"/>
      <c r="I80" s="11"/>
      <c r="J80" s="11"/>
      <c r="K80" s="10"/>
      <c r="L80" s="9">
        <f>SUM(G80:K80)</f>
        <v>0</v>
      </c>
    </row>
    <row r="81" spans="2:12">
      <c r="B81" s="11">
        <v>420160</v>
      </c>
      <c r="C81" s="9" t="s">
        <v>119</v>
      </c>
      <c r="D81" s="9" t="s">
        <v>8</v>
      </c>
      <c r="E81" s="9" t="s">
        <v>156</v>
      </c>
      <c r="F81" s="10"/>
      <c r="G81" s="10"/>
      <c r="H81" s="10"/>
      <c r="I81" s="10"/>
      <c r="J81" s="10"/>
      <c r="K81" s="10"/>
      <c r="L81" s="9">
        <f>SUM(F81:K81)</f>
        <v>0</v>
      </c>
    </row>
    <row r="82" spans="2:12">
      <c r="E82" t="s">
        <v>155</v>
      </c>
    </row>
    <row r="84" spans="2:12">
      <c r="L84" s="9">
        <f>SUM(L4:L83)</f>
        <v>1682</v>
      </c>
    </row>
    <row r="91" spans="2:12">
      <c r="G91" t="s">
        <v>155</v>
      </c>
    </row>
    <row r="92" spans="2:12">
      <c r="H92" t="s">
        <v>157</v>
      </c>
    </row>
    <row r="132" spans="11:11">
      <c r="K132" t="s">
        <v>155</v>
      </c>
    </row>
  </sheetData>
  <autoFilter ref="B3:L82" xr:uid="{0112103A-CDAB-4900-9F11-1B2050D63174}">
    <sortState xmlns:xlrd2="http://schemas.microsoft.com/office/spreadsheetml/2017/richdata2" ref="B4:L82">
      <sortCondition descending="1" ref="L3:L82"/>
    </sortState>
  </autoFilter>
  <sortState xmlns:xlrd2="http://schemas.microsoft.com/office/spreadsheetml/2017/richdata2" ref="A4:L81">
    <sortCondition descending="1" ref="A4:A81"/>
  </sortState>
  <mergeCells count="1">
    <mergeCell ref="E2:L2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4B30-2D58-4B23-A8DD-CE4A8B965AA0}">
  <dimension ref="A1:N100"/>
  <sheetViews>
    <sheetView topLeftCell="B35" workbookViewId="0">
      <selection activeCell="B38" sqref="B38:C38"/>
    </sheetView>
  </sheetViews>
  <sheetFormatPr defaultColWidth="11.42578125" defaultRowHeight="15" customHeight="1"/>
  <cols>
    <col min="1" max="1" width="17.7109375" customWidth="1"/>
    <col min="2" max="2" width="7.7109375" style="24" customWidth="1"/>
    <col min="3" max="3" width="9.42578125" style="25" customWidth="1"/>
    <col min="4" max="4" width="10.85546875" customWidth="1"/>
    <col min="5" max="5" width="14.28515625" customWidth="1"/>
    <col min="6" max="6" width="17" customWidth="1"/>
    <col min="7" max="7" width="14.140625" customWidth="1"/>
    <col min="8" max="13" width="7.85546875" customWidth="1"/>
    <col min="14" max="14" width="8.85546875" customWidth="1"/>
  </cols>
  <sheetData>
    <row r="1" spans="1:14" ht="15" customHeight="1">
      <c r="B1"/>
      <c r="C1"/>
    </row>
    <row r="2" spans="1:14" ht="15" customHeight="1">
      <c r="B2"/>
      <c r="C2" s="84" t="s">
        <v>158</v>
      </c>
      <c r="D2" s="85"/>
      <c r="E2" s="85"/>
      <c r="F2" s="85"/>
      <c r="G2" s="85"/>
      <c r="H2" s="85"/>
      <c r="I2" s="85"/>
      <c r="J2" s="86"/>
      <c r="K2" s="24"/>
      <c r="L2" s="24"/>
      <c r="M2" s="24"/>
      <c r="N2" s="24"/>
    </row>
    <row r="3" spans="1:14">
      <c r="B3"/>
      <c r="C3" s="6" t="s">
        <v>1</v>
      </c>
      <c r="D3" s="2" t="s">
        <v>2</v>
      </c>
      <c r="E3" s="2" t="s">
        <v>3</v>
      </c>
      <c r="F3" s="2" t="s">
        <v>4</v>
      </c>
      <c r="G3" s="2" t="s">
        <v>159</v>
      </c>
      <c r="H3" s="3">
        <v>36</v>
      </c>
      <c r="I3" s="3">
        <v>38</v>
      </c>
      <c r="J3" s="3">
        <v>40</v>
      </c>
      <c r="K3" s="3">
        <v>42</v>
      </c>
      <c r="L3" s="3">
        <v>44</v>
      </c>
      <c r="M3" s="68">
        <v>46</v>
      </c>
      <c r="N3" s="67" t="s">
        <v>5</v>
      </c>
    </row>
    <row r="4" spans="1:14">
      <c r="B4" s="96"/>
      <c r="C4" s="74">
        <v>435500</v>
      </c>
      <c r="D4" s="1" t="s">
        <v>119</v>
      </c>
      <c r="E4" s="1" t="s">
        <v>12</v>
      </c>
      <c r="F4" s="1"/>
      <c r="G4" s="1" t="s">
        <v>160</v>
      </c>
      <c r="H4" s="1">
        <v>12</v>
      </c>
      <c r="I4" s="1">
        <v>27</v>
      </c>
      <c r="J4" s="1">
        <v>36</v>
      </c>
      <c r="K4" s="1">
        <v>27</v>
      </c>
      <c r="L4" s="1">
        <v>22</v>
      </c>
      <c r="M4" s="69">
        <v>10</v>
      </c>
      <c r="N4" s="105">
        <f t="shared" ref="N4:N42" si="0">SUM(H4:M4)</f>
        <v>134</v>
      </c>
    </row>
    <row r="5" spans="1:14">
      <c r="B5" s="96"/>
      <c r="C5" s="74">
        <v>438000</v>
      </c>
      <c r="D5" s="1" t="s">
        <v>119</v>
      </c>
      <c r="E5" s="1" t="s">
        <v>161</v>
      </c>
      <c r="F5" s="1"/>
      <c r="G5" s="1" t="s">
        <v>162</v>
      </c>
      <c r="H5" s="1">
        <v>18</v>
      </c>
      <c r="I5" s="1">
        <v>22</v>
      </c>
      <c r="J5" s="1">
        <v>26</v>
      </c>
      <c r="K5" s="1">
        <v>26</v>
      </c>
      <c r="L5" s="1">
        <v>16</v>
      </c>
      <c r="M5" s="69">
        <v>14</v>
      </c>
      <c r="N5" s="105">
        <f t="shared" si="0"/>
        <v>122</v>
      </c>
    </row>
    <row r="6" spans="1:14">
      <c r="B6" s="96"/>
      <c r="C6" s="74">
        <v>438002</v>
      </c>
      <c r="D6" s="1" t="s">
        <v>119</v>
      </c>
      <c r="E6" s="1" t="s">
        <v>161</v>
      </c>
      <c r="F6" s="1" t="s">
        <v>163</v>
      </c>
      <c r="G6" s="1" t="s">
        <v>162</v>
      </c>
      <c r="H6" s="1">
        <v>17</v>
      </c>
      <c r="I6" s="1">
        <v>25</v>
      </c>
      <c r="J6" s="1">
        <v>26</v>
      </c>
      <c r="K6" s="1">
        <v>23</v>
      </c>
      <c r="L6" s="1">
        <v>16</v>
      </c>
      <c r="M6" s="69">
        <v>7</v>
      </c>
      <c r="N6" s="105">
        <f t="shared" si="0"/>
        <v>114</v>
      </c>
    </row>
    <row r="7" spans="1:14">
      <c r="A7" s="75" t="s">
        <v>164</v>
      </c>
      <c r="B7" s="92">
        <v>44</v>
      </c>
      <c r="C7" s="95">
        <v>433900</v>
      </c>
      <c r="D7" s="93" t="s">
        <v>7</v>
      </c>
      <c r="E7" s="93" t="s">
        <v>12</v>
      </c>
      <c r="F7" s="93"/>
      <c r="G7" s="93" t="s">
        <v>165</v>
      </c>
      <c r="H7" s="93">
        <v>8</v>
      </c>
      <c r="I7" s="93">
        <v>20</v>
      </c>
      <c r="J7" s="93">
        <v>20</v>
      </c>
      <c r="K7" s="93">
        <v>18</v>
      </c>
      <c r="L7" s="93">
        <v>15</v>
      </c>
      <c r="M7" s="94">
        <v>20</v>
      </c>
      <c r="N7" s="105">
        <f t="shared" si="0"/>
        <v>101</v>
      </c>
    </row>
    <row r="8" spans="1:14">
      <c r="A8" s="97"/>
      <c r="B8" s="96"/>
      <c r="C8" s="95">
        <v>436604</v>
      </c>
      <c r="D8" s="93" t="s">
        <v>119</v>
      </c>
      <c r="E8" s="93" t="s">
        <v>22</v>
      </c>
      <c r="F8" s="93" t="s">
        <v>166</v>
      </c>
      <c r="G8" s="93" t="s">
        <v>167</v>
      </c>
      <c r="H8" s="93">
        <v>11</v>
      </c>
      <c r="I8" s="93">
        <v>16</v>
      </c>
      <c r="J8" s="93">
        <v>11</v>
      </c>
      <c r="K8" s="93">
        <v>12</v>
      </c>
      <c r="L8" s="93">
        <v>6</v>
      </c>
      <c r="M8" s="94">
        <v>10</v>
      </c>
      <c r="N8" s="105">
        <f t="shared" si="0"/>
        <v>66</v>
      </c>
    </row>
    <row r="9" spans="1:14">
      <c r="A9" s="97"/>
      <c r="B9" s="96"/>
      <c r="C9" s="95">
        <v>436104</v>
      </c>
      <c r="D9" s="93" t="s">
        <v>119</v>
      </c>
      <c r="E9" s="93" t="s">
        <v>12</v>
      </c>
      <c r="F9" s="93" t="s">
        <v>153</v>
      </c>
      <c r="G9" s="93" t="s">
        <v>167</v>
      </c>
      <c r="H9" s="93">
        <v>10</v>
      </c>
      <c r="I9" s="93">
        <v>11</v>
      </c>
      <c r="J9" s="93">
        <v>11</v>
      </c>
      <c r="K9" s="93">
        <v>10</v>
      </c>
      <c r="L9" s="93">
        <v>12</v>
      </c>
      <c r="M9" s="94">
        <v>8</v>
      </c>
      <c r="N9" s="105">
        <f t="shared" si="0"/>
        <v>62</v>
      </c>
    </row>
    <row r="10" spans="1:14">
      <c r="A10" s="97"/>
      <c r="B10" s="96"/>
      <c r="C10" s="95">
        <v>437801</v>
      </c>
      <c r="D10" s="93" t="s">
        <v>119</v>
      </c>
      <c r="E10" s="93" t="s">
        <v>10</v>
      </c>
      <c r="F10" s="93"/>
      <c r="G10" s="93"/>
      <c r="H10" s="93">
        <v>9</v>
      </c>
      <c r="I10" s="93">
        <v>11</v>
      </c>
      <c r="J10" s="93">
        <v>13</v>
      </c>
      <c r="K10" s="93">
        <v>11</v>
      </c>
      <c r="L10" s="93">
        <v>8</v>
      </c>
      <c r="M10" s="94">
        <v>7</v>
      </c>
      <c r="N10" s="105">
        <f t="shared" si="0"/>
        <v>59</v>
      </c>
    </row>
    <row r="11" spans="1:14">
      <c r="A11" s="97"/>
      <c r="B11" s="96"/>
      <c r="C11" s="95">
        <v>433300</v>
      </c>
      <c r="D11" s="93" t="s">
        <v>119</v>
      </c>
      <c r="E11" s="93" t="s">
        <v>168</v>
      </c>
      <c r="F11" s="93"/>
      <c r="G11" s="93" t="s">
        <v>169</v>
      </c>
      <c r="H11" s="93">
        <v>0</v>
      </c>
      <c r="I11" s="93">
        <v>11</v>
      </c>
      <c r="J11" s="93">
        <v>10</v>
      </c>
      <c r="K11" s="93">
        <v>7</v>
      </c>
      <c r="L11" s="93">
        <v>10</v>
      </c>
      <c r="M11" s="94">
        <v>17</v>
      </c>
      <c r="N11" s="105">
        <f t="shared" si="0"/>
        <v>55</v>
      </c>
    </row>
    <row r="12" spans="1:14">
      <c r="A12" s="97"/>
      <c r="B12" s="96"/>
      <c r="C12" s="95">
        <v>436648</v>
      </c>
      <c r="D12" s="93" t="s">
        <v>119</v>
      </c>
      <c r="E12" s="93" t="s">
        <v>22</v>
      </c>
      <c r="F12" s="93" t="s">
        <v>151</v>
      </c>
      <c r="G12" s="93"/>
      <c r="H12" s="93">
        <v>9</v>
      </c>
      <c r="I12" s="93">
        <v>12</v>
      </c>
      <c r="J12" s="93">
        <v>8</v>
      </c>
      <c r="K12" s="93">
        <v>8</v>
      </c>
      <c r="L12" s="93">
        <v>6</v>
      </c>
      <c r="M12" s="94">
        <v>9</v>
      </c>
      <c r="N12" s="105">
        <f t="shared" si="0"/>
        <v>52</v>
      </c>
    </row>
    <row r="13" spans="1:14">
      <c r="A13" s="97"/>
      <c r="B13" s="96"/>
      <c r="C13" s="95">
        <v>435601</v>
      </c>
      <c r="D13" s="93" t="s">
        <v>119</v>
      </c>
      <c r="E13" s="93" t="s">
        <v>12</v>
      </c>
      <c r="F13" s="93" t="s">
        <v>170</v>
      </c>
      <c r="G13" s="93"/>
      <c r="H13" s="93">
        <v>0</v>
      </c>
      <c r="I13" s="93">
        <v>9</v>
      </c>
      <c r="J13" s="93">
        <v>18</v>
      </c>
      <c r="K13" s="93">
        <v>5</v>
      </c>
      <c r="L13" s="93">
        <v>15</v>
      </c>
      <c r="M13" s="94">
        <v>4</v>
      </c>
      <c r="N13" s="105">
        <f t="shared" si="0"/>
        <v>51</v>
      </c>
    </row>
    <row r="14" spans="1:14">
      <c r="A14" s="97"/>
      <c r="B14" s="96"/>
      <c r="C14" s="100">
        <v>432301</v>
      </c>
      <c r="D14" s="101" t="s">
        <v>119</v>
      </c>
      <c r="E14" s="101" t="s">
        <v>22</v>
      </c>
      <c r="F14" s="101"/>
      <c r="G14" s="101" t="s">
        <v>171</v>
      </c>
      <c r="H14" s="101">
        <v>7</v>
      </c>
      <c r="I14" s="101">
        <v>9</v>
      </c>
      <c r="J14" s="101">
        <v>10</v>
      </c>
      <c r="K14" s="101">
        <v>9</v>
      </c>
      <c r="L14" s="101">
        <v>9</v>
      </c>
      <c r="M14" s="102">
        <v>7</v>
      </c>
      <c r="N14" s="106">
        <f t="shared" si="0"/>
        <v>51</v>
      </c>
    </row>
    <row r="15" spans="1:14">
      <c r="B15" s="98"/>
      <c r="C15" s="11">
        <v>431100</v>
      </c>
      <c r="D15" s="9" t="s">
        <v>7</v>
      </c>
      <c r="E15" s="9" t="s">
        <v>22</v>
      </c>
      <c r="F15" s="9"/>
      <c r="G15" s="9" t="s">
        <v>165</v>
      </c>
      <c r="H15" s="9">
        <v>2</v>
      </c>
      <c r="I15" s="9">
        <v>15</v>
      </c>
      <c r="J15" s="9">
        <v>4</v>
      </c>
      <c r="K15" s="9">
        <v>11</v>
      </c>
      <c r="L15" s="9">
        <v>6</v>
      </c>
      <c r="M15" s="9">
        <v>12</v>
      </c>
      <c r="N15" s="105">
        <f t="shared" si="0"/>
        <v>50</v>
      </c>
    </row>
    <row r="16" spans="1:14">
      <c r="B16" s="98"/>
      <c r="C16" s="11">
        <v>433700</v>
      </c>
      <c r="D16" s="9" t="s">
        <v>119</v>
      </c>
      <c r="E16" s="9" t="s">
        <v>12</v>
      </c>
      <c r="F16" s="9"/>
      <c r="G16" s="9" t="s">
        <v>172</v>
      </c>
      <c r="H16" s="9">
        <v>0</v>
      </c>
      <c r="I16" s="9">
        <v>4</v>
      </c>
      <c r="J16" s="9">
        <v>9</v>
      </c>
      <c r="K16" s="9">
        <v>15</v>
      </c>
      <c r="L16" s="9">
        <v>9</v>
      </c>
      <c r="M16" s="9">
        <v>8</v>
      </c>
      <c r="N16" s="105">
        <f t="shared" si="0"/>
        <v>45</v>
      </c>
    </row>
    <row r="17" spans="1:14">
      <c r="B17" s="109"/>
      <c r="C17" s="11">
        <v>436500</v>
      </c>
      <c r="D17" s="9" t="s">
        <v>119</v>
      </c>
      <c r="E17" s="9" t="s">
        <v>22</v>
      </c>
      <c r="F17" s="9"/>
      <c r="G17" s="9" t="s">
        <v>171</v>
      </c>
      <c r="H17" s="9">
        <v>5</v>
      </c>
      <c r="I17" s="9">
        <v>8</v>
      </c>
      <c r="J17" s="9">
        <v>12</v>
      </c>
      <c r="K17" s="9">
        <v>13</v>
      </c>
      <c r="L17" s="9">
        <v>6</v>
      </c>
      <c r="M17" s="9">
        <v>1</v>
      </c>
      <c r="N17" s="105">
        <f t="shared" si="0"/>
        <v>45</v>
      </c>
    </row>
    <row r="18" spans="1:14">
      <c r="B18" s="92"/>
      <c r="C18" s="112">
        <v>434000</v>
      </c>
      <c r="D18" s="113" t="s">
        <v>119</v>
      </c>
      <c r="E18" s="113" t="s">
        <v>29</v>
      </c>
      <c r="F18" s="113"/>
      <c r="G18" s="113" t="s">
        <v>169</v>
      </c>
      <c r="H18" s="113">
        <v>0</v>
      </c>
      <c r="I18" s="113">
        <v>9</v>
      </c>
      <c r="J18" s="113">
        <v>12</v>
      </c>
      <c r="K18" s="113">
        <v>7</v>
      </c>
      <c r="L18" s="113">
        <v>3</v>
      </c>
      <c r="M18" s="113">
        <v>0</v>
      </c>
      <c r="N18" s="114">
        <f t="shared" si="0"/>
        <v>31</v>
      </c>
    </row>
    <row r="19" spans="1:14">
      <c r="B19" s="98"/>
      <c r="C19" s="11">
        <v>432500</v>
      </c>
      <c r="D19" s="9" t="s">
        <v>119</v>
      </c>
      <c r="E19" s="9" t="s">
        <v>173</v>
      </c>
      <c r="F19" s="9"/>
      <c r="G19" s="9" t="s">
        <v>160</v>
      </c>
      <c r="H19" s="9">
        <v>0</v>
      </c>
      <c r="I19" s="9">
        <v>0</v>
      </c>
      <c r="J19" s="9">
        <v>0</v>
      </c>
      <c r="K19" s="9">
        <v>0</v>
      </c>
      <c r="L19" s="9">
        <v>7</v>
      </c>
      <c r="M19" s="9">
        <v>21</v>
      </c>
      <c r="N19" s="105">
        <f t="shared" si="0"/>
        <v>28</v>
      </c>
    </row>
    <row r="20" spans="1:14">
      <c r="A20" s="97"/>
      <c r="B20" s="98"/>
      <c r="C20" s="111">
        <v>436248</v>
      </c>
      <c r="D20" s="105" t="s">
        <v>119</v>
      </c>
      <c r="E20" s="105" t="s">
        <v>8</v>
      </c>
      <c r="F20" s="105" t="s">
        <v>151</v>
      </c>
      <c r="G20" s="105" t="s">
        <v>167</v>
      </c>
      <c r="H20" s="105">
        <v>0</v>
      </c>
      <c r="I20" s="105">
        <v>2</v>
      </c>
      <c r="J20" s="105">
        <v>3</v>
      </c>
      <c r="K20" s="105">
        <v>11</v>
      </c>
      <c r="L20" s="105">
        <v>1</v>
      </c>
      <c r="M20" s="105">
        <v>12</v>
      </c>
      <c r="N20" s="105">
        <f t="shared" si="0"/>
        <v>29</v>
      </c>
    </row>
    <row r="21" spans="1:14">
      <c r="B21" s="98"/>
      <c r="C21" s="11">
        <v>436148</v>
      </c>
      <c r="D21" s="9" t="s">
        <v>119</v>
      </c>
      <c r="E21" s="9" t="s">
        <v>12</v>
      </c>
      <c r="F21" s="9"/>
      <c r="G21" s="9"/>
      <c r="H21" s="9">
        <v>3</v>
      </c>
      <c r="I21" s="9">
        <v>3</v>
      </c>
      <c r="J21" s="9">
        <v>6</v>
      </c>
      <c r="K21" s="9">
        <v>5</v>
      </c>
      <c r="L21" s="9">
        <v>5</v>
      </c>
      <c r="M21" s="9">
        <v>5</v>
      </c>
      <c r="N21" s="105">
        <f>SUM(H21:M21)</f>
        <v>27</v>
      </c>
    </row>
    <row r="22" spans="1:14">
      <c r="B22" s="92"/>
      <c r="C22" s="110" t="s">
        <v>174</v>
      </c>
      <c r="D22" s="103" t="s">
        <v>119</v>
      </c>
      <c r="E22" s="103" t="s">
        <v>173</v>
      </c>
      <c r="F22" s="103"/>
      <c r="G22" s="103" t="s">
        <v>167</v>
      </c>
      <c r="H22" s="103">
        <v>2</v>
      </c>
      <c r="I22" s="103">
        <v>5</v>
      </c>
      <c r="J22" s="103">
        <v>7</v>
      </c>
      <c r="K22" s="103">
        <v>6</v>
      </c>
      <c r="L22" s="103">
        <v>4</v>
      </c>
      <c r="M22" s="103">
        <v>2</v>
      </c>
      <c r="N22" s="107">
        <f t="shared" si="0"/>
        <v>26</v>
      </c>
    </row>
    <row r="23" spans="1:14">
      <c r="B23" s="92"/>
      <c r="C23" s="104">
        <v>436148</v>
      </c>
      <c r="D23" s="9" t="s">
        <v>119</v>
      </c>
      <c r="E23" s="9" t="s">
        <v>12</v>
      </c>
      <c r="F23" s="9" t="s">
        <v>151</v>
      </c>
      <c r="G23" s="9"/>
      <c r="H23" s="9">
        <v>3</v>
      </c>
      <c r="I23" s="9">
        <v>2</v>
      </c>
      <c r="J23" s="9">
        <v>4</v>
      </c>
      <c r="K23" s="9">
        <v>3</v>
      </c>
      <c r="L23" s="9">
        <v>2</v>
      </c>
      <c r="M23" s="9">
        <v>5</v>
      </c>
      <c r="N23" s="105">
        <f t="shared" si="0"/>
        <v>19</v>
      </c>
    </row>
    <row r="24" spans="1:14">
      <c r="B24" s="92"/>
      <c r="C24" s="104">
        <v>431000</v>
      </c>
      <c r="D24" s="9" t="s">
        <v>119</v>
      </c>
      <c r="E24" s="9" t="s">
        <v>10</v>
      </c>
      <c r="F24" s="9"/>
      <c r="G24" s="9" t="s">
        <v>175</v>
      </c>
      <c r="H24" s="9">
        <v>0</v>
      </c>
      <c r="I24" s="9">
        <v>1</v>
      </c>
      <c r="J24" s="9">
        <v>3</v>
      </c>
      <c r="K24" s="9">
        <v>0</v>
      </c>
      <c r="L24" s="9">
        <v>0</v>
      </c>
      <c r="M24" s="9">
        <v>15</v>
      </c>
      <c r="N24" s="105">
        <f t="shared" si="0"/>
        <v>19</v>
      </c>
    </row>
    <row r="25" spans="1:14">
      <c r="B25" s="92"/>
      <c r="C25" s="104">
        <v>435300</v>
      </c>
      <c r="D25" s="9" t="s">
        <v>119</v>
      </c>
      <c r="E25" s="9" t="s">
        <v>12</v>
      </c>
      <c r="F25" s="9"/>
      <c r="G25" s="9" t="s">
        <v>165</v>
      </c>
      <c r="H25" s="9">
        <v>1</v>
      </c>
      <c r="I25" s="9">
        <v>5</v>
      </c>
      <c r="J25" s="9">
        <v>3</v>
      </c>
      <c r="K25" s="9">
        <v>5</v>
      </c>
      <c r="L25" s="9">
        <v>2</v>
      </c>
      <c r="M25" s="9">
        <v>3</v>
      </c>
      <c r="N25" s="105">
        <f t="shared" si="0"/>
        <v>19</v>
      </c>
    </row>
    <row r="26" spans="1:14">
      <c r="B26" s="92"/>
      <c r="C26" s="104">
        <v>436606</v>
      </c>
      <c r="D26" s="9" t="s">
        <v>119</v>
      </c>
      <c r="E26" s="9" t="s">
        <v>22</v>
      </c>
      <c r="F26" s="9" t="s">
        <v>176</v>
      </c>
      <c r="G26" s="9" t="s">
        <v>167</v>
      </c>
      <c r="H26" s="9">
        <v>4</v>
      </c>
      <c r="I26" s="9">
        <v>6</v>
      </c>
      <c r="J26" s="9">
        <v>0</v>
      </c>
      <c r="K26" s="9">
        <v>2</v>
      </c>
      <c r="L26" s="9">
        <v>1</v>
      </c>
      <c r="M26" s="9">
        <v>4</v>
      </c>
      <c r="N26" s="105">
        <f t="shared" si="0"/>
        <v>17</v>
      </c>
    </row>
    <row r="27" spans="1:14">
      <c r="B27" s="92"/>
      <c r="C27" s="104">
        <v>434100</v>
      </c>
      <c r="D27" s="9" t="s">
        <v>119</v>
      </c>
      <c r="E27" s="9" t="s">
        <v>12</v>
      </c>
      <c r="F27" s="9"/>
      <c r="G27" s="9" t="s">
        <v>165</v>
      </c>
      <c r="H27" s="9">
        <v>0</v>
      </c>
      <c r="I27" s="9">
        <v>0</v>
      </c>
      <c r="J27" s="9">
        <v>0</v>
      </c>
      <c r="K27" s="9">
        <v>2</v>
      </c>
      <c r="L27" s="9">
        <v>0</v>
      </c>
      <c r="M27" s="9">
        <v>12</v>
      </c>
      <c r="N27" s="105">
        <f t="shared" si="0"/>
        <v>14</v>
      </c>
    </row>
    <row r="28" spans="1:14">
      <c r="B28" s="92"/>
      <c r="C28" s="104">
        <v>432100</v>
      </c>
      <c r="D28" s="9" t="s">
        <v>119</v>
      </c>
      <c r="E28" s="9" t="s">
        <v>20</v>
      </c>
      <c r="F28" s="9"/>
      <c r="G28" s="9" t="s">
        <v>165</v>
      </c>
      <c r="H28" s="9">
        <v>0</v>
      </c>
      <c r="I28" s="9">
        <v>2</v>
      </c>
      <c r="J28" s="9">
        <v>3</v>
      </c>
      <c r="K28" s="9">
        <v>2</v>
      </c>
      <c r="L28" s="9">
        <v>4</v>
      </c>
      <c r="M28" s="9">
        <v>3</v>
      </c>
      <c r="N28" s="105">
        <f t="shared" si="0"/>
        <v>14</v>
      </c>
    </row>
    <row r="29" spans="1:14">
      <c r="B29" s="92"/>
      <c r="C29" s="104">
        <v>431800</v>
      </c>
      <c r="D29" s="9" t="s">
        <v>119</v>
      </c>
      <c r="E29" s="9" t="s">
        <v>177</v>
      </c>
      <c r="F29" s="9"/>
      <c r="G29" s="9" t="s">
        <v>169</v>
      </c>
      <c r="H29" s="9">
        <v>0</v>
      </c>
      <c r="I29" s="9">
        <v>2</v>
      </c>
      <c r="J29" s="9">
        <v>3</v>
      </c>
      <c r="K29" s="9">
        <v>2</v>
      </c>
      <c r="L29" s="9">
        <v>2</v>
      </c>
      <c r="M29" s="9">
        <v>2</v>
      </c>
      <c r="N29" s="105">
        <f t="shared" si="0"/>
        <v>11</v>
      </c>
    </row>
    <row r="30" spans="1:14">
      <c r="B30" s="92"/>
      <c r="C30" s="104">
        <v>433901</v>
      </c>
      <c r="D30" s="9" t="s">
        <v>119</v>
      </c>
      <c r="E30" s="9" t="s">
        <v>12</v>
      </c>
      <c r="F30" s="9"/>
      <c r="G30" s="9" t="s">
        <v>165</v>
      </c>
      <c r="H30" s="9">
        <v>0</v>
      </c>
      <c r="I30" s="9">
        <v>1</v>
      </c>
      <c r="J30" s="9">
        <v>3</v>
      </c>
      <c r="K30" s="9">
        <v>3</v>
      </c>
      <c r="L30" s="9">
        <v>3</v>
      </c>
      <c r="M30" s="9">
        <v>1</v>
      </c>
      <c r="N30" s="105">
        <f t="shared" si="0"/>
        <v>11</v>
      </c>
    </row>
    <row r="31" spans="1:14">
      <c r="B31" s="92"/>
      <c r="C31" s="104">
        <v>436167</v>
      </c>
      <c r="D31" s="9" t="s">
        <v>119</v>
      </c>
      <c r="E31" s="9" t="s">
        <v>12</v>
      </c>
      <c r="F31" s="9" t="s">
        <v>178</v>
      </c>
      <c r="G31" s="9"/>
      <c r="H31" s="9">
        <v>2</v>
      </c>
      <c r="I31" s="9">
        <v>1</v>
      </c>
      <c r="J31" s="9">
        <v>1</v>
      </c>
      <c r="K31" s="9">
        <v>1</v>
      </c>
      <c r="L31" s="9">
        <v>1</v>
      </c>
      <c r="M31" s="9">
        <v>3</v>
      </c>
      <c r="N31" s="105">
        <f t="shared" si="0"/>
        <v>9</v>
      </c>
    </row>
    <row r="32" spans="1:14">
      <c r="B32" s="96"/>
      <c r="C32" s="108">
        <v>432200</v>
      </c>
      <c r="D32" s="99" t="s">
        <v>119</v>
      </c>
      <c r="E32" s="99" t="s">
        <v>12</v>
      </c>
      <c r="F32" s="99"/>
      <c r="G32" s="99" t="s">
        <v>160</v>
      </c>
      <c r="H32" s="99">
        <v>3</v>
      </c>
      <c r="I32" s="99">
        <v>3</v>
      </c>
      <c r="J32" s="99">
        <v>0</v>
      </c>
      <c r="K32" s="99">
        <v>0</v>
      </c>
      <c r="L32" s="99">
        <v>0</v>
      </c>
      <c r="M32" s="99">
        <v>2</v>
      </c>
      <c r="N32" s="105">
        <f t="shared" si="0"/>
        <v>8</v>
      </c>
    </row>
    <row r="33" spans="2:14">
      <c r="B33" s="96"/>
      <c r="C33" s="108">
        <v>431300</v>
      </c>
      <c r="D33" s="99" t="s">
        <v>119</v>
      </c>
      <c r="E33" s="99" t="s">
        <v>12</v>
      </c>
      <c r="F33" s="99" t="s">
        <v>179</v>
      </c>
      <c r="G33" s="99" t="s">
        <v>165</v>
      </c>
      <c r="H33" s="99">
        <v>0</v>
      </c>
      <c r="I33" s="99">
        <v>0</v>
      </c>
      <c r="J33" s="99">
        <v>5</v>
      </c>
      <c r="K33" s="99">
        <v>0</v>
      </c>
      <c r="L33" s="99">
        <v>0</v>
      </c>
      <c r="M33" s="99">
        <v>2</v>
      </c>
      <c r="N33" s="105">
        <f t="shared" si="0"/>
        <v>7</v>
      </c>
    </row>
    <row r="34" spans="2:14">
      <c r="B34" s="96"/>
      <c r="C34" s="108">
        <v>435600</v>
      </c>
      <c r="D34" s="99" t="s">
        <v>119</v>
      </c>
      <c r="E34" s="99" t="s">
        <v>12</v>
      </c>
      <c r="F34" s="99"/>
      <c r="G34" s="99"/>
      <c r="H34" s="99">
        <v>1</v>
      </c>
      <c r="I34" s="99">
        <v>0</v>
      </c>
      <c r="J34" s="99">
        <v>0</v>
      </c>
      <c r="K34" s="99">
        <v>0</v>
      </c>
      <c r="L34" s="99">
        <v>6</v>
      </c>
      <c r="M34" s="99">
        <v>0</v>
      </c>
      <c r="N34" s="105">
        <f t="shared" si="0"/>
        <v>7</v>
      </c>
    </row>
    <row r="35" spans="2:14">
      <c r="B35" s="96"/>
      <c r="C35" s="108">
        <v>432261</v>
      </c>
      <c r="D35" s="99" t="s">
        <v>119</v>
      </c>
      <c r="E35" s="99" t="s">
        <v>12</v>
      </c>
      <c r="F35" s="99" t="s">
        <v>180</v>
      </c>
      <c r="G35" s="99"/>
      <c r="H35" s="99">
        <v>3</v>
      </c>
      <c r="I35" s="99">
        <v>0</v>
      </c>
      <c r="J35" s="99">
        <v>3</v>
      </c>
      <c r="K35" s="99">
        <v>0</v>
      </c>
      <c r="L35" s="99">
        <v>0</v>
      </c>
      <c r="M35" s="99">
        <v>0</v>
      </c>
      <c r="N35" s="105">
        <f t="shared" si="0"/>
        <v>6</v>
      </c>
    </row>
    <row r="36" spans="2:14">
      <c r="B36" s="92"/>
      <c r="C36" s="11">
        <v>434801</v>
      </c>
      <c r="D36" s="9" t="s">
        <v>119</v>
      </c>
      <c r="E36" s="9" t="s">
        <v>8</v>
      </c>
      <c r="F36" s="9" t="s">
        <v>149</v>
      </c>
      <c r="G36" s="9" t="s">
        <v>160</v>
      </c>
      <c r="H36" s="9">
        <v>1</v>
      </c>
      <c r="I36" s="9">
        <v>5</v>
      </c>
      <c r="J36" s="9">
        <v>0</v>
      </c>
      <c r="K36" s="9">
        <v>0</v>
      </c>
      <c r="L36" s="9">
        <v>0</v>
      </c>
      <c r="M36" s="9">
        <v>0</v>
      </c>
      <c r="N36" s="106">
        <f t="shared" si="0"/>
        <v>6</v>
      </c>
    </row>
    <row r="37" spans="2:14">
      <c r="B37" s="92"/>
      <c r="C37" s="11">
        <v>436116</v>
      </c>
      <c r="D37" s="9" t="s">
        <v>119</v>
      </c>
      <c r="E37" s="9" t="s">
        <v>12</v>
      </c>
      <c r="F37" s="9" t="s">
        <v>181</v>
      </c>
      <c r="G37" s="9"/>
      <c r="H37" s="9">
        <v>0</v>
      </c>
      <c r="I37" s="9">
        <v>1</v>
      </c>
      <c r="J37" s="9">
        <v>0</v>
      </c>
      <c r="K37" s="9">
        <v>1</v>
      </c>
      <c r="L37" s="9">
        <v>2</v>
      </c>
      <c r="M37" s="9">
        <v>2</v>
      </c>
      <c r="N37" s="106">
        <f t="shared" si="0"/>
        <v>6</v>
      </c>
    </row>
    <row r="38" spans="2:14">
      <c r="B38" s="92"/>
      <c r="C38" s="11">
        <v>434861</v>
      </c>
      <c r="D38" s="9" t="s">
        <v>119</v>
      </c>
      <c r="E38" s="9" t="s">
        <v>8</v>
      </c>
      <c r="F38" s="9" t="s">
        <v>154</v>
      </c>
      <c r="G38" s="9"/>
      <c r="H38" s="9">
        <v>2</v>
      </c>
      <c r="I38" s="9">
        <v>0</v>
      </c>
      <c r="J38" s="9">
        <v>0</v>
      </c>
      <c r="K38" s="9">
        <v>0</v>
      </c>
      <c r="L38" s="9">
        <v>1</v>
      </c>
      <c r="M38" s="9">
        <v>2</v>
      </c>
      <c r="N38" s="106">
        <f t="shared" si="0"/>
        <v>5</v>
      </c>
    </row>
    <row r="39" spans="2:14">
      <c r="B39" s="92"/>
      <c r="C39" s="11">
        <v>431900</v>
      </c>
      <c r="D39" s="9" t="s">
        <v>15</v>
      </c>
      <c r="E39" s="9" t="s">
        <v>12</v>
      </c>
      <c r="F39" s="9"/>
      <c r="G39" s="9" t="s">
        <v>165</v>
      </c>
      <c r="H39" s="9">
        <v>1</v>
      </c>
      <c r="I39" s="9">
        <v>2</v>
      </c>
      <c r="J39" s="9">
        <v>0</v>
      </c>
      <c r="K39" s="9">
        <v>0</v>
      </c>
      <c r="L39" s="9">
        <v>1</v>
      </c>
      <c r="M39" s="9">
        <v>0</v>
      </c>
      <c r="N39" s="106">
        <f t="shared" si="0"/>
        <v>4</v>
      </c>
    </row>
    <row r="40" spans="2:14">
      <c r="B40" s="92"/>
      <c r="C40" s="11">
        <v>436168</v>
      </c>
      <c r="D40" s="9" t="s">
        <v>119</v>
      </c>
      <c r="E40" s="9" t="s">
        <v>12</v>
      </c>
      <c r="F40" s="9" t="s">
        <v>182</v>
      </c>
      <c r="G40" s="9"/>
      <c r="H40" s="9">
        <v>0</v>
      </c>
      <c r="I40" s="9">
        <v>2</v>
      </c>
      <c r="J40" s="9">
        <v>0</v>
      </c>
      <c r="K40" s="9">
        <v>0</v>
      </c>
      <c r="L40" s="9">
        <v>1</v>
      </c>
      <c r="M40" s="9">
        <v>0</v>
      </c>
      <c r="N40" s="106">
        <f t="shared" si="0"/>
        <v>3</v>
      </c>
    </row>
    <row r="41" spans="2:14">
      <c r="B41" s="92"/>
      <c r="C41" s="11">
        <v>434800</v>
      </c>
      <c r="D41" s="9" t="s">
        <v>119</v>
      </c>
      <c r="E41" s="9" t="s">
        <v>8</v>
      </c>
      <c r="F41" s="9"/>
      <c r="G41" s="9" t="s">
        <v>160</v>
      </c>
      <c r="H41" s="9">
        <v>0</v>
      </c>
      <c r="I41" s="9">
        <v>1</v>
      </c>
      <c r="J41" s="9">
        <v>1</v>
      </c>
      <c r="K41" s="9">
        <v>0</v>
      </c>
      <c r="L41" s="9">
        <v>0</v>
      </c>
      <c r="M41" s="9">
        <v>0</v>
      </c>
      <c r="N41" s="106">
        <f t="shared" si="0"/>
        <v>2</v>
      </c>
    </row>
    <row r="42" spans="2:14">
      <c r="B42" s="92"/>
      <c r="C42" s="11">
        <v>432202</v>
      </c>
      <c r="D42" s="9" t="s">
        <v>119</v>
      </c>
      <c r="E42" s="9" t="s">
        <v>12</v>
      </c>
      <c r="F42" s="9"/>
      <c r="G42" s="9" t="s">
        <v>160</v>
      </c>
      <c r="H42" s="9">
        <v>0</v>
      </c>
      <c r="I42" s="9">
        <v>0</v>
      </c>
      <c r="J42" s="9">
        <v>1</v>
      </c>
      <c r="K42" s="9">
        <v>0</v>
      </c>
      <c r="L42" s="9">
        <v>0</v>
      </c>
      <c r="M42" s="9">
        <v>0</v>
      </c>
      <c r="N42" s="106">
        <f t="shared" si="0"/>
        <v>1</v>
      </c>
    </row>
    <row r="43" spans="2:14">
      <c r="C43" s="24"/>
      <c r="M43" t="s">
        <v>5</v>
      </c>
      <c r="N43" s="14">
        <f>SUM(N4:N42)</f>
        <v>1336</v>
      </c>
    </row>
    <row r="44" spans="2:14">
      <c r="C44" s="24"/>
    </row>
    <row r="45" spans="2:14">
      <c r="C45" s="24"/>
    </row>
    <row r="46" spans="2:14">
      <c r="C46" s="24"/>
    </row>
    <row r="47" spans="2:14">
      <c r="C47" s="24"/>
    </row>
    <row r="48" spans="2:14">
      <c r="C48" s="24"/>
    </row>
    <row r="49" spans="3:3">
      <c r="C49" s="24"/>
    </row>
    <row r="50" spans="3:3">
      <c r="C50" s="24"/>
    </row>
    <row r="51" spans="3:3">
      <c r="C51" s="24"/>
    </row>
    <row r="52" spans="3:3">
      <c r="C52" s="24"/>
    </row>
    <row r="53" spans="3:3">
      <c r="C53" s="24"/>
    </row>
    <row r="54" spans="3:3">
      <c r="C54" s="24"/>
    </row>
    <row r="55" spans="3:3">
      <c r="C55" s="24"/>
    </row>
    <row r="56" spans="3:3">
      <c r="C56" s="24"/>
    </row>
    <row r="57" spans="3:3">
      <c r="C57" s="24"/>
    </row>
    <row r="58" spans="3:3">
      <c r="C58" s="24"/>
    </row>
    <row r="59" spans="3:3">
      <c r="C59" s="24"/>
    </row>
    <row r="60" spans="3:3">
      <c r="C60" s="24"/>
    </row>
    <row r="61" spans="3:3">
      <c r="C61" s="24"/>
    </row>
    <row r="62" spans="3:3">
      <c r="C62" s="24"/>
    </row>
    <row r="63" spans="3:3">
      <c r="C63" s="24"/>
    </row>
    <row r="64" spans="3:3">
      <c r="C64" s="24"/>
    </row>
    <row r="65" spans="3:3">
      <c r="C65" s="24"/>
    </row>
    <row r="66" spans="3:3">
      <c r="C66" s="24"/>
    </row>
    <row r="67" spans="3:3">
      <c r="C67" s="24"/>
    </row>
    <row r="68" spans="3:3">
      <c r="C68" s="24"/>
    </row>
    <row r="69" spans="3:3">
      <c r="C69" s="24"/>
    </row>
    <row r="70" spans="3:3">
      <c r="C70" s="24"/>
    </row>
    <row r="71" spans="3:3">
      <c r="C71" s="24"/>
    </row>
    <row r="72" spans="3:3">
      <c r="C72" s="24"/>
    </row>
    <row r="73" spans="3:3">
      <c r="C73" s="24"/>
    </row>
    <row r="74" spans="3:3">
      <c r="C74" s="24"/>
    </row>
    <row r="75" spans="3:3">
      <c r="C75" s="24"/>
    </row>
    <row r="76" spans="3:3">
      <c r="C76" s="24"/>
    </row>
    <row r="77" spans="3:3">
      <c r="C77" s="24"/>
    </row>
    <row r="78" spans="3:3">
      <c r="C78" s="24"/>
    </row>
    <row r="79" spans="3:3">
      <c r="C79" s="24"/>
    </row>
    <row r="80" spans="3:3">
      <c r="C80" s="24"/>
    </row>
    <row r="81" spans="3:3">
      <c r="C81" s="24"/>
    </row>
    <row r="82" spans="3:3">
      <c r="C82" s="24"/>
    </row>
    <row r="83" spans="3:3">
      <c r="C83" s="24"/>
    </row>
    <row r="84" spans="3:3">
      <c r="C84" s="24"/>
    </row>
    <row r="85" spans="3:3">
      <c r="C85" s="24"/>
    </row>
    <row r="86" spans="3:3">
      <c r="C86" s="24"/>
    </row>
    <row r="87" spans="3:3">
      <c r="C87" s="24"/>
    </row>
    <row r="88" spans="3:3">
      <c r="C88" s="24"/>
    </row>
    <row r="89" spans="3:3">
      <c r="C89" s="24"/>
    </row>
    <row r="90" spans="3:3">
      <c r="C90" s="24"/>
    </row>
    <row r="91" spans="3:3">
      <c r="C91" s="24"/>
    </row>
    <row r="92" spans="3:3"/>
    <row r="93" spans="3:3"/>
    <row r="94" spans="3:3"/>
    <row r="95" spans="3:3"/>
    <row r="96" spans="3:3"/>
    <row r="97"/>
    <row r="98"/>
    <row r="99"/>
    <row r="100"/>
  </sheetData>
  <autoFilter ref="C3:N17" xr:uid="{B5734B30-2D58-4B23-A8DD-CE4A8B965AA0}">
    <sortState xmlns:xlrd2="http://schemas.microsoft.com/office/spreadsheetml/2017/richdata2" ref="C4:N17">
      <sortCondition descending="1" ref="N3:N17"/>
    </sortState>
  </autoFilter>
  <mergeCells count="1">
    <mergeCell ref="C2:J2"/>
  </mergeCells>
  <printOptions horizontalCentere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FCA9-A906-4FEF-9843-D37FAC686B1F}">
  <dimension ref="B1:N72"/>
  <sheetViews>
    <sheetView tabSelected="1" workbookViewId="0">
      <selection activeCell="A22" sqref="A22:XFD39"/>
    </sheetView>
  </sheetViews>
  <sheetFormatPr defaultColWidth="8.7109375" defaultRowHeight="14.45"/>
  <cols>
    <col min="2" max="2" width="9.140625" style="7"/>
    <col min="3" max="3" width="11.5703125" style="7" customWidth="1"/>
    <col min="4" max="4" width="12" customWidth="1"/>
    <col min="5" max="5" width="10.28515625" customWidth="1"/>
    <col min="6" max="6" width="11.28515625" customWidth="1"/>
    <col min="7" max="7" width="16" customWidth="1"/>
    <col min="8" max="8" width="7.140625" customWidth="1"/>
    <col min="9" max="9" width="7.5703125" customWidth="1"/>
    <col min="10" max="10" width="7.85546875" customWidth="1"/>
    <col min="11" max="11" width="7.42578125" customWidth="1"/>
    <col min="12" max="12" width="7.5703125" customWidth="1"/>
    <col min="13" max="13" width="7.7109375" customWidth="1"/>
  </cols>
  <sheetData>
    <row r="1" spans="2:14">
      <c r="B1"/>
    </row>
    <row r="2" spans="2:14">
      <c r="B2"/>
    </row>
    <row r="3" spans="2:14" ht="18.600000000000001">
      <c r="B3"/>
      <c r="D3" s="84" t="s">
        <v>183</v>
      </c>
      <c r="E3" s="85"/>
      <c r="F3" s="85"/>
      <c r="G3" s="85"/>
      <c r="H3" s="85"/>
      <c r="I3" s="85"/>
      <c r="J3" s="85"/>
      <c r="K3" s="86"/>
    </row>
    <row r="4" spans="2:14">
      <c r="B4"/>
      <c r="C4" s="6" t="s">
        <v>1</v>
      </c>
      <c r="D4" s="2" t="s">
        <v>2</v>
      </c>
      <c r="E4" s="2" t="s">
        <v>3</v>
      </c>
      <c r="F4" s="2" t="s">
        <v>4</v>
      </c>
      <c r="G4" s="2" t="s">
        <v>159</v>
      </c>
      <c r="H4" s="3">
        <v>36</v>
      </c>
      <c r="I4" s="3">
        <v>38</v>
      </c>
      <c r="J4" s="3">
        <v>40</v>
      </c>
      <c r="K4" s="3">
        <v>42</v>
      </c>
      <c r="L4" s="3">
        <v>44</v>
      </c>
      <c r="M4" s="68">
        <v>46</v>
      </c>
      <c r="N4" s="67" t="s">
        <v>5</v>
      </c>
    </row>
    <row r="5" spans="2:14">
      <c r="B5" s="83"/>
      <c r="C5" s="23">
        <v>444800</v>
      </c>
      <c r="D5" s="1" t="s">
        <v>119</v>
      </c>
      <c r="E5" s="1" t="s">
        <v>12</v>
      </c>
      <c r="F5" s="1" t="s">
        <v>184</v>
      </c>
      <c r="G5" s="1" t="s">
        <v>165</v>
      </c>
      <c r="H5" s="78">
        <v>58</v>
      </c>
      <c r="I5" s="78">
        <v>143</v>
      </c>
      <c r="J5" s="78">
        <v>163</v>
      </c>
      <c r="K5" s="78">
        <v>160</v>
      </c>
      <c r="L5" s="78">
        <v>102</v>
      </c>
      <c r="M5" s="80">
        <v>83</v>
      </c>
      <c r="N5" s="73">
        <f>SUM(H5:M5)</f>
        <v>709</v>
      </c>
    </row>
    <row r="6" spans="2:14">
      <c r="B6" s="83"/>
      <c r="C6" s="23">
        <v>443000</v>
      </c>
      <c r="D6" s="1" t="s">
        <v>119</v>
      </c>
      <c r="E6" s="1" t="s">
        <v>12</v>
      </c>
      <c r="F6" s="1" t="s">
        <v>185</v>
      </c>
      <c r="G6" s="1" t="s">
        <v>165</v>
      </c>
      <c r="H6" s="78">
        <v>28</v>
      </c>
      <c r="I6" s="78">
        <v>40</v>
      </c>
      <c r="J6" s="78">
        <v>60</v>
      </c>
      <c r="K6" s="78">
        <v>65</v>
      </c>
      <c r="L6" s="78">
        <v>64</v>
      </c>
      <c r="M6" s="80">
        <v>47</v>
      </c>
      <c r="N6" s="73">
        <f>SUM(H6:M6)</f>
        <v>304</v>
      </c>
    </row>
    <row r="7" spans="2:14">
      <c r="B7" s="83"/>
      <c r="C7" s="23">
        <v>445500</v>
      </c>
      <c r="D7" s="1" t="s">
        <v>119</v>
      </c>
      <c r="E7" s="1" t="s">
        <v>29</v>
      </c>
      <c r="F7" s="1" t="s">
        <v>184</v>
      </c>
      <c r="G7" s="1" t="s">
        <v>169</v>
      </c>
      <c r="H7" s="4">
        <v>31</v>
      </c>
      <c r="I7" s="4">
        <v>56</v>
      </c>
      <c r="J7" s="4">
        <v>65</v>
      </c>
      <c r="K7" s="4">
        <v>62</v>
      </c>
      <c r="L7" s="4">
        <v>42</v>
      </c>
      <c r="M7" s="79">
        <v>35</v>
      </c>
      <c r="N7" s="73">
        <f>SUM(H7:M7)</f>
        <v>291</v>
      </c>
    </row>
    <row r="8" spans="2:14">
      <c r="B8" s="83"/>
      <c r="C8" s="23">
        <v>441800</v>
      </c>
      <c r="D8" s="1" t="s">
        <v>119</v>
      </c>
      <c r="E8" s="1" t="s">
        <v>29</v>
      </c>
      <c r="F8" s="1" t="s">
        <v>184</v>
      </c>
      <c r="G8" s="1" t="s">
        <v>169</v>
      </c>
      <c r="H8" s="78">
        <v>20</v>
      </c>
      <c r="I8" s="78">
        <v>54</v>
      </c>
      <c r="J8" s="78">
        <v>63</v>
      </c>
      <c r="K8" s="78">
        <v>61</v>
      </c>
      <c r="L8" s="78">
        <v>50</v>
      </c>
      <c r="M8" s="80">
        <v>20</v>
      </c>
      <c r="N8" s="73">
        <f>SUM(H8:M8)</f>
        <v>268</v>
      </c>
    </row>
    <row r="9" spans="2:14">
      <c r="B9" s="83"/>
      <c r="C9" s="23">
        <v>448400</v>
      </c>
      <c r="D9" s="1" t="s">
        <v>15</v>
      </c>
      <c r="E9" s="1" t="s">
        <v>12</v>
      </c>
      <c r="F9" s="1" t="s">
        <v>184</v>
      </c>
      <c r="G9" s="1"/>
      <c r="H9" s="78">
        <v>5</v>
      </c>
      <c r="I9" s="78">
        <v>40</v>
      </c>
      <c r="J9" s="78">
        <v>38</v>
      </c>
      <c r="K9" s="78">
        <v>39</v>
      </c>
      <c r="L9" s="78">
        <v>38</v>
      </c>
      <c r="M9" s="80">
        <v>33</v>
      </c>
      <c r="N9" s="73">
        <f>SUM(H9:M9)</f>
        <v>193</v>
      </c>
    </row>
    <row r="10" spans="2:14">
      <c r="B10" s="73"/>
      <c r="C10" s="23">
        <v>447900</v>
      </c>
      <c r="D10" s="1" t="s">
        <v>7</v>
      </c>
      <c r="E10" s="1" t="s">
        <v>12</v>
      </c>
      <c r="F10" s="1" t="s">
        <v>185</v>
      </c>
      <c r="G10" s="1" t="s">
        <v>169</v>
      </c>
      <c r="H10" s="78">
        <v>0</v>
      </c>
      <c r="I10" s="78">
        <v>29</v>
      </c>
      <c r="J10" s="78">
        <v>42</v>
      </c>
      <c r="K10" s="78">
        <v>38</v>
      </c>
      <c r="L10" s="78">
        <v>33</v>
      </c>
      <c r="M10" s="80">
        <v>36</v>
      </c>
      <c r="N10" s="73">
        <f>SUM(H10:M10)</f>
        <v>178</v>
      </c>
    </row>
    <row r="11" spans="2:14">
      <c r="B11" s="82"/>
      <c r="C11" s="23">
        <v>448500</v>
      </c>
      <c r="D11" s="1" t="s">
        <v>119</v>
      </c>
      <c r="E11" s="1" t="s">
        <v>22</v>
      </c>
      <c r="F11" s="1"/>
      <c r="G11" s="1" t="s">
        <v>175</v>
      </c>
      <c r="H11" s="78">
        <v>17</v>
      </c>
      <c r="I11" s="78">
        <v>34</v>
      </c>
      <c r="J11" s="78">
        <v>37</v>
      </c>
      <c r="K11" s="78">
        <v>28</v>
      </c>
      <c r="L11" s="78">
        <v>23</v>
      </c>
      <c r="M11" s="80">
        <v>28</v>
      </c>
      <c r="N11" s="73">
        <f t="shared" ref="N11:N12" si="0">SUM(H11:M11)</f>
        <v>167</v>
      </c>
    </row>
    <row r="12" spans="2:14">
      <c r="B12" s="82"/>
      <c r="C12" s="23">
        <v>447600</v>
      </c>
      <c r="D12" s="1" t="s">
        <v>15</v>
      </c>
      <c r="E12" s="1" t="s">
        <v>20</v>
      </c>
      <c r="F12" s="1"/>
      <c r="G12" s="1" t="s">
        <v>165</v>
      </c>
      <c r="H12" s="78">
        <v>5</v>
      </c>
      <c r="I12" s="78">
        <v>28</v>
      </c>
      <c r="J12" s="78">
        <v>32</v>
      </c>
      <c r="K12" s="78">
        <v>40</v>
      </c>
      <c r="L12" s="78">
        <v>22</v>
      </c>
      <c r="M12" s="80">
        <v>35</v>
      </c>
      <c r="N12" s="73">
        <f t="shared" si="0"/>
        <v>162</v>
      </c>
    </row>
    <row r="13" spans="2:14">
      <c r="B13" s="83"/>
      <c r="C13" s="23">
        <v>443101</v>
      </c>
      <c r="D13" s="1" t="s">
        <v>119</v>
      </c>
      <c r="E13" s="1" t="s">
        <v>173</v>
      </c>
      <c r="F13" s="1"/>
      <c r="G13" s="1" t="s">
        <v>169</v>
      </c>
      <c r="H13" s="78">
        <v>0</v>
      </c>
      <c r="I13" s="78">
        <v>43</v>
      </c>
      <c r="J13" s="78">
        <v>25</v>
      </c>
      <c r="K13" s="78">
        <v>41</v>
      </c>
      <c r="L13" s="78">
        <v>29</v>
      </c>
      <c r="M13" s="80">
        <v>22</v>
      </c>
      <c r="N13" s="73">
        <f t="shared" ref="N13" si="1">SUM(H13:M13)</f>
        <v>160</v>
      </c>
    </row>
    <row r="14" spans="2:14">
      <c r="B14" s="82"/>
      <c r="C14" s="23">
        <v>445400</v>
      </c>
      <c r="D14" s="1" t="s">
        <v>119</v>
      </c>
      <c r="E14" s="1" t="s">
        <v>12</v>
      </c>
      <c r="F14" s="1" t="s">
        <v>184</v>
      </c>
      <c r="G14" s="1" t="s">
        <v>165</v>
      </c>
      <c r="H14" s="78">
        <v>8</v>
      </c>
      <c r="I14" s="78">
        <v>23</v>
      </c>
      <c r="J14" s="78">
        <v>34</v>
      </c>
      <c r="K14" s="78">
        <v>29</v>
      </c>
      <c r="L14" s="78">
        <v>27</v>
      </c>
      <c r="M14" s="80">
        <v>16</v>
      </c>
      <c r="N14" s="73">
        <f t="shared" ref="N14:N27" si="2">SUM(H14:M14)</f>
        <v>137</v>
      </c>
    </row>
    <row r="15" spans="2:14">
      <c r="B15" s="82"/>
      <c r="C15" s="23">
        <v>447400</v>
      </c>
      <c r="D15" s="1" t="s">
        <v>119</v>
      </c>
      <c r="E15" s="1" t="s">
        <v>8</v>
      </c>
      <c r="F15" s="1"/>
      <c r="G15" s="1" t="s">
        <v>186</v>
      </c>
      <c r="H15" s="78">
        <v>7</v>
      </c>
      <c r="I15" s="78">
        <v>18</v>
      </c>
      <c r="J15" s="78">
        <v>25</v>
      </c>
      <c r="K15" s="78">
        <v>24</v>
      </c>
      <c r="L15" s="78">
        <v>17</v>
      </c>
      <c r="M15" s="80">
        <v>9</v>
      </c>
      <c r="N15" s="73">
        <f t="shared" si="2"/>
        <v>100</v>
      </c>
    </row>
    <row r="16" spans="2:14">
      <c r="B16" s="82"/>
      <c r="C16" s="23">
        <v>443100</v>
      </c>
      <c r="D16" s="1" t="s">
        <v>119</v>
      </c>
      <c r="E16" s="1" t="s">
        <v>173</v>
      </c>
      <c r="F16" s="1" t="s">
        <v>184</v>
      </c>
      <c r="G16" s="1" t="s">
        <v>169</v>
      </c>
      <c r="H16" s="78">
        <v>1</v>
      </c>
      <c r="I16" s="78">
        <v>20</v>
      </c>
      <c r="J16" s="78">
        <v>29</v>
      </c>
      <c r="K16" s="78">
        <v>25</v>
      </c>
      <c r="L16" s="78">
        <v>4</v>
      </c>
      <c r="M16" s="80">
        <v>20</v>
      </c>
      <c r="N16" s="73">
        <f t="shared" si="2"/>
        <v>99</v>
      </c>
    </row>
    <row r="17" spans="2:14">
      <c r="B17" s="82"/>
      <c r="C17" s="23">
        <v>447200</v>
      </c>
      <c r="D17" s="1" t="s">
        <v>119</v>
      </c>
      <c r="E17" s="1" t="s">
        <v>12</v>
      </c>
      <c r="F17" s="1"/>
      <c r="G17" s="1" t="s">
        <v>187</v>
      </c>
      <c r="H17" s="78">
        <v>13</v>
      </c>
      <c r="I17" s="78">
        <v>0</v>
      </c>
      <c r="J17" s="78">
        <v>1</v>
      </c>
      <c r="K17" s="78">
        <v>7</v>
      </c>
      <c r="L17" s="78">
        <v>9</v>
      </c>
      <c r="M17" s="80">
        <v>7</v>
      </c>
      <c r="N17" s="73">
        <f t="shared" si="2"/>
        <v>37</v>
      </c>
    </row>
    <row r="18" spans="2:14">
      <c r="B18" s="82"/>
      <c r="C18" s="23">
        <v>445300</v>
      </c>
      <c r="D18" s="1" t="s">
        <v>119</v>
      </c>
      <c r="E18" s="1" t="s">
        <v>22</v>
      </c>
      <c r="F18" s="1"/>
      <c r="G18" s="1" t="s">
        <v>187</v>
      </c>
      <c r="H18" s="78">
        <v>0</v>
      </c>
      <c r="I18" s="78">
        <v>0</v>
      </c>
      <c r="J18" s="78">
        <v>2</v>
      </c>
      <c r="K18" s="78">
        <v>4</v>
      </c>
      <c r="L18" s="78">
        <v>3</v>
      </c>
      <c r="M18" s="80">
        <v>13</v>
      </c>
      <c r="N18" s="73">
        <f>SUM(H18:M18)</f>
        <v>22</v>
      </c>
    </row>
    <row r="19" spans="2:14">
      <c r="B19" s="82"/>
      <c r="C19" s="23">
        <v>447201</v>
      </c>
      <c r="D19" s="1" t="s">
        <v>119</v>
      </c>
      <c r="E19" s="1" t="s">
        <v>12</v>
      </c>
      <c r="F19" s="1"/>
      <c r="G19" s="1" t="s">
        <v>187</v>
      </c>
      <c r="H19" s="78">
        <v>0</v>
      </c>
      <c r="I19" s="78">
        <v>0</v>
      </c>
      <c r="J19" s="78">
        <v>0</v>
      </c>
      <c r="K19" s="78">
        <v>1</v>
      </c>
      <c r="L19" s="78">
        <v>5</v>
      </c>
      <c r="M19" s="80">
        <v>12</v>
      </c>
      <c r="N19" s="73">
        <f t="shared" ref="N19:N21" si="3">SUM(H19:M19)</f>
        <v>18</v>
      </c>
    </row>
    <row r="20" spans="2:14">
      <c r="B20" s="82"/>
      <c r="C20" s="23">
        <v>447300</v>
      </c>
      <c r="D20" s="1" t="s">
        <v>119</v>
      </c>
      <c r="E20" s="1" t="s">
        <v>188</v>
      </c>
      <c r="F20" s="1"/>
      <c r="G20" s="1" t="s">
        <v>175</v>
      </c>
      <c r="H20" s="78">
        <v>7</v>
      </c>
      <c r="I20" s="78">
        <v>0</v>
      </c>
      <c r="J20" s="78">
        <v>0</v>
      </c>
      <c r="K20" s="78">
        <v>2</v>
      </c>
      <c r="L20" s="78">
        <v>4</v>
      </c>
      <c r="M20" s="80">
        <v>0</v>
      </c>
      <c r="N20" s="73">
        <f t="shared" si="3"/>
        <v>13</v>
      </c>
    </row>
    <row r="21" spans="2:14">
      <c r="B21" s="49"/>
      <c r="C21" s="23"/>
      <c r="D21" s="1"/>
      <c r="E21" s="1"/>
      <c r="F21" s="1"/>
      <c r="G21" s="1"/>
      <c r="H21" s="78"/>
      <c r="I21" s="78"/>
      <c r="J21" s="78"/>
      <c r="K21" s="78"/>
      <c r="L21" s="78"/>
      <c r="M21" s="80"/>
      <c r="N21" s="73">
        <f t="shared" si="3"/>
        <v>0</v>
      </c>
    </row>
    <row r="22" spans="2:14" hidden="1">
      <c r="B22" s="72"/>
      <c r="C22" s="23"/>
      <c r="D22" s="1"/>
      <c r="E22" s="1"/>
      <c r="F22" s="1"/>
      <c r="G22" s="1"/>
      <c r="H22" s="78"/>
      <c r="I22" s="78"/>
      <c r="J22" s="78"/>
      <c r="K22" s="78"/>
      <c r="L22" s="78"/>
      <c r="M22" s="80"/>
      <c r="N22" s="73">
        <f t="shared" si="2"/>
        <v>0</v>
      </c>
    </row>
    <row r="23" spans="2:14" hidden="1">
      <c r="B23" s="49"/>
      <c r="C23" s="23"/>
      <c r="D23" s="1"/>
      <c r="E23" s="1"/>
      <c r="F23" s="1"/>
      <c r="G23" s="1"/>
      <c r="H23" s="78"/>
      <c r="I23" s="78"/>
      <c r="J23" s="78"/>
      <c r="K23" s="78"/>
      <c r="L23" s="78"/>
      <c r="M23" s="80"/>
      <c r="N23" s="73">
        <f t="shared" si="2"/>
        <v>0</v>
      </c>
    </row>
    <row r="24" spans="2:14" hidden="1">
      <c r="B24" s="49"/>
      <c r="C24" s="23"/>
      <c r="D24" s="1"/>
      <c r="E24" s="1"/>
      <c r="F24" s="1"/>
      <c r="G24" s="1"/>
      <c r="H24" s="78"/>
      <c r="I24" s="78"/>
      <c r="J24" s="78"/>
      <c r="K24" s="78"/>
      <c r="L24" s="78"/>
      <c r="M24" s="80"/>
      <c r="N24" s="73">
        <f t="shared" si="2"/>
        <v>0</v>
      </c>
    </row>
    <row r="25" spans="2:14" hidden="1">
      <c r="B25" s="49"/>
      <c r="C25" s="23"/>
      <c r="D25" s="1"/>
      <c r="E25" s="1"/>
      <c r="F25" s="1"/>
      <c r="G25" s="1"/>
      <c r="H25" s="78"/>
      <c r="I25" s="78"/>
      <c r="J25" s="78"/>
      <c r="K25" s="78"/>
      <c r="L25" s="78"/>
      <c r="M25" s="80"/>
      <c r="N25" s="11">
        <f t="shared" si="2"/>
        <v>0</v>
      </c>
    </row>
    <row r="26" spans="2:14" hidden="1">
      <c r="B26" s="49"/>
      <c r="C26" s="23"/>
      <c r="D26" s="1"/>
      <c r="E26" s="1"/>
      <c r="F26" s="1"/>
      <c r="G26" s="1"/>
      <c r="H26" s="78"/>
      <c r="I26" s="78"/>
      <c r="J26" s="78"/>
      <c r="K26" s="78"/>
      <c r="L26" s="78"/>
      <c r="M26" s="80"/>
      <c r="N26" s="73">
        <f t="shared" si="2"/>
        <v>0</v>
      </c>
    </row>
    <row r="27" spans="2:14" hidden="1">
      <c r="B27" s="71"/>
      <c r="C27" s="23"/>
      <c r="D27" s="1"/>
      <c r="E27" s="1"/>
      <c r="F27" s="1"/>
      <c r="G27" s="1"/>
      <c r="H27" s="78"/>
      <c r="I27" s="78"/>
      <c r="J27" s="78"/>
      <c r="K27" s="78"/>
      <c r="L27" s="78"/>
      <c r="M27" s="80"/>
      <c r="N27" s="73">
        <f t="shared" si="2"/>
        <v>0</v>
      </c>
    </row>
    <row r="28" spans="2:14" hidden="1">
      <c r="B28" s="49"/>
      <c r="C28" s="23"/>
      <c r="D28" s="1"/>
      <c r="E28" s="1"/>
      <c r="F28" s="1"/>
      <c r="G28" s="1"/>
      <c r="H28" s="78"/>
      <c r="I28" s="78"/>
      <c r="J28" s="78"/>
      <c r="K28" s="78"/>
      <c r="L28" s="78"/>
      <c r="M28" s="80"/>
      <c r="N28" s="11">
        <f t="shared" ref="N28:N29" si="4">SUM(H28:M28)</f>
        <v>0</v>
      </c>
    </row>
    <row r="29" spans="2:14" hidden="1">
      <c r="B29" s="49"/>
      <c r="C29" s="23"/>
      <c r="D29" s="1"/>
      <c r="E29" s="1"/>
      <c r="F29" s="1"/>
      <c r="G29" s="1"/>
      <c r="H29" s="78"/>
      <c r="I29" s="78"/>
      <c r="J29" s="78"/>
      <c r="K29" s="78"/>
      <c r="L29" s="78"/>
      <c r="M29" s="80"/>
      <c r="N29" s="11">
        <f t="shared" si="4"/>
        <v>0</v>
      </c>
    </row>
    <row r="30" spans="2:14" hidden="1">
      <c r="B30" s="70"/>
      <c r="C30" s="23"/>
      <c r="D30" s="50"/>
      <c r="E30" s="50"/>
      <c r="F30" s="50"/>
      <c r="G30" s="50"/>
      <c r="H30" s="6"/>
      <c r="I30" s="6"/>
      <c r="J30" s="6"/>
      <c r="K30" s="6"/>
      <c r="L30" s="6"/>
      <c r="M30" s="81"/>
      <c r="N30" s="73">
        <f t="shared" ref="N30:N38" si="5">SUM(H30:M30)</f>
        <v>0</v>
      </c>
    </row>
    <row r="31" spans="2:14" hidden="1">
      <c r="B31" s="49"/>
      <c r="C31" s="23"/>
      <c r="D31" s="1"/>
      <c r="E31" s="1"/>
      <c r="F31" s="1"/>
      <c r="G31" s="1"/>
      <c r="H31" s="78"/>
      <c r="I31" s="78"/>
      <c r="J31" s="78"/>
      <c r="K31" s="78"/>
      <c r="L31" s="78"/>
      <c r="M31" s="80"/>
      <c r="N31" s="11">
        <f t="shared" si="5"/>
        <v>0</v>
      </c>
    </row>
    <row r="32" spans="2:14" hidden="1">
      <c r="B32" s="49"/>
      <c r="C32" s="23"/>
      <c r="D32" s="1"/>
      <c r="E32" s="1"/>
      <c r="F32" s="1"/>
      <c r="G32" s="1"/>
      <c r="H32" s="78"/>
      <c r="I32" s="78"/>
      <c r="J32" s="78"/>
      <c r="K32" s="78"/>
      <c r="L32" s="78"/>
      <c r="M32" s="80"/>
      <c r="N32" s="11">
        <f t="shared" si="5"/>
        <v>0</v>
      </c>
    </row>
    <row r="33" spans="2:14" hidden="1">
      <c r="B33" s="72"/>
      <c r="C33" s="23"/>
      <c r="D33" s="1"/>
      <c r="E33" s="1"/>
      <c r="F33" s="1"/>
      <c r="G33" s="1"/>
      <c r="H33" s="78"/>
      <c r="I33" s="78"/>
      <c r="J33" s="78"/>
      <c r="K33" s="78"/>
      <c r="L33" s="78"/>
      <c r="M33" s="80"/>
      <c r="N33" s="11">
        <f t="shared" si="5"/>
        <v>0</v>
      </c>
    </row>
    <row r="34" spans="2:14" hidden="1">
      <c r="B34" s="72"/>
      <c r="C34" s="23"/>
      <c r="D34" s="1"/>
      <c r="E34" s="1"/>
      <c r="F34" s="1"/>
      <c r="G34" s="1"/>
      <c r="H34" s="78"/>
      <c r="I34" s="78"/>
      <c r="J34" s="78"/>
      <c r="K34" s="78"/>
      <c r="L34" s="78"/>
      <c r="M34" s="80"/>
      <c r="N34" s="11">
        <f t="shared" si="5"/>
        <v>0</v>
      </c>
    </row>
    <row r="35" spans="2:14" hidden="1">
      <c r="C35" s="6"/>
      <c r="D35" s="1"/>
      <c r="E35" s="1"/>
      <c r="F35" s="1"/>
      <c r="G35" s="1"/>
      <c r="H35" s="78"/>
      <c r="I35" s="78"/>
      <c r="J35" s="78"/>
      <c r="K35" s="78"/>
      <c r="L35" s="78"/>
      <c r="M35" s="80"/>
      <c r="N35" s="11">
        <f t="shared" si="5"/>
        <v>0</v>
      </c>
    </row>
    <row r="36" spans="2:14" hidden="1">
      <c r="B36" s="70"/>
      <c r="C36" s="23"/>
      <c r="D36" s="1"/>
      <c r="E36" s="1"/>
      <c r="F36" s="1"/>
      <c r="G36" s="1"/>
      <c r="H36" s="78"/>
      <c r="I36" s="78"/>
      <c r="J36" s="78"/>
      <c r="K36" s="78"/>
      <c r="L36" s="78"/>
      <c r="M36" s="80"/>
      <c r="N36" s="11">
        <f t="shared" si="5"/>
        <v>0</v>
      </c>
    </row>
    <row r="37" spans="2:14" hidden="1">
      <c r="B37" s="49"/>
      <c r="C37" s="23"/>
      <c r="D37" s="1"/>
      <c r="E37" s="1"/>
      <c r="F37" s="1"/>
      <c r="G37" s="1"/>
      <c r="H37" s="78"/>
      <c r="I37" s="78"/>
      <c r="J37" s="78"/>
      <c r="K37" s="78"/>
      <c r="L37" s="78"/>
      <c r="M37" s="80"/>
      <c r="N37" s="11">
        <f t="shared" si="5"/>
        <v>0</v>
      </c>
    </row>
    <row r="38" spans="2:14" hidden="1">
      <c r="B38" s="49"/>
      <c r="C38" s="23"/>
      <c r="D38" s="1"/>
      <c r="E38" s="1"/>
      <c r="F38" s="1"/>
      <c r="G38" s="1"/>
      <c r="H38" s="78"/>
      <c r="I38" s="78"/>
      <c r="J38" s="78"/>
      <c r="K38" s="78"/>
      <c r="L38" s="78"/>
      <c r="M38" s="80"/>
      <c r="N38" s="11">
        <f t="shared" si="5"/>
        <v>0</v>
      </c>
    </row>
    <row r="39" spans="2:14" hidden="1">
      <c r="B39"/>
      <c r="C39" s="25"/>
    </row>
    <row r="40" spans="2:14">
      <c r="B40"/>
      <c r="C40" s="25"/>
      <c r="M40" t="s">
        <v>5</v>
      </c>
      <c r="N40" s="14">
        <f>SUM(N5:N39)</f>
        <v>2858</v>
      </c>
    </row>
    <row r="41" spans="2:14">
      <c r="B41"/>
      <c r="C41" s="25"/>
    </row>
    <row r="42" spans="2:14">
      <c r="B42"/>
      <c r="C42" s="25"/>
    </row>
    <row r="43" spans="2:14">
      <c r="B43"/>
      <c r="C43" s="25"/>
    </row>
    <row r="44" spans="2:14">
      <c r="B44"/>
      <c r="C44" s="25"/>
    </row>
    <row r="45" spans="2:14">
      <c r="B45"/>
      <c r="C45" s="25"/>
    </row>
    <row r="46" spans="2:14">
      <c r="B46"/>
      <c r="C46" s="25"/>
    </row>
    <row r="47" spans="2:14">
      <c r="B47"/>
      <c r="C47" s="25"/>
    </row>
    <row r="48" spans="2:14">
      <c r="B48"/>
      <c r="C48" s="25"/>
    </row>
    <row r="49" spans="2:3">
      <c r="B49"/>
      <c r="C49" s="25"/>
    </row>
    <row r="50" spans="2:3">
      <c r="B50"/>
      <c r="C50" s="25"/>
    </row>
    <row r="51" spans="2:3">
      <c r="B51"/>
      <c r="C51" s="25"/>
    </row>
    <row r="52" spans="2:3">
      <c r="B52"/>
    </row>
    <row r="53" spans="2:3">
      <c r="B53"/>
    </row>
    <row r="54" spans="2:3">
      <c r="B54"/>
    </row>
    <row r="55" spans="2:3">
      <c r="B55"/>
    </row>
    <row r="56" spans="2:3">
      <c r="B56"/>
    </row>
    <row r="57" spans="2:3">
      <c r="B57"/>
    </row>
    <row r="58" spans="2:3">
      <c r="B58"/>
    </row>
    <row r="59" spans="2:3">
      <c r="B59"/>
    </row>
    <row r="60" spans="2:3">
      <c r="B60"/>
    </row>
    <row r="61" spans="2:3">
      <c r="B61"/>
    </row>
    <row r="62" spans="2:3">
      <c r="B62"/>
    </row>
    <row r="63" spans="2:3">
      <c r="B63"/>
    </row>
    <row r="64" spans="2:3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 ht="15"/>
  </sheetData>
  <mergeCells count="1">
    <mergeCell ref="D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500B-6AF2-4F78-AC3A-A2984CD43EC7}">
  <dimension ref="A1"/>
  <sheetViews>
    <sheetView topLeftCell="G1" workbookViewId="0">
      <selection activeCell="S12" sqref="S12"/>
    </sheetView>
  </sheetViews>
  <sheetFormatPr defaultColWidth="8.7109375" defaultRowHeight="14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450F-F8E7-45C9-9C2C-71F0E42E1F9B}">
  <dimension ref="A1:C16"/>
  <sheetViews>
    <sheetView workbookViewId="0">
      <selection activeCell="C17" sqref="C17"/>
    </sheetView>
  </sheetViews>
  <sheetFormatPr defaultColWidth="8.7109375" defaultRowHeight="14.45"/>
  <sheetData>
    <row r="1" spans="1:3">
      <c r="A1" t="s">
        <v>189</v>
      </c>
    </row>
    <row r="3" spans="1:3">
      <c r="B3" t="s">
        <v>190</v>
      </c>
    </row>
    <row r="5" spans="1:3">
      <c r="B5" t="s">
        <v>191</v>
      </c>
      <c r="C5">
        <f>'COLE 43'!N43</f>
        <v>1336</v>
      </c>
    </row>
    <row r="6" spans="1:3">
      <c r="B6" t="s">
        <v>192</v>
      </c>
      <c r="C6">
        <f>'COLE 42 otoño'!L84</f>
        <v>1682</v>
      </c>
    </row>
    <row r="7" spans="1:3">
      <c r="B7" t="s">
        <v>193</v>
      </c>
      <c r="C7">
        <f>'COLE 41 Alto v'!L21</f>
        <v>186</v>
      </c>
    </row>
    <row r="8" spans="1:3">
      <c r="B8" t="s">
        <v>194</v>
      </c>
      <c r="C8">
        <f>'COLE 40 prima'!L50</f>
        <v>730</v>
      </c>
    </row>
    <row r="9" spans="1:3">
      <c r="B9" t="s">
        <v>195</v>
      </c>
      <c r="C9">
        <f>cole39!L19</f>
        <v>289</v>
      </c>
    </row>
    <row r="10" spans="1:3">
      <c r="B10" t="s">
        <v>196</v>
      </c>
      <c r="C10">
        <f>'cole 38'!L22</f>
        <v>588</v>
      </c>
    </row>
    <row r="11" spans="1:3">
      <c r="B11" t="s">
        <v>197</v>
      </c>
      <c r="C11">
        <f>'cole 37'!L34</f>
        <v>375</v>
      </c>
    </row>
    <row r="16" spans="1:3">
      <c r="C16">
        <f>SUM(C5:C15)</f>
        <v>5186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A930493430584FA0AAA82464888454" ma:contentTypeVersion="4" ma:contentTypeDescription="Create a new document." ma:contentTypeScope="" ma:versionID="a8d20479ec654229e6693fc7a42d8396">
  <xsd:schema xmlns:xsd="http://www.w3.org/2001/XMLSchema" xmlns:xs="http://www.w3.org/2001/XMLSchema" xmlns:p="http://schemas.microsoft.com/office/2006/metadata/properties" xmlns:ns3="eee826e9-b1fc-4e67-86a4-7fdd0eb0488d" targetNamespace="http://schemas.microsoft.com/office/2006/metadata/properties" ma:root="true" ma:fieldsID="87cd4242d2fb989be9a9d15ec31d7a56" ns3:_="">
    <xsd:import namespace="eee826e9-b1fc-4e67-86a4-7fdd0eb0488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826e9-b1fc-4e67-86a4-7fdd0eb0488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435606-CC94-4D7E-AC45-9A1C80658731}"/>
</file>

<file path=customXml/itemProps2.xml><?xml version="1.0" encoding="utf-8"?>
<ds:datastoreItem xmlns:ds="http://schemas.openxmlformats.org/officeDocument/2006/customXml" ds:itemID="{D5440EA7-5A09-4509-9BD3-E23F1F6F33D7}"/>
</file>

<file path=customXml/itemProps3.xml><?xml version="1.0" encoding="utf-8"?>
<ds:datastoreItem xmlns:ds="http://schemas.openxmlformats.org/officeDocument/2006/customXml" ds:itemID="{E3DF54EF-1C4E-4303-AAC9-B10BE11AC9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Control e Inventarios</dc:creator>
  <cp:keywords/>
  <dc:description/>
  <cp:lastModifiedBy>Usuario invitado</cp:lastModifiedBy>
  <cp:revision/>
  <dcterms:created xsi:type="dcterms:W3CDTF">2026-04-01T15:50:18Z</dcterms:created>
  <dcterms:modified xsi:type="dcterms:W3CDTF">2026-08-11T17:49:13Z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0x01010074A930493430584FA0AAA82464888454</vt:lpwstr>
  </property>
</Properties>
</file>