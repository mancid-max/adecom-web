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6176" documentId="8_{7153A978-015E-4100-A25B-FE4B86BBC307}" xr6:coauthVersionLast="47" xr6:coauthVersionMax="47" xr10:uidLastSave="{5C5F5BB8-13F2-4461-873E-DA2B1780F711}"/>
  <bookViews>
    <workbookView xWindow="-110" yWindow="-110" windowWidth="19420" windowHeight="10300" firstSheet="6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  <sheet name="COLE 44" sheetId="12" r:id="rId8"/>
    <sheet name="Resumen" sheetId="11" r:id="rId9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42'!$B$2:$L$81</definedName>
    <definedName name="_xlnm._FilterDatabase" localSheetId="6" hidden="1">'COLE 43'!$C$3:$N$25</definedName>
    <definedName name="_xlnm._FilterDatabase" localSheetId="2" hidden="1">cole39!$B$4:$L$4</definedName>
    <definedName name="_xlnm.Print_Area" localSheetId="6">'COLE 43'!$A$3:$N$11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2" l="1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N10" i="12"/>
  <c r="N9" i="12"/>
  <c r="N8" i="12"/>
  <c r="N7" i="12"/>
  <c r="N6" i="12"/>
  <c r="N5" i="12"/>
  <c r="N41" i="12" s="1"/>
  <c r="L9" i="9"/>
  <c r="L8" i="9"/>
  <c r="L11" i="9"/>
  <c r="L14" i="9"/>
  <c r="L10" i="9"/>
  <c r="L12" i="9"/>
  <c r="L15" i="9"/>
  <c r="L33" i="4"/>
  <c r="N14" i="10"/>
  <c r="N19" i="10"/>
  <c r="N16" i="10"/>
  <c r="N20" i="10"/>
  <c r="C11" i="11"/>
  <c r="C9" i="11"/>
  <c r="C8" i="11"/>
  <c r="N32" i="10"/>
  <c r="N30" i="10"/>
  <c r="N15" i="10"/>
  <c r="N28" i="10"/>
  <c r="N33" i="10"/>
  <c r="N25" i="10"/>
  <c r="N13" i="10"/>
  <c r="N34" i="10"/>
  <c r="N21" i="10"/>
  <c r="N27" i="10"/>
  <c r="N38" i="10"/>
  <c r="N26" i="10"/>
  <c r="N37" i="10"/>
  <c r="N22" i="10"/>
  <c r="N23" i="10"/>
  <c r="N29" i="10"/>
  <c r="N17" i="10"/>
  <c r="L19" i="6"/>
  <c r="L34" i="2"/>
  <c r="L30" i="4"/>
  <c r="L67" i="4"/>
  <c r="L71" i="4"/>
  <c r="L21" i="4"/>
  <c r="L66" i="4"/>
  <c r="N36" i="10"/>
  <c r="N12" i="10"/>
  <c r="L57" i="4"/>
  <c r="N31" i="10"/>
  <c r="N35" i="10"/>
  <c r="N18" i="10" l="1"/>
  <c r="N11" i="10" l="1"/>
  <c r="N24" i="10"/>
  <c r="N5" i="10"/>
  <c r="N9" i="10"/>
  <c r="N4" i="10"/>
  <c r="L18" i="9"/>
  <c r="N10" i="10"/>
  <c r="N7" i="10"/>
  <c r="N8" i="10"/>
  <c r="N6" i="10"/>
  <c r="L5" i="4"/>
  <c r="L76" i="4"/>
  <c r="L75" i="4"/>
  <c r="L7" i="4"/>
  <c r="L77" i="4"/>
  <c r="L45" i="4"/>
  <c r="L41" i="4"/>
  <c r="L65" i="4"/>
  <c r="L8" i="4"/>
  <c r="L79" i="4"/>
  <c r="L10" i="4"/>
  <c r="L61" i="4"/>
  <c r="L68" i="4"/>
  <c r="L4" i="4"/>
  <c r="L18" i="4"/>
  <c r="L54" i="4"/>
  <c r="L53" i="4"/>
  <c r="L72" i="4"/>
  <c r="L31" i="4"/>
  <c r="L59" i="4"/>
  <c r="L6" i="9"/>
  <c r="L17" i="9"/>
  <c r="L16" i="9"/>
  <c r="L13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2" i="8" s="1"/>
  <c r="L15" i="6"/>
  <c r="L5" i="6"/>
  <c r="L11" i="6"/>
  <c r="L12" i="6"/>
  <c r="L10" i="6"/>
  <c r="L6" i="6"/>
  <c r="L9" i="6"/>
  <c r="L8" i="6"/>
  <c r="L14" i="6"/>
  <c r="L13" i="6"/>
  <c r="L7" i="6"/>
  <c r="L17" i="5"/>
  <c r="L16" i="5"/>
  <c r="L11" i="5"/>
  <c r="L10" i="5"/>
  <c r="L12" i="5"/>
  <c r="L13" i="5"/>
  <c r="L5" i="5"/>
  <c r="L14" i="5"/>
  <c r="L9" i="5"/>
  <c r="L15" i="5"/>
  <c r="L18" i="5"/>
  <c r="L7" i="5"/>
  <c r="L6" i="5"/>
  <c r="L19" i="5"/>
  <c r="L8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0" i="4"/>
  <c r="L80" i="4"/>
  <c r="L60" i="4"/>
  <c r="L49" i="4"/>
  <c r="L29" i="4"/>
  <c r="L42" i="4"/>
  <c r="L46" i="4"/>
  <c r="L56" i="4"/>
  <c r="L6" i="4"/>
  <c r="L26" i="4"/>
  <c r="L24" i="4"/>
  <c r="L28" i="4"/>
  <c r="L47" i="4"/>
  <c r="L52" i="4"/>
  <c r="L39" i="4"/>
  <c r="L43" i="4"/>
  <c r="L16" i="4"/>
  <c r="L58" i="4"/>
  <c r="L55" i="4"/>
  <c r="L19" i="4"/>
  <c r="L25" i="4"/>
  <c r="L62" i="4"/>
  <c r="L38" i="4"/>
  <c r="L44" i="4"/>
  <c r="L50" i="4"/>
  <c r="L3" i="4"/>
  <c r="L11" i="4"/>
  <c r="L15" i="4"/>
  <c r="L17" i="4"/>
  <c r="L32" i="4"/>
  <c r="L78" i="4"/>
  <c r="L23" i="4"/>
  <c r="L35" i="4"/>
  <c r="L51" i="4"/>
  <c r="L34" i="4"/>
  <c r="L73" i="4"/>
  <c r="L12" i="4"/>
  <c r="L48" i="4"/>
  <c r="L14" i="4"/>
  <c r="L27" i="4"/>
  <c r="L36" i="4"/>
  <c r="L64" i="4"/>
  <c r="L9" i="4"/>
  <c r="L13" i="4"/>
  <c r="L74" i="4"/>
  <c r="L63" i="4"/>
  <c r="L37" i="4"/>
  <c r="L69" i="4"/>
  <c r="L70" i="4"/>
  <c r="L22" i="4"/>
  <c r="L20" i="4"/>
  <c r="L24" i="9" l="1"/>
  <c r="C7" i="11" s="1"/>
  <c r="L22" i="5"/>
  <c r="C10" i="11" s="1"/>
  <c r="N40" i="10"/>
  <c r="C5" i="11" s="1"/>
  <c r="L83" i="4"/>
  <c r="C6" i="11" s="1"/>
  <c r="C16" i="11" s="1"/>
</calcChain>
</file>

<file path=xl/sharedStrings.xml><?xml version="1.0" encoding="utf-8"?>
<sst xmlns="http://schemas.openxmlformats.org/spreadsheetml/2006/main" count="727" uniqueCount="204">
  <si>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</si>
  <si>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</si>
  <si>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</si>
  <si>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</si>
  <si>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</si>
  <si>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</si>
  <si>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</si>
  <si>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</si>
  <si>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</si>
  <si>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</si>
  <si>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</si>
  <si>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</si>
  <si>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</si>
  <si>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</si>
  <si>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</si>
  <si>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</si>
  <si>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</si>
  <si>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053749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</si>
  <si>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</si>
  <si>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</si>
  <si>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</si>
  <si>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</si>
  <si>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</si>
  <si>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</si>
  <si>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</si>
  <si>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</si>
  <si>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</si>
  <si>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</si>
  <si>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</si>
  <si>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</si>
  <si>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</si>
  <si>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</si>
  <si>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</si>
  <si>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</si>
  <si>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</si>
  <si>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</si>
  <si>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</si>
  <si>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</si>
  <si>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</si>
  <si>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</si>
  <si>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</si>
  <si>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</si>
  <si>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</si>
  <si>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</si>
  <si>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</si>
  <si>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</si>
  <si>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</si>
  <si>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</si>
  <si>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</si>
  <si>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</si>
  <si>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</si>
  <si>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</si>
  <si>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</si>
  <si>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</si>
  <si>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</si>
  <si>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</si>
  <si>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</si>
  <si>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</si>
  <si>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</si>
  <si>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</si>
  <si>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</si>
  <si>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NEGRO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</si>
  <si>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</si>
  <si>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</si>
  <si>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</si>
  <si>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</si>
  <si>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</si>
  <si>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</si>
  <si>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</si>
  <si>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</si>
  <si>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</si>
  <si>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</si>
  <si>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</si>
  <si>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</si>
  <si>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</si>
  <si>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</si>
  <si>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</si>
  <si>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</si>
  <si>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</si>
  <si>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</si>
  <si>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</si>
  <si>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</si>
  <si>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</si>
  <si>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</si>
  <si>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</si>
  <si>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</si>
  <si>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</si>
  <si>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</si>
  <si>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</si>
  <si>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</si>
  <si>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</si>
  <si>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</si>
  <si>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</si>
  <si>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</si>
  <si>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</si>
  <si>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</si>
  <si>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</si>
  <si>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</si>
  <si>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</si>
  <si>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</si>
  <si>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</si>
  <si>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</si>
  <si>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</si>
  <si>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</si>
  <si>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</si>
  <si>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</si>
  <si>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</si>
  <si>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</si>
  <si>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</si>
  <si>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</si>
  <si>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</si>
  <si>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</si>
  <si>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</si>
  <si>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16:00HRS</t>
  </si>
  <si>
    <t>4113-00</t>
  </si>
  <si>
    <t>05-4119</t>
  </si>
  <si>
    <t>MINI</t>
  </si>
  <si>
    <t>4188-00</t>
  </si>
  <si>
    <t>4148-00</t>
  </si>
  <si>
    <t xml:space="preserve">CINTURA </t>
  </si>
  <si>
    <t>4188-90</t>
  </si>
  <si>
    <t>GLITTER</t>
  </si>
  <si>
    <t>4158-00</t>
  </si>
  <si>
    <t>4125-00</t>
  </si>
  <si>
    <t>4116-00</t>
  </si>
  <si>
    <t>4177-08</t>
  </si>
  <si>
    <t>OCRE</t>
  </si>
  <si>
    <t>4147-60</t>
  </si>
  <si>
    <t>COLOR TACHAS</t>
  </si>
  <si>
    <t>4108-00</t>
  </si>
  <si>
    <t>4166-00</t>
  </si>
  <si>
    <t>4109</t>
  </si>
  <si>
    <t xml:space="preserve">  </t>
  </si>
  <si>
    <t>bLUE</t>
  </si>
  <si>
    <t>MARENGO</t>
  </si>
  <si>
    <t>BLUE</t>
  </si>
  <si>
    <t xml:space="preserve"> </t>
  </si>
  <si>
    <t>GRAVILLADO GRIS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</si>
  <si>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</si>
  <si>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BIOMEDIO FOCALIZ</t>
  </si>
  <si>
    <t>OXIDADO LASER</t>
  </si>
  <si>
    <t>BIOMEDIO</t>
  </si>
  <si>
    <t>CLARO</t>
  </si>
  <si>
    <t>GRIS</t>
  </si>
  <si>
    <t>OXIDADO</t>
  </si>
  <si>
    <t>RECTO TOBI</t>
  </si>
  <si>
    <t>BOTON DIFERENTE</t>
  </si>
  <si>
    <t>GLITER</t>
  </si>
  <si>
    <t>GRAVILLADO  L</t>
  </si>
  <si>
    <t>BOTON  NEGRO</t>
  </si>
  <si>
    <t>BLACK BLUE LASER</t>
  </si>
  <si>
    <t>GRAVILLADO</t>
  </si>
  <si>
    <t xml:space="preserve">MEDIO </t>
  </si>
  <si>
    <t>&lt;</t>
  </si>
  <si>
    <t>BURDEO</t>
  </si>
  <si>
    <t>VERDE MENTA</t>
  </si>
  <si>
    <t>CAFE</t>
  </si>
  <si>
    <t>TACHAS</t>
  </si>
  <si>
    <t>OSCURO</t>
  </si>
  <si>
    <t>TELA</t>
  </si>
  <si>
    <t>ingreso lav</t>
  </si>
  <si>
    <t>ingreso ter</t>
  </si>
  <si>
    <t>ingreso bod</t>
  </si>
  <si>
    <t>TRASPASAR</t>
  </si>
  <si>
    <t>MISSY PLUS</t>
  </si>
  <si>
    <t>24-04-2026</t>
  </si>
  <si>
    <t>PATRICIA DARK</t>
  </si>
  <si>
    <t>19/05/2026</t>
  </si>
  <si>
    <t>NEW GLUE</t>
  </si>
  <si>
    <t>24/04/2026</t>
  </si>
  <si>
    <t>05-06-07/06/26</t>
  </si>
  <si>
    <t>C/ CINTURON</t>
  </si>
  <si>
    <t>21/04/2026</t>
  </si>
  <si>
    <t>27/5/2026</t>
  </si>
  <si>
    <t>4-13/05/2026</t>
  </si>
  <si>
    <t>WIDE</t>
  </si>
  <si>
    <t>20-04-2026</t>
  </si>
  <si>
    <t>28-04-2026</t>
  </si>
  <si>
    <t>05-10/05/2026</t>
  </si>
  <si>
    <t>PUSH IN PUSH UP</t>
  </si>
  <si>
    <t>30-04-2026</t>
  </si>
  <si>
    <t>7-8/05/2026</t>
  </si>
  <si>
    <t>7-8-15/05/2026</t>
  </si>
  <si>
    <t>WIDE LEG</t>
  </si>
  <si>
    <t>AYLA</t>
  </si>
  <si>
    <t xml:space="preserve">CAFE </t>
  </si>
  <si>
    <t>BURDE0</t>
  </si>
  <si>
    <t>WIDELEG</t>
  </si>
  <si>
    <t>OPAQUE</t>
  </si>
  <si>
    <t>WID LEG</t>
  </si>
  <si>
    <t>KENNEDY</t>
  </si>
  <si>
    <t>BIOCLARO FOCALIZADO</t>
  </si>
  <si>
    <t>MARENGO TACHAS</t>
  </si>
  <si>
    <t>CAFE ANIMAL  PRINT</t>
  </si>
  <si>
    <t>CAFÉ</t>
  </si>
  <si>
    <t>re</t>
  </si>
  <si>
    <t>Resumen</t>
  </si>
  <si>
    <t>Cole 43</t>
  </si>
  <si>
    <t>Cole 42</t>
  </si>
  <si>
    <t>Cole 41</t>
  </si>
  <si>
    <t>Cole 40</t>
  </si>
  <si>
    <t>CoLe 39</t>
  </si>
  <si>
    <t>Cole 38</t>
  </si>
  <si>
    <t>Cole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</si>
</sst>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7BE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7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6" borderId="4" xfId="0" applyFill="1" applyBorder="1"/>
    <xf numFmtId="0" fontId="0" fillId="5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49" fontId="0" fillId="0" borderId="24" xfId="0" applyNumberFormat="1" applyBorder="1" applyAlignment="1">
      <alignment horizontal="right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16" xfId="0" applyNumberFormat="1" applyBorder="1" applyAlignment="1">
      <alignment horizontal="right" vertical="center"/>
    </xf>
    <xf numFmtId="49" fontId="0" fillId="0" borderId="18" xfId="0" applyNumberFormat="1" applyBorder="1" applyAlignment="1">
      <alignment horizontal="right" vertical="center"/>
    </xf>
    <xf numFmtId="0" fontId="2" fillId="4" borderId="12" xfId="0" applyFont="1" applyFill="1" applyBorder="1" applyAlignment="1">
      <alignment horizontal="center" vertical="center"/>
    </xf>
    <xf numFmtId="49" fontId="0" fillId="0" borderId="9" xfId="0" applyNumberFormat="1" applyBorder="1" applyAlignment="1">
      <alignment horizontal="left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left" vertical="center"/>
    </xf>
    <xf numFmtId="0" fontId="2" fillId="4" borderId="28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12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0" fontId="0" fillId="5" borderId="4" xfId="0" applyFill="1" applyBorder="1"/>
    <xf numFmtId="0" fontId="0" fillId="5" borderId="15" xfId="0" applyFill="1" applyBorder="1"/>
    <xf numFmtId="0" fontId="0" fillId="5" borderId="1" xfId="0" applyFill="1" applyBorder="1"/>
    <xf numFmtId="0" fontId="0" fillId="5" borderId="4" xfId="0" applyFill="1" applyBorder="1" applyAlignment="1">
      <alignment horizontal="left"/>
    </xf>
    <xf numFmtId="0" fontId="0" fillId="6" borderId="16" xfId="0" applyFill="1" applyBorder="1" applyAlignment="1">
      <alignment horizontal="right" vertical="center"/>
    </xf>
    <xf numFmtId="14" fontId="0" fillId="0" borderId="0" xfId="0" applyNumberFormat="1"/>
    <xf numFmtId="20" fontId="0" fillId="0" borderId="0" xfId="0" applyNumberFormat="1"/>
    <xf numFmtId="0" fontId="0" fillId="6" borderId="21" xfId="0" applyFill="1" applyBorder="1" applyAlignment="1">
      <alignment horizontal="right" vertical="center"/>
    </xf>
    <xf numFmtId="0" fontId="0" fillId="6" borderId="18" xfId="0" applyFill="1" applyBorder="1" applyAlignment="1">
      <alignment horizontal="right" vertical="center"/>
    </xf>
    <xf numFmtId="0" fontId="0" fillId="8" borderId="16" xfId="0" applyFill="1" applyBorder="1" applyAlignment="1">
      <alignment horizontal="right" vertical="center"/>
    </xf>
    <xf numFmtId="49" fontId="0" fillId="6" borderId="4" xfId="0" applyNumberFormat="1" applyFill="1" applyBorder="1" applyAlignment="1">
      <alignment horizontal="left" vertical="center"/>
    </xf>
    <xf numFmtId="49" fontId="0" fillId="6" borderId="12" xfId="0" applyNumberForma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9" fontId="0" fillId="6" borderId="14" xfId="0" applyNumberFormat="1" applyFill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4" xfId="0" applyBorder="1" applyAlignment="1">
      <alignment horizontal="left" indent="1"/>
    </xf>
    <xf numFmtId="0" fontId="0" fillId="6" borderId="11" xfId="0" applyFill="1" applyBorder="1" applyAlignment="1">
      <alignment horizontal="center"/>
    </xf>
    <xf numFmtId="0" fontId="0" fillId="9" borderId="11" xfId="0" applyFill="1" applyBorder="1" applyAlignment="1">
      <alignment horizontal="center"/>
    </xf>
    <xf numFmtId="0" fontId="0" fillId="2" borderId="4" xfId="0" applyFill="1" applyBorder="1"/>
    <xf numFmtId="0" fontId="0" fillId="2" borderId="15" xfId="0" applyFill="1" applyBorder="1" applyAlignment="1">
      <alignment horizontal="center" vertical="center"/>
    </xf>
    <xf numFmtId="0" fontId="0" fillId="0" borderId="15" xfId="0" applyBorder="1"/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14" fontId="0" fillId="0" borderId="33" xfId="0" applyNumberFormat="1" applyBorder="1" applyAlignment="1">
      <alignment horizontal="center"/>
    </xf>
    <xf numFmtId="0" fontId="0" fillId="5" borderId="12" xfId="0" applyFill="1" applyBorder="1"/>
    <xf numFmtId="0" fontId="0" fillId="5" borderId="13" xfId="0" applyFill="1" applyBorder="1"/>
    <xf numFmtId="0" fontId="0" fillId="5" borderId="14" xfId="0" applyFill="1" applyBorder="1"/>
    <xf numFmtId="0" fontId="0" fillId="6" borderId="12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9" borderId="1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4" xfId="0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3F7B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4"/>
  <sheetViews>
    <sheetView topLeftCell="A23" workbookViewId="0">
      <selection activeCell="B4" sqref="B4"/>
    </sheetView>
  </sheetViews>
  <sheetFormatPr defaultColWidth="11.42578125" defaultRowHeight="14.45"/>
  <sheetData>
    <row r="2" spans="2:12" ht="18.600000000000001">
      <c r="B2" s="95" t="s">
        <v>0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2:12" ht="15">
      <c r="B3" s="43" t="s">
        <v>1</v>
      </c>
      <c r="C3" s="43" t="s">
        <v>2</v>
      </c>
      <c r="D3" s="43" t="s">
        <v>3</v>
      </c>
      <c r="E3" s="43" t="s">
        <v>4</v>
      </c>
      <c r="F3" s="43">
        <v>36</v>
      </c>
      <c r="G3" s="43">
        <v>38</v>
      </c>
      <c r="H3" s="43">
        <v>40</v>
      </c>
      <c r="I3" s="43">
        <v>42</v>
      </c>
      <c r="J3" s="43">
        <v>44</v>
      </c>
      <c r="K3" s="43">
        <v>46</v>
      </c>
      <c r="L3" s="43" t="s">
        <v>5</v>
      </c>
    </row>
    <row r="4" spans="2:12" ht="15">
      <c r="B4" s="38" t="s">
        <v>6</v>
      </c>
      <c r="C4" s="39" t="s">
        <v>7</v>
      </c>
      <c r="D4" s="39" t="s">
        <v>8</v>
      </c>
      <c r="E4" s="39"/>
      <c r="F4" s="39">
        <v>18</v>
      </c>
      <c r="G4" s="39">
        <v>28</v>
      </c>
      <c r="H4" s="39">
        <v>9</v>
      </c>
      <c r="I4" s="39">
        <v>6</v>
      </c>
      <c r="J4" s="39"/>
      <c r="K4" s="39"/>
      <c r="L4" s="40">
        <f t="shared" ref="L4:L31" si="0">SUM(F4:K4)</f>
        <v>61</v>
      </c>
    </row>
    <row r="5" spans="2:12" ht="15">
      <c r="B5" s="41" t="s">
        <v>9</v>
      </c>
      <c r="C5" s="5" t="s">
        <v>7</v>
      </c>
      <c r="D5" s="5" t="s">
        <v>10</v>
      </c>
      <c r="E5" s="5"/>
      <c r="F5" s="5">
        <v>27</v>
      </c>
      <c r="G5" s="5">
        <v>12</v>
      </c>
      <c r="H5" s="5">
        <v>6</v>
      </c>
      <c r="I5" s="5"/>
      <c r="J5" s="5"/>
      <c r="K5" s="5"/>
      <c r="L5" s="29">
        <f t="shared" si="0"/>
        <v>45</v>
      </c>
    </row>
    <row r="6" spans="2:12" ht="15">
      <c r="B6" s="41" t="s">
        <v>11</v>
      </c>
      <c r="C6" s="5" t="s">
        <v>7</v>
      </c>
      <c r="D6" s="5" t="s">
        <v>12</v>
      </c>
      <c r="E6" s="5"/>
      <c r="F6" s="5">
        <v>28</v>
      </c>
      <c r="G6" s="5"/>
      <c r="H6" s="5">
        <v>3</v>
      </c>
      <c r="I6" s="5"/>
      <c r="J6" s="5"/>
      <c r="K6" s="5">
        <v>3</v>
      </c>
      <c r="L6" s="29">
        <f t="shared" si="0"/>
        <v>34</v>
      </c>
    </row>
    <row r="7" spans="2:12" ht="15">
      <c r="B7" s="41" t="s">
        <v>13</v>
      </c>
      <c r="C7" s="5" t="s">
        <v>7</v>
      </c>
      <c r="D7" s="5" t="s">
        <v>10</v>
      </c>
      <c r="E7" s="5"/>
      <c r="F7" s="5"/>
      <c r="G7" s="5"/>
      <c r="H7" s="5"/>
      <c r="I7" s="5"/>
      <c r="J7" s="5">
        <v>22</v>
      </c>
      <c r="K7" s="5">
        <v>8</v>
      </c>
      <c r="L7" s="29">
        <f t="shared" si="0"/>
        <v>30</v>
      </c>
    </row>
    <row r="8" spans="2:12" ht="15">
      <c r="B8" s="41" t="s">
        <v>14</v>
      </c>
      <c r="C8" s="5" t="s">
        <v>15</v>
      </c>
      <c r="D8" s="5" t="s">
        <v>8</v>
      </c>
      <c r="E8" s="5"/>
      <c r="F8" s="5">
        <v>14</v>
      </c>
      <c r="G8" s="5">
        <v>13</v>
      </c>
      <c r="H8" s="5"/>
      <c r="I8" s="5"/>
      <c r="J8" s="5">
        <v>1</v>
      </c>
      <c r="K8" s="5"/>
      <c r="L8" s="29">
        <f t="shared" si="0"/>
        <v>28</v>
      </c>
    </row>
    <row r="9" spans="2:12" ht="15">
      <c r="B9" s="41" t="s">
        <v>16</v>
      </c>
      <c r="C9" s="5" t="s">
        <v>7</v>
      </c>
      <c r="D9" s="5" t="s">
        <v>8</v>
      </c>
      <c r="E9" s="5"/>
      <c r="F9" s="5"/>
      <c r="G9" s="5"/>
      <c r="H9" s="5"/>
      <c r="I9" s="5"/>
      <c r="J9" s="5">
        <v>15</v>
      </c>
      <c r="K9" s="5"/>
      <c r="L9" s="29">
        <f t="shared" si="0"/>
        <v>15</v>
      </c>
    </row>
    <row r="10" spans="2:12" ht="15">
      <c r="B10" s="41" t="s">
        <v>17</v>
      </c>
      <c r="C10" s="5" t="s">
        <v>18</v>
      </c>
      <c r="D10" s="5"/>
      <c r="E10" s="5"/>
      <c r="F10" s="5"/>
      <c r="G10" s="5">
        <v>2</v>
      </c>
      <c r="H10" s="5">
        <v>4</v>
      </c>
      <c r="I10" s="5">
        <v>4</v>
      </c>
      <c r="J10" s="5">
        <v>4</v>
      </c>
      <c r="K10" s="5">
        <v>1</v>
      </c>
      <c r="L10" s="29">
        <f t="shared" si="0"/>
        <v>15</v>
      </c>
    </row>
    <row r="11" spans="2:12" ht="15">
      <c r="B11" s="41" t="s">
        <v>19</v>
      </c>
      <c r="C11" s="5" t="s">
        <v>15</v>
      </c>
      <c r="D11" s="5" t="s">
        <v>20</v>
      </c>
      <c r="E11" s="5"/>
      <c r="F11" s="5">
        <v>14</v>
      </c>
      <c r="G11" s="5"/>
      <c r="H11" s="5"/>
      <c r="I11" s="5"/>
      <c r="J11" s="5"/>
      <c r="K11" s="5"/>
      <c r="L11" s="29">
        <f t="shared" si="0"/>
        <v>14</v>
      </c>
    </row>
    <row r="12" spans="2:12" ht="15">
      <c r="B12" s="41" t="s">
        <v>21</v>
      </c>
      <c r="C12" s="5" t="s">
        <v>7</v>
      </c>
      <c r="D12" s="5" t="s">
        <v>22</v>
      </c>
      <c r="E12" s="5"/>
      <c r="F12" s="5">
        <v>7</v>
      </c>
      <c r="G12" s="5">
        <v>6</v>
      </c>
      <c r="H12" s="5"/>
      <c r="I12" s="5"/>
      <c r="J12" s="5"/>
      <c r="K12" s="5"/>
      <c r="L12" s="29">
        <f t="shared" si="0"/>
        <v>13</v>
      </c>
    </row>
    <row r="13" spans="2:12" ht="15">
      <c r="B13" s="41" t="s">
        <v>23</v>
      </c>
      <c r="C13" s="5" t="s">
        <v>7</v>
      </c>
      <c r="D13" s="5" t="s">
        <v>8</v>
      </c>
      <c r="E13" s="5"/>
      <c r="F13" s="5"/>
      <c r="G13" s="5"/>
      <c r="H13" s="5">
        <v>5</v>
      </c>
      <c r="I13" s="5">
        <v>6</v>
      </c>
      <c r="J13" s="5">
        <v>1</v>
      </c>
      <c r="K13" s="5"/>
      <c r="L13" s="29">
        <f t="shared" si="0"/>
        <v>12</v>
      </c>
    </row>
    <row r="14" spans="2:12" ht="15">
      <c r="B14" s="41" t="s">
        <v>24</v>
      </c>
      <c r="C14" s="5" t="s">
        <v>7</v>
      </c>
      <c r="D14" s="5" t="s">
        <v>8</v>
      </c>
      <c r="E14" s="5"/>
      <c r="F14" s="5">
        <v>0</v>
      </c>
      <c r="G14" s="5">
        <v>0</v>
      </c>
      <c r="H14" s="5">
        <v>0</v>
      </c>
      <c r="I14" s="5">
        <v>5</v>
      </c>
      <c r="J14" s="5">
        <v>4</v>
      </c>
      <c r="K14" s="5">
        <v>3</v>
      </c>
      <c r="L14" s="29">
        <f t="shared" si="0"/>
        <v>12</v>
      </c>
    </row>
    <row r="15" spans="2:12" ht="15">
      <c r="B15" s="41" t="s">
        <v>25</v>
      </c>
      <c r="C15" s="5" t="s">
        <v>7</v>
      </c>
      <c r="D15" s="5" t="s">
        <v>8</v>
      </c>
      <c r="E15" s="5"/>
      <c r="F15" s="5">
        <v>11</v>
      </c>
      <c r="G15" s="5">
        <v>1</v>
      </c>
      <c r="H15" s="5"/>
      <c r="I15" s="5"/>
      <c r="J15" s="5"/>
      <c r="K15" s="5"/>
      <c r="L15" s="29">
        <f t="shared" si="0"/>
        <v>12</v>
      </c>
    </row>
    <row r="16" spans="2:12" ht="15">
      <c r="B16" s="41" t="s">
        <v>26</v>
      </c>
      <c r="C16" s="5" t="s">
        <v>7</v>
      </c>
      <c r="D16" s="5" t="s">
        <v>12</v>
      </c>
      <c r="E16" s="5"/>
      <c r="F16" s="5"/>
      <c r="G16" s="5"/>
      <c r="H16" s="5"/>
      <c r="I16" s="5"/>
      <c r="J16" s="5"/>
      <c r="K16" s="5">
        <v>11</v>
      </c>
      <c r="L16" s="29">
        <f t="shared" si="0"/>
        <v>11</v>
      </c>
    </row>
    <row r="17" spans="2:12" ht="15">
      <c r="B17" s="41" t="s">
        <v>27</v>
      </c>
      <c r="C17" s="5" t="s">
        <v>7</v>
      </c>
      <c r="D17" s="5" t="s">
        <v>22</v>
      </c>
      <c r="E17" s="5"/>
      <c r="F17" s="5"/>
      <c r="G17" s="5">
        <v>3</v>
      </c>
      <c r="H17" s="5">
        <v>3</v>
      </c>
      <c r="I17" s="5">
        <v>1</v>
      </c>
      <c r="J17" s="5">
        <v>2</v>
      </c>
      <c r="K17" s="5">
        <v>1</v>
      </c>
      <c r="L17" s="29">
        <f t="shared" si="0"/>
        <v>10</v>
      </c>
    </row>
    <row r="18" spans="2:12" ht="15">
      <c r="B18" s="41" t="s">
        <v>28</v>
      </c>
      <c r="C18" s="5" t="s">
        <v>7</v>
      </c>
      <c r="D18" s="5" t="s">
        <v>29</v>
      </c>
      <c r="E18" s="5"/>
      <c r="F18" s="5">
        <v>9</v>
      </c>
      <c r="G18" s="5"/>
      <c r="H18" s="5"/>
      <c r="I18" s="5"/>
      <c r="J18" s="5"/>
      <c r="K18" s="5"/>
      <c r="L18" s="29">
        <f t="shared" si="0"/>
        <v>9</v>
      </c>
    </row>
    <row r="19" spans="2:12" ht="15">
      <c r="B19" s="41" t="s">
        <v>30</v>
      </c>
      <c r="C19" s="5" t="s">
        <v>7</v>
      </c>
      <c r="D19" s="5" t="s">
        <v>12</v>
      </c>
      <c r="E19" s="5"/>
      <c r="F19" s="5">
        <v>2</v>
      </c>
      <c r="G19" s="5">
        <v>1</v>
      </c>
      <c r="H19" s="5">
        <v>5</v>
      </c>
      <c r="I19" s="5"/>
      <c r="J19" s="5"/>
      <c r="K19" s="5"/>
      <c r="L19" s="29">
        <f t="shared" si="0"/>
        <v>8</v>
      </c>
    </row>
    <row r="20" spans="2:12" ht="15">
      <c r="B20" s="41" t="s">
        <v>31</v>
      </c>
      <c r="C20" s="5" t="s">
        <v>7</v>
      </c>
      <c r="D20" s="5" t="s">
        <v>20</v>
      </c>
      <c r="E20" s="5"/>
      <c r="F20" s="5">
        <v>1</v>
      </c>
      <c r="G20" s="5"/>
      <c r="H20" s="5">
        <v>2</v>
      </c>
      <c r="I20" s="5">
        <v>2</v>
      </c>
      <c r="J20" s="5">
        <v>1</v>
      </c>
      <c r="K20" s="5">
        <v>1</v>
      </c>
      <c r="L20" s="29">
        <f t="shared" si="0"/>
        <v>7</v>
      </c>
    </row>
    <row r="21" spans="2:12" ht="15">
      <c r="B21" s="41" t="s">
        <v>32</v>
      </c>
      <c r="C21" s="5" t="s">
        <v>7</v>
      </c>
      <c r="D21" s="5" t="s">
        <v>29</v>
      </c>
      <c r="E21" s="5"/>
      <c r="F21" s="5"/>
      <c r="G21" s="5"/>
      <c r="H21" s="5"/>
      <c r="I21" s="5">
        <v>7</v>
      </c>
      <c r="J21" s="5"/>
      <c r="K21" s="5"/>
      <c r="L21" s="29">
        <f t="shared" si="0"/>
        <v>7</v>
      </c>
    </row>
    <row r="22" spans="2:12" ht="15">
      <c r="B22" s="41" t="s">
        <v>33</v>
      </c>
      <c r="C22" s="5" t="s">
        <v>7</v>
      </c>
      <c r="D22" s="5" t="s">
        <v>8</v>
      </c>
      <c r="E22" s="5"/>
      <c r="F22" s="5"/>
      <c r="G22" s="5"/>
      <c r="H22" s="5"/>
      <c r="I22" s="5"/>
      <c r="J22" s="5"/>
      <c r="K22" s="5">
        <v>6</v>
      </c>
      <c r="L22" s="29">
        <f t="shared" si="0"/>
        <v>6</v>
      </c>
    </row>
    <row r="23" spans="2:12" ht="15">
      <c r="B23" s="41" t="s">
        <v>34</v>
      </c>
      <c r="C23" s="5" t="s">
        <v>15</v>
      </c>
      <c r="D23" s="5" t="s">
        <v>10</v>
      </c>
      <c r="E23" s="5"/>
      <c r="F23" s="5">
        <v>5</v>
      </c>
      <c r="G23" s="5"/>
      <c r="H23" s="5"/>
      <c r="I23" s="5"/>
      <c r="J23" s="5"/>
      <c r="K23" s="5"/>
      <c r="L23" s="29">
        <f t="shared" si="0"/>
        <v>5</v>
      </c>
    </row>
    <row r="24" spans="2:12" ht="15">
      <c r="B24" s="41" t="s">
        <v>35</v>
      </c>
      <c r="C24" s="5" t="s">
        <v>15</v>
      </c>
      <c r="D24" s="5" t="s">
        <v>8</v>
      </c>
      <c r="E24" s="5"/>
      <c r="F24" s="5">
        <v>5</v>
      </c>
      <c r="G24" s="5"/>
      <c r="H24" s="5"/>
      <c r="I24" s="5"/>
      <c r="J24" s="5"/>
      <c r="K24" s="5"/>
      <c r="L24" s="29">
        <f t="shared" si="0"/>
        <v>5</v>
      </c>
    </row>
    <row r="25" spans="2:12" ht="15">
      <c r="B25" s="41" t="s">
        <v>36</v>
      </c>
      <c r="C25" s="5" t="s">
        <v>7</v>
      </c>
      <c r="D25" s="5" t="s">
        <v>12</v>
      </c>
      <c r="E25" s="5"/>
      <c r="F25" s="5">
        <v>4</v>
      </c>
      <c r="G25" s="5"/>
      <c r="H25" s="5"/>
      <c r="I25" s="5"/>
      <c r="J25" s="5"/>
      <c r="K25" s="5"/>
      <c r="L25" s="29">
        <f t="shared" si="0"/>
        <v>4</v>
      </c>
    </row>
    <row r="26" spans="2:12" ht="15">
      <c r="B26" s="41" t="s">
        <v>37</v>
      </c>
      <c r="C26" s="5" t="s">
        <v>7</v>
      </c>
      <c r="D26" s="5" t="s">
        <v>12</v>
      </c>
      <c r="E26" s="5"/>
      <c r="F26" s="5"/>
      <c r="G26" s="5"/>
      <c r="H26" s="5"/>
      <c r="I26" s="5"/>
      <c r="J26" s="5"/>
      <c r="K26" s="5">
        <v>3</v>
      </c>
      <c r="L26" s="29">
        <f t="shared" si="0"/>
        <v>3</v>
      </c>
    </row>
    <row r="27" spans="2:12" ht="15">
      <c r="B27" s="41" t="s">
        <v>38</v>
      </c>
      <c r="C27" s="5" t="s">
        <v>15</v>
      </c>
      <c r="D27" s="5" t="s">
        <v>29</v>
      </c>
      <c r="E27" s="5"/>
      <c r="F27" s="5">
        <v>1</v>
      </c>
      <c r="G27" s="5"/>
      <c r="H27" s="5"/>
      <c r="I27" s="5">
        <v>1</v>
      </c>
      <c r="J27" s="5"/>
      <c r="K27" s="5"/>
      <c r="L27" s="29">
        <f t="shared" si="0"/>
        <v>2</v>
      </c>
    </row>
    <row r="28" spans="2:12" ht="15">
      <c r="B28" s="41" t="s">
        <v>39</v>
      </c>
      <c r="C28" s="5" t="s">
        <v>7</v>
      </c>
      <c r="D28" s="5" t="s">
        <v>8</v>
      </c>
      <c r="E28" s="5"/>
      <c r="F28" s="5"/>
      <c r="G28" s="5">
        <v>1</v>
      </c>
      <c r="H28" s="5"/>
      <c r="I28" s="5">
        <v>1</v>
      </c>
      <c r="J28" s="5"/>
      <c r="K28" s="5"/>
      <c r="L28" s="29">
        <f t="shared" si="0"/>
        <v>2</v>
      </c>
    </row>
    <row r="29" spans="2:12" ht="15">
      <c r="B29" s="41" t="s">
        <v>40</v>
      </c>
      <c r="C29" s="5" t="s">
        <v>18</v>
      </c>
      <c r="D29" s="5"/>
      <c r="E29" s="5"/>
      <c r="F29" s="5"/>
      <c r="G29" s="5"/>
      <c r="H29" s="5"/>
      <c r="I29" s="5">
        <v>2</v>
      </c>
      <c r="J29" s="5"/>
      <c r="K29" s="5"/>
      <c r="L29" s="29">
        <f t="shared" si="0"/>
        <v>2</v>
      </c>
    </row>
    <row r="30" spans="2:12" ht="15">
      <c r="B30" s="41" t="s">
        <v>41</v>
      </c>
      <c r="C30" s="5" t="s">
        <v>18</v>
      </c>
      <c r="D30" s="5"/>
      <c r="E30" s="5"/>
      <c r="F30" s="5"/>
      <c r="G30" s="5"/>
      <c r="H30" s="5">
        <v>2</v>
      </c>
      <c r="I30" s="5"/>
      <c r="J30" s="5"/>
      <c r="K30" s="5"/>
      <c r="L30" s="29">
        <f t="shared" si="0"/>
        <v>2</v>
      </c>
    </row>
    <row r="31" spans="2:12" ht="15">
      <c r="B31" s="42" t="s">
        <v>42</v>
      </c>
      <c r="C31" s="30" t="s">
        <v>7</v>
      </c>
      <c r="D31" s="30" t="s">
        <v>12</v>
      </c>
      <c r="E31" s="30"/>
      <c r="F31" s="30"/>
      <c r="G31" s="30"/>
      <c r="H31" s="30"/>
      <c r="I31" s="30"/>
      <c r="J31" s="30">
        <v>1</v>
      </c>
      <c r="K31" s="30"/>
      <c r="L31" s="31">
        <f t="shared" si="0"/>
        <v>1</v>
      </c>
    </row>
    <row r="32" spans="2:12" ht="15"/>
    <row r="34" spans="12:12">
      <c r="L34" s="24">
        <f>SUM(L4:L33)</f>
        <v>375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2:O23"/>
  <sheetViews>
    <sheetView topLeftCell="A3" workbookViewId="0">
      <selection activeCell="P16" sqref="P16"/>
    </sheetView>
  </sheetViews>
  <sheetFormatPr defaultColWidth="11.42578125" defaultRowHeight="14.45"/>
  <cols>
    <col min="2" max="2" width="9.85546875" customWidth="1"/>
    <col min="3" max="4" width="11.42578125" style="23"/>
    <col min="6" max="6" width="8.85546875" customWidth="1"/>
    <col min="7" max="7" width="9.5703125" customWidth="1"/>
    <col min="8" max="8" width="9.28515625" customWidth="1"/>
    <col min="9" max="9" width="9.7109375" customWidth="1"/>
    <col min="10" max="11" width="9.28515625" customWidth="1"/>
  </cols>
  <sheetData>
    <row r="2" spans="2:15" ht="15"/>
    <row r="3" spans="2:15" ht="15">
      <c r="B3" s="96" t="s">
        <v>43</v>
      </c>
      <c r="C3" s="97"/>
      <c r="D3" s="97"/>
      <c r="E3" s="97"/>
      <c r="F3" s="97"/>
      <c r="G3" s="97"/>
      <c r="H3" s="97"/>
      <c r="I3" s="97"/>
      <c r="J3" s="97"/>
      <c r="K3" s="97"/>
      <c r="L3" s="98"/>
      <c r="N3" s="61">
        <v>46029</v>
      </c>
      <c r="O3" s="62">
        <v>0.66666666666666663</v>
      </c>
    </row>
    <row r="4" spans="2:15" ht="15">
      <c r="B4" s="34" t="s">
        <v>1</v>
      </c>
      <c r="C4" s="35" t="s">
        <v>2</v>
      </c>
      <c r="D4" s="35" t="s">
        <v>3</v>
      </c>
      <c r="E4" s="34" t="s">
        <v>4</v>
      </c>
      <c r="F4" s="34">
        <v>36</v>
      </c>
      <c r="G4" s="34">
        <v>38</v>
      </c>
      <c r="H4" s="34">
        <v>40</v>
      </c>
      <c r="I4" s="34">
        <v>42</v>
      </c>
      <c r="J4" s="34">
        <v>44</v>
      </c>
      <c r="K4" s="34">
        <v>46</v>
      </c>
      <c r="L4" s="34" t="s">
        <v>5</v>
      </c>
    </row>
    <row r="5" spans="2:15" ht="15">
      <c r="B5" s="63">
        <v>389201</v>
      </c>
      <c r="C5" s="36" t="s">
        <v>7</v>
      </c>
      <c r="D5" s="36" t="s">
        <v>22</v>
      </c>
      <c r="E5" s="32"/>
      <c r="F5" s="32">
        <v>4</v>
      </c>
      <c r="G5" s="32">
        <v>29</v>
      </c>
      <c r="H5" s="32">
        <v>27</v>
      </c>
      <c r="I5" s="32">
        <v>30</v>
      </c>
      <c r="J5" s="32">
        <v>23</v>
      </c>
      <c r="K5" s="32">
        <v>16</v>
      </c>
      <c r="L5" s="33">
        <f t="shared" ref="L5:L19" si="0">SUM(F5:K5)</f>
        <v>129</v>
      </c>
    </row>
    <row r="6" spans="2:15" ht="15">
      <c r="B6" s="60">
        <v>380200</v>
      </c>
      <c r="C6" s="20" t="s">
        <v>7</v>
      </c>
      <c r="D6" s="20" t="s">
        <v>20</v>
      </c>
      <c r="E6" s="5"/>
      <c r="F6" s="5">
        <v>14</v>
      </c>
      <c r="G6" s="5">
        <v>37</v>
      </c>
      <c r="H6" s="5">
        <v>35</v>
      </c>
      <c r="I6" s="5">
        <v>31</v>
      </c>
      <c r="J6" s="5">
        <v>18</v>
      </c>
      <c r="K6" s="5">
        <v>2</v>
      </c>
      <c r="L6" s="29">
        <f t="shared" si="0"/>
        <v>137</v>
      </c>
    </row>
    <row r="7" spans="2:15" ht="15">
      <c r="B7" s="65">
        <v>382100</v>
      </c>
      <c r="C7" s="20" t="s">
        <v>15</v>
      </c>
      <c r="D7" s="20" t="s">
        <v>20</v>
      </c>
      <c r="E7" s="5"/>
      <c r="F7" s="5"/>
      <c r="G7" s="5">
        <v>0</v>
      </c>
      <c r="H7" s="5">
        <v>0</v>
      </c>
      <c r="I7" s="5">
        <v>0</v>
      </c>
      <c r="J7" s="5">
        <v>0</v>
      </c>
      <c r="K7" s="5">
        <v>0</v>
      </c>
      <c r="L7" s="29">
        <f t="shared" si="0"/>
        <v>0</v>
      </c>
    </row>
    <row r="8" spans="2:15" ht="15">
      <c r="B8" s="60">
        <v>388000</v>
      </c>
      <c r="C8" s="20" t="s">
        <v>7</v>
      </c>
      <c r="D8" s="20" t="s">
        <v>10</v>
      </c>
      <c r="E8" s="5"/>
      <c r="F8" s="5">
        <v>39</v>
      </c>
      <c r="G8" s="5">
        <v>26</v>
      </c>
      <c r="H8" s="5">
        <v>0</v>
      </c>
      <c r="I8" s="5">
        <v>0</v>
      </c>
      <c r="J8" s="5">
        <v>0</v>
      </c>
      <c r="K8" s="5">
        <v>0</v>
      </c>
      <c r="L8" s="29">
        <f t="shared" si="0"/>
        <v>65</v>
      </c>
    </row>
    <row r="9" spans="2:15" ht="15">
      <c r="B9" s="60">
        <v>389300</v>
      </c>
      <c r="C9" s="20" t="s">
        <v>7</v>
      </c>
      <c r="D9" s="20" t="s">
        <v>29</v>
      </c>
      <c r="E9" s="5"/>
      <c r="F9" s="5">
        <v>0</v>
      </c>
      <c r="G9" s="5">
        <v>12</v>
      </c>
      <c r="H9" s="5">
        <v>0</v>
      </c>
      <c r="I9" s="5">
        <v>12</v>
      </c>
      <c r="J9" s="5">
        <v>8</v>
      </c>
      <c r="K9" s="5">
        <v>18</v>
      </c>
      <c r="L9" s="29">
        <f t="shared" si="0"/>
        <v>50</v>
      </c>
    </row>
    <row r="10" spans="2:15" ht="15">
      <c r="B10" s="60">
        <v>385371</v>
      </c>
      <c r="C10" s="20" t="s">
        <v>7</v>
      </c>
      <c r="D10" s="20" t="s">
        <v>20</v>
      </c>
      <c r="E10" s="5"/>
      <c r="F10" s="5">
        <v>7</v>
      </c>
      <c r="G10" s="5">
        <v>11</v>
      </c>
      <c r="H10" s="5">
        <v>11</v>
      </c>
      <c r="I10" s="5">
        <v>9</v>
      </c>
      <c r="J10" s="5">
        <v>3</v>
      </c>
      <c r="K10" s="5">
        <v>2</v>
      </c>
      <c r="L10" s="29">
        <f t="shared" si="0"/>
        <v>43</v>
      </c>
    </row>
    <row r="11" spans="2:15" ht="15">
      <c r="B11" s="60">
        <v>386501</v>
      </c>
      <c r="C11" s="20" t="s">
        <v>7</v>
      </c>
      <c r="D11" s="20" t="s">
        <v>12</v>
      </c>
      <c r="E11" s="5"/>
      <c r="F11" s="5">
        <v>0</v>
      </c>
      <c r="G11" s="5">
        <v>13</v>
      </c>
      <c r="H11" s="5">
        <v>7</v>
      </c>
      <c r="I11" s="5">
        <v>7</v>
      </c>
      <c r="J11" s="5">
        <v>0</v>
      </c>
      <c r="K11" s="5">
        <v>0</v>
      </c>
      <c r="L11" s="29">
        <f t="shared" si="0"/>
        <v>27</v>
      </c>
    </row>
    <row r="12" spans="2:15" ht="15">
      <c r="B12" s="60">
        <v>385304</v>
      </c>
      <c r="C12" s="20" t="s">
        <v>7</v>
      </c>
      <c r="D12" s="20" t="s">
        <v>20</v>
      </c>
      <c r="E12" s="5"/>
      <c r="F12" s="5">
        <v>0</v>
      </c>
      <c r="G12" s="5">
        <v>5</v>
      </c>
      <c r="H12" s="5">
        <v>3</v>
      </c>
      <c r="I12" s="5">
        <v>6</v>
      </c>
      <c r="J12" s="5">
        <v>9</v>
      </c>
      <c r="K12" s="5">
        <v>0</v>
      </c>
      <c r="L12" s="29">
        <f t="shared" si="0"/>
        <v>23</v>
      </c>
    </row>
    <row r="13" spans="2:15" ht="15">
      <c r="B13" s="60">
        <v>388300</v>
      </c>
      <c r="C13" s="20" t="s">
        <v>7</v>
      </c>
      <c r="D13" s="20" t="s">
        <v>22</v>
      </c>
      <c r="E13" s="5"/>
      <c r="F13" s="5">
        <v>17</v>
      </c>
      <c r="G13" s="5">
        <v>12</v>
      </c>
      <c r="H13" s="5">
        <v>0</v>
      </c>
      <c r="I13" s="5">
        <v>0</v>
      </c>
      <c r="J13" s="5">
        <v>0</v>
      </c>
      <c r="K13" s="5">
        <v>0</v>
      </c>
      <c r="L13" s="29">
        <f t="shared" si="0"/>
        <v>29</v>
      </c>
    </row>
    <row r="14" spans="2:15" ht="15">
      <c r="B14" s="60">
        <v>387900</v>
      </c>
      <c r="C14" s="20" t="s">
        <v>15</v>
      </c>
      <c r="D14" s="20" t="s">
        <v>8</v>
      </c>
      <c r="E14" s="5"/>
      <c r="F14" s="5">
        <v>28</v>
      </c>
      <c r="G14" s="5">
        <v>3</v>
      </c>
      <c r="H14" s="5">
        <v>0</v>
      </c>
      <c r="I14" s="5">
        <v>0</v>
      </c>
      <c r="J14" s="5">
        <v>0</v>
      </c>
      <c r="K14" s="5">
        <v>0</v>
      </c>
      <c r="L14" s="29">
        <f t="shared" si="0"/>
        <v>31</v>
      </c>
    </row>
    <row r="15" spans="2:15" ht="15">
      <c r="B15" s="60">
        <v>385800</v>
      </c>
      <c r="C15" s="20" t="s">
        <v>7</v>
      </c>
      <c r="D15" s="20" t="s">
        <v>22</v>
      </c>
      <c r="E15" s="5"/>
      <c r="F15" s="5">
        <v>8</v>
      </c>
      <c r="G15" s="5">
        <v>0</v>
      </c>
      <c r="H15" s="5">
        <v>0</v>
      </c>
      <c r="I15" s="5">
        <v>0</v>
      </c>
      <c r="J15" s="5">
        <v>9</v>
      </c>
      <c r="K15" s="5">
        <v>0</v>
      </c>
      <c r="L15" s="29">
        <f t="shared" si="0"/>
        <v>17</v>
      </c>
    </row>
    <row r="16" spans="2:15" ht="15">
      <c r="B16" s="60">
        <v>381801</v>
      </c>
      <c r="C16" s="20" t="s">
        <v>7</v>
      </c>
      <c r="D16" s="20" t="s">
        <v>22</v>
      </c>
      <c r="E16" s="5"/>
      <c r="F16" s="5">
        <v>10</v>
      </c>
      <c r="G16" s="5">
        <v>2</v>
      </c>
      <c r="H16" s="5">
        <v>0</v>
      </c>
      <c r="I16" s="5">
        <v>0</v>
      </c>
      <c r="J16" s="5">
        <v>1</v>
      </c>
      <c r="K16" s="5">
        <v>0</v>
      </c>
      <c r="L16" s="29">
        <f t="shared" si="0"/>
        <v>13</v>
      </c>
    </row>
    <row r="17" spans="2:12" ht="15">
      <c r="B17" s="60">
        <v>389401</v>
      </c>
      <c r="C17" s="20" t="s">
        <v>7</v>
      </c>
      <c r="D17" s="20" t="s">
        <v>8</v>
      </c>
      <c r="E17" s="5"/>
      <c r="F17" s="5">
        <v>10</v>
      </c>
      <c r="G17" s="5">
        <v>0</v>
      </c>
      <c r="H17" s="5">
        <v>0</v>
      </c>
      <c r="I17" s="5">
        <v>3</v>
      </c>
      <c r="J17" s="5">
        <v>0</v>
      </c>
      <c r="K17" s="5">
        <v>0</v>
      </c>
      <c r="L17" s="29">
        <f t="shared" si="0"/>
        <v>13</v>
      </c>
    </row>
    <row r="18" spans="2:12" ht="15">
      <c r="B18" s="60">
        <v>382101</v>
      </c>
      <c r="C18" s="20" t="s">
        <v>15</v>
      </c>
      <c r="D18" s="20" t="s">
        <v>29</v>
      </c>
      <c r="E18" s="5"/>
      <c r="F18" s="5">
        <v>1</v>
      </c>
      <c r="G18" s="5">
        <v>2</v>
      </c>
      <c r="H18" s="5">
        <v>0</v>
      </c>
      <c r="I18" s="5">
        <v>1</v>
      </c>
      <c r="J18" s="5">
        <v>1</v>
      </c>
      <c r="K18" s="5">
        <v>0</v>
      </c>
      <c r="L18" s="29">
        <f t="shared" si="0"/>
        <v>5</v>
      </c>
    </row>
    <row r="19" spans="2:12" ht="15">
      <c r="B19" s="64">
        <v>389700</v>
      </c>
      <c r="C19" s="37" t="s">
        <v>7</v>
      </c>
      <c r="D19" s="37" t="s">
        <v>12</v>
      </c>
      <c r="E19" s="30"/>
      <c r="F19" s="30">
        <v>6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1">
        <f t="shared" si="0"/>
        <v>6</v>
      </c>
    </row>
    <row r="20" spans="2:12" ht="15"/>
    <row r="22" spans="2:12">
      <c r="L22" s="24">
        <f>SUM(L5:L21)</f>
        <v>588</v>
      </c>
    </row>
    <row r="23" spans="2:12" ht="15"/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2:L19"/>
  <sheetViews>
    <sheetView workbookViewId="0">
      <selection activeCell="B3" sqref="B3"/>
    </sheetView>
  </sheetViews>
  <sheetFormatPr defaultColWidth="11.42578125" defaultRowHeight="14.45"/>
  <sheetData>
    <row r="2" spans="2:12" ht="15"/>
    <row r="3" spans="2:12" ht="18.75">
      <c r="B3" s="99" t="s">
        <v>44</v>
      </c>
      <c r="C3" s="101"/>
      <c r="D3" s="101"/>
      <c r="E3" s="101"/>
      <c r="F3" s="101"/>
      <c r="G3" s="101"/>
      <c r="H3" s="101"/>
      <c r="I3" s="101"/>
      <c r="J3" s="101"/>
      <c r="K3" s="101"/>
      <c r="L3" s="102"/>
    </row>
    <row r="4" spans="2:12" ht="15">
      <c r="B4" s="45" t="s">
        <v>1</v>
      </c>
      <c r="C4" s="46" t="s">
        <v>2</v>
      </c>
      <c r="D4" s="46" t="s">
        <v>3</v>
      </c>
      <c r="E4" s="47" t="s">
        <v>4</v>
      </c>
      <c r="F4" s="47">
        <v>36</v>
      </c>
      <c r="G4" s="47">
        <v>38</v>
      </c>
      <c r="H4" s="47">
        <v>40</v>
      </c>
      <c r="I4" s="47">
        <v>42</v>
      </c>
      <c r="J4" s="47">
        <v>44</v>
      </c>
      <c r="K4" s="47">
        <v>46</v>
      </c>
      <c r="L4" s="48" t="s">
        <v>5</v>
      </c>
    </row>
    <row r="5" spans="2:12" ht="15">
      <c r="B5" s="44" t="s">
        <v>45</v>
      </c>
      <c r="C5" s="36" t="s">
        <v>46</v>
      </c>
      <c r="D5" s="36" t="s">
        <v>22</v>
      </c>
      <c r="E5" s="32"/>
      <c r="F5" s="32">
        <v>15</v>
      </c>
      <c r="G5" s="32">
        <v>15</v>
      </c>
      <c r="H5" s="32">
        <v>19</v>
      </c>
      <c r="I5" s="32">
        <v>20</v>
      </c>
      <c r="J5" s="32">
        <v>15</v>
      </c>
      <c r="K5" s="32">
        <v>11</v>
      </c>
      <c r="L5" s="32">
        <f t="shared" ref="L5:L15" si="0">SUM(F5:K5)</f>
        <v>95</v>
      </c>
    </row>
    <row r="6" spans="2:12">
      <c r="B6" s="22" t="s">
        <v>47</v>
      </c>
      <c r="C6" s="20" t="s">
        <v>7</v>
      </c>
      <c r="D6" s="20" t="s">
        <v>29</v>
      </c>
      <c r="E6" s="5"/>
      <c r="F6" s="5">
        <v>17</v>
      </c>
      <c r="G6" s="5">
        <v>22</v>
      </c>
      <c r="H6" s="5">
        <v>15</v>
      </c>
      <c r="I6" s="5"/>
      <c r="J6" s="5">
        <v>1</v>
      </c>
      <c r="K6" s="5"/>
      <c r="L6" s="5">
        <f t="shared" si="0"/>
        <v>55</v>
      </c>
    </row>
    <row r="7" spans="2:12">
      <c r="B7" s="22" t="s">
        <v>48</v>
      </c>
      <c r="C7" s="20" t="s">
        <v>7</v>
      </c>
      <c r="D7" s="20" t="s">
        <v>12</v>
      </c>
      <c r="E7" s="5"/>
      <c r="F7" s="5"/>
      <c r="G7" s="5">
        <v>5</v>
      </c>
      <c r="H7" s="5">
        <v>6</v>
      </c>
      <c r="I7" s="5">
        <v>20</v>
      </c>
      <c r="J7" s="5"/>
      <c r="K7" s="5">
        <v>7</v>
      </c>
      <c r="L7" s="5">
        <f t="shared" si="0"/>
        <v>38</v>
      </c>
    </row>
    <row r="8" spans="2:12">
      <c r="B8" s="22" t="s">
        <v>49</v>
      </c>
      <c r="C8" s="20" t="s">
        <v>7</v>
      </c>
      <c r="D8" s="20" t="s">
        <v>20</v>
      </c>
      <c r="E8" s="5"/>
      <c r="F8" s="5"/>
      <c r="G8" s="5">
        <v>5</v>
      </c>
      <c r="H8" s="5">
        <v>13</v>
      </c>
      <c r="I8" s="5">
        <v>9</v>
      </c>
      <c r="J8" s="5"/>
      <c r="K8" s="5">
        <v>1</v>
      </c>
      <c r="L8" s="5">
        <f t="shared" si="0"/>
        <v>28</v>
      </c>
    </row>
    <row r="9" spans="2:12">
      <c r="B9" s="22" t="s">
        <v>50</v>
      </c>
      <c r="C9" s="20" t="s">
        <v>7</v>
      </c>
      <c r="D9" s="20" t="s">
        <v>20</v>
      </c>
      <c r="E9" s="5"/>
      <c r="F9" s="5"/>
      <c r="G9" s="5"/>
      <c r="H9" s="5">
        <v>6</v>
      </c>
      <c r="I9" s="5">
        <v>13</v>
      </c>
      <c r="J9" s="5"/>
      <c r="K9" s="5">
        <v>4</v>
      </c>
      <c r="L9" s="5">
        <f t="shared" si="0"/>
        <v>23</v>
      </c>
    </row>
    <row r="10" spans="2:12">
      <c r="B10" s="22" t="s">
        <v>51</v>
      </c>
      <c r="C10" s="20" t="s">
        <v>7</v>
      </c>
      <c r="D10" s="20" t="s">
        <v>29</v>
      </c>
      <c r="E10" s="5"/>
      <c r="F10" s="5">
        <v>8</v>
      </c>
      <c r="G10" s="5"/>
      <c r="H10" s="5"/>
      <c r="I10" s="5"/>
      <c r="J10" s="5">
        <v>9</v>
      </c>
      <c r="K10" s="5"/>
      <c r="L10" s="5">
        <f t="shared" si="0"/>
        <v>17</v>
      </c>
    </row>
    <row r="11" spans="2:12">
      <c r="B11" s="22" t="s">
        <v>52</v>
      </c>
      <c r="C11" s="20" t="s">
        <v>7</v>
      </c>
      <c r="D11" s="20" t="s">
        <v>29</v>
      </c>
      <c r="E11" s="5"/>
      <c r="F11" s="5"/>
      <c r="G11" s="5"/>
      <c r="H11" s="5"/>
      <c r="I11" s="5">
        <v>7</v>
      </c>
      <c r="J11" s="5">
        <v>6</v>
      </c>
      <c r="K11" s="5">
        <v>1</v>
      </c>
      <c r="L11" s="5">
        <f t="shared" si="0"/>
        <v>14</v>
      </c>
    </row>
    <row r="12" spans="2:12">
      <c r="B12" s="22" t="s">
        <v>53</v>
      </c>
      <c r="C12" s="20" t="s">
        <v>7</v>
      </c>
      <c r="D12" s="20" t="s">
        <v>12</v>
      </c>
      <c r="E12" s="5"/>
      <c r="F12" s="5"/>
      <c r="G12" s="5"/>
      <c r="H12" s="5"/>
      <c r="I12" s="5"/>
      <c r="J12" s="5">
        <v>4</v>
      </c>
      <c r="K12" s="5">
        <v>5</v>
      </c>
      <c r="L12" s="5">
        <f t="shared" si="0"/>
        <v>9</v>
      </c>
    </row>
    <row r="13" spans="2:12">
      <c r="B13" s="22" t="s">
        <v>54</v>
      </c>
      <c r="C13" s="20" t="s">
        <v>7</v>
      </c>
      <c r="D13" s="20" t="s">
        <v>8</v>
      </c>
      <c r="E13" s="5"/>
      <c r="F13" s="5">
        <v>5</v>
      </c>
      <c r="G13" s="5"/>
      <c r="H13" s="5"/>
      <c r="I13" s="5"/>
      <c r="J13" s="5"/>
      <c r="K13" s="5"/>
      <c r="L13" s="5">
        <f t="shared" si="0"/>
        <v>5</v>
      </c>
    </row>
    <row r="14" spans="2:12">
      <c r="B14" s="22" t="s">
        <v>55</v>
      </c>
      <c r="C14" s="20" t="s">
        <v>7</v>
      </c>
      <c r="D14" s="20" t="s">
        <v>8</v>
      </c>
      <c r="E14" s="5"/>
      <c r="F14" s="5"/>
      <c r="G14" s="5">
        <v>4</v>
      </c>
      <c r="H14" s="5"/>
      <c r="I14" s="5"/>
      <c r="J14" s="5"/>
      <c r="K14" s="5"/>
      <c r="L14" s="5">
        <f t="shared" si="0"/>
        <v>4</v>
      </c>
    </row>
    <row r="15" spans="2:12">
      <c r="B15" s="22" t="s">
        <v>56</v>
      </c>
      <c r="C15" s="20" t="s">
        <v>7</v>
      </c>
      <c r="D15" s="20" t="s">
        <v>8</v>
      </c>
      <c r="E15" s="5"/>
      <c r="F15" s="5">
        <v>1</v>
      </c>
      <c r="G15" s="5"/>
      <c r="H15" s="5"/>
      <c r="I15" s="5"/>
      <c r="J15" s="5"/>
      <c r="K15" s="5"/>
      <c r="L15" s="5">
        <f t="shared" si="0"/>
        <v>1</v>
      </c>
    </row>
    <row r="19" spans="12:12">
      <c r="L19" s="24">
        <f>SUM(L5:L18)</f>
        <v>289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2"/>
  <sheetViews>
    <sheetView topLeftCell="A39" workbookViewId="0">
      <selection activeCell="O50" sqref="O47:O50"/>
    </sheetView>
  </sheetViews>
  <sheetFormatPr defaultColWidth="11.42578125" defaultRowHeight="14.45"/>
  <cols>
    <col min="2" max="3" width="11.42578125" style="23"/>
    <col min="4" max="4" width="16" style="23" customWidth="1"/>
    <col min="5" max="5" width="20.85546875" customWidth="1"/>
  </cols>
  <sheetData>
    <row r="3" spans="2:12" ht="18.600000000000001">
      <c r="B3" s="99" t="s">
        <v>57</v>
      </c>
      <c r="C3" s="101"/>
      <c r="D3" s="101"/>
      <c r="E3" s="101"/>
      <c r="F3" s="101"/>
      <c r="G3" s="101"/>
      <c r="H3" s="101"/>
      <c r="I3" s="101"/>
      <c r="J3" s="101"/>
      <c r="K3" s="101"/>
      <c r="L3" s="102"/>
    </row>
    <row r="4" spans="2:12">
      <c r="B4" s="21" t="s">
        <v>1</v>
      </c>
      <c r="C4" s="21" t="s">
        <v>2</v>
      </c>
      <c r="D4" s="21" t="s">
        <v>3</v>
      </c>
      <c r="E4" s="19" t="s">
        <v>4</v>
      </c>
      <c r="F4" s="19">
        <v>36</v>
      </c>
      <c r="G4" s="19">
        <v>38</v>
      </c>
      <c r="H4" s="19">
        <v>40</v>
      </c>
      <c r="I4" s="19">
        <v>42</v>
      </c>
      <c r="J4" s="19">
        <v>44</v>
      </c>
      <c r="K4" s="19">
        <v>46</v>
      </c>
      <c r="L4" s="19" t="s">
        <v>5</v>
      </c>
    </row>
    <row r="5" spans="2:12">
      <c r="B5" s="22" t="s">
        <v>58</v>
      </c>
      <c r="C5" s="20" t="s">
        <v>7</v>
      </c>
      <c r="D5" s="20" t="s">
        <v>20</v>
      </c>
      <c r="E5" s="5"/>
      <c r="F5" s="5">
        <v>9</v>
      </c>
      <c r="G5" s="5">
        <v>24</v>
      </c>
      <c r="H5" s="5">
        <v>28</v>
      </c>
      <c r="I5" s="5">
        <v>23</v>
      </c>
      <c r="J5" s="5">
        <v>10</v>
      </c>
      <c r="K5" s="5">
        <v>10</v>
      </c>
      <c r="L5" s="5">
        <f t="shared" ref="L5:L49" si="0">SUM(F5:K5)</f>
        <v>104</v>
      </c>
    </row>
    <row r="6" spans="2:12">
      <c r="B6" s="22" t="s">
        <v>59</v>
      </c>
      <c r="C6" s="20" t="s">
        <v>7</v>
      </c>
      <c r="D6" s="20" t="s">
        <v>8</v>
      </c>
      <c r="E6" s="5"/>
      <c r="F6" s="5">
        <v>25</v>
      </c>
      <c r="G6" s="5">
        <v>22</v>
      </c>
      <c r="H6" s="5">
        <v>18</v>
      </c>
      <c r="I6" s="5">
        <v>20</v>
      </c>
      <c r="J6" s="5">
        <v>8</v>
      </c>
      <c r="K6" s="5">
        <v>3</v>
      </c>
      <c r="L6" s="5">
        <f t="shared" si="0"/>
        <v>96</v>
      </c>
    </row>
    <row r="7" spans="2:12">
      <c r="B7" s="22" t="s">
        <v>60</v>
      </c>
      <c r="C7" s="20" t="s">
        <v>7</v>
      </c>
      <c r="D7" s="20" t="s">
        <v>22</v>
      </c>
      <c r="E7" s="5" t="s">
        <v>61</v>
      </c>
      <c r="F7" s="5">
        <v>7</v>
      </c>
      <c r="G7" s="5">
        <v>30</v>
      </c>
      <c r="H7" s="5">
        <v>18</v>
      </c>
      <c r="I7" s="5">
        <v>7</v>
      </c>
      <c r="J7" s="5">
        <v>0</v>
      </c>
      <c r="K7" s="5">
        <v>0</v>
      </c>
      <c r="L7" s="5">
        <f t="shared" si="0"/>
        <v>62</v>
      </c>
    </row>
    <row r="8" spans="2:12">
      <c r="B8" s="22" t="s">
        <v>62</v>
      </c>
      <c r="C8" s="20" t="s">
        <v>7</v>
      </c>
      <c r="D8" s="20" t="s">
        <v>12</v>
      </c>
      <c r="E8" s="5"/>
      <c r="F8" s="5">
        <v>20</v>
      </c>
      <c r="G8" s="5">
        <v>15</v>
      </c>
      <c r="H8" s="5">
        <v>12</v>
      </c>
      <c r="I8" s="5">
        <v>3</v>
      </c>
      <c r="J8" s="5">
        <v>3</v>
      </c>
      <c r="K8" s="5">
        <v>1</v>
      </c>
      <c r="L8" s="5">
        <f t="shared" si="0"/>
        <v>54</v>
      </c>
    </row>
    <row r="9" spans="2:12">
      <c r="B9" s="22" t="s">
        <v>63</v>
      </c>
      <c r="C9" s="20" t="s">
        <v>7</v>
      </c>
      <c r="D9" s="20" t="s">
        <v>12</v>
      </c>
      <c r="E9" s="5"/>
      <c r="F9" s="5">
        <v>0</v>
      </c>
      <c r="G9" s="5">
        <v>21</v>
      </c>
      <c r="H9" s="5">
        <v>10</v>
      </c>
      <c r="I9" s="5">
        <v>12</v>
      </c>
      <c r="J9" s="5">
        <v>6</v>
      </c>
      <c r="K9" s="5">
        <v>2</v>
      </c>
      <c r="L9" s="5">
        <f t="shared" si="0"/>
        <v>51</v>
      </c>
    </row>
    <row r="10" spans="2:12">
      <c r="B10" s="22" t="s">
        <v>64</v>
      </c>
      <c r="C10" s="20" t="s">
        <v>7</v>
      </c>
      <c r="D10" s="20" t="s">
        <v>20</v>
      </c>
      <c r="E10" s="5"/>
      <c r="F10" s="5">
        <v>21</v>
      </c>
      <c r="G10" s="5">
        <v>14</v>
      </c>
      <c r="H10" s="5">
        <v>10</v>
      </c>
      <c r="I10" s="5">
        <v>0</v>
      </c>
      <c r="J10" s="5">
        <v>0</v>
      </c>
      <c r="K10" s="5">
        <v>0</v>
      </c>
      <c r="L10" s="5">
        <f t="shared" si="0"/>
        <v>45</v>
      </c>
    </row>
    <row r="11" spans="2:12">
      <c r="B11" s="22" t="s">
        <v>65</v>
      </c>
      <c r="C11" s="20" t="s">
        <v>7</v>
      </c>
      <c r="D11" s="20" t="s">
        <v>66</v>
      </c>
      <c r="E11" s="5"/>
      <c r="F11" s="5">
        <v>5</v>
      </c>
      <c r="G11" s="5">
        <v>7</v>
      </c>
      <c r="H11" s="5">
        <v>10</v>
      </c>
      <c r="I11" s="5">
        <v>13</v>
      </c>
      <c r="J11" s="5">
        <v>6</v>
      </c>
      <c r="K11" s="5">
        <v>4</v>
      </c>
      <c r="L11" s="5">
        <f t="shared" si="0"/>
        <v>45</v>
      </c>
    </row>
    <row r="12" spans="2:12">
      <c r="B12" s="22" t="s">
        <v>67</v>
      </c>
      <c r="C12" s="20" t="s">
        <v>15</v>
      </c>
      <c r="D12" s="20" t="s">
        <v>20</v>
      </c>
      <c r="E12" s="5"/>
      <c r="F12" s="5">
        <v>10</v>
      </c>
      <c r="G12" s="5">
        <v>1</v>
      </c>
      <c r="H12" s="5">
        <v>3</v>
      </c>
      <c r="I12" s="5">
        <v>7</v>
      </c>
      <c r="J12" s="5">
        <v>13</v>
      </c>
      <c r="K12" s="5">
        <v>1</v>
      </c>
      <c r="L12" s="5">
        <f t="shared" si="0"/>
        <v>35</v>
      </c>
    </row>
    <row r="13" spans="2:12">
      <c r="B13" s="22" t="s">
        <v>68</v>
      </c>
      <c r="C13" s="20" t="s">
        <v>7</v>
      </c>
      <c r="D13" s="20" t="s">
        <v>69</v>
      </c>
      <c r="E13" s="20" t="s">
        <v>70</v>
      </c>
      <c r="F13" s="5">
        <v>18</v>
      </c>
      <c r="G13" s="5">
        <v>2</v>
      </c>
      <c r="H13" s="5">
        <v>8</v>
      </c>
      <c r="I13" s="5">
        <v>2</v>
      </c>
      <c r="J13" s="5">
        <v>2</v>
      </c>
      <c r="K13" s="5">
        <v>3</v>
      </c>
      <c r="L13" s="5">
        <f t="shared" si="0"/>
        <v>35</v>
      </c>
    </row>
    <row r="14" spans="2:12">
      <c r="B14" s="22" t="s">
        <v>71</v>
      </c>
      <c r="C14" s="20" t="s">
        <v>7</v>
      </c>
      <c r="D14" s="20" t="s">
        <v>12</v>
      </c>
      <c r="E14" s="5"/>
      <c r="F14" s="5">
        <v>9</v>
      </c>
      <c r="G14" s="5">
        <v>0</v>
      </c>
      <c r="H14" s="5">
        <v>0</v>
      </c>
      <c r="I14" s="5">
        <v>0</v>
      </c>
      <c r="J14" s="5">
        <v>12</v>
      </c>
      <c r="K14" s="5">
        <v>1</v>
      </c>
      <c r="L14" s="5">
        <f t="shared" si="0"/>
        <v>22</v>
      </c>
    </row>
    <row r="15" spans="2:12">
      <c r="B15" s="22" t="s">
        <v>72</v>
      </c>
      <c r="C15" s="20" t="s">
        <v>7</v>
      </c>
      <c r="D15" s="20" t="s">
        <v>29</v>
      </c>
      <c r="E15" s="5"/>
      <c r="F15" s="5">
        <v>0</v>
      </c>
      <c r="G15" s="5">
        <v>10</v>
      </c>
      <c r="H15" s="5">
        <v>6</v>
      </c>
      <c r="I15" s="5">
        <v>6</v>
      </c>
      <c r="J15" s="5">
        <v>0</v>
      </c>
      <c r="K15" s="5">
        <v>0</v>
      </c>
      <c r="L15" s="5">
        <f t="shared" si="0"/>
        <v>22</v>
      </c>
    </row>
    <row r="16" spans="2:12">
      <c r="B16" s="22" t="s">
        <v>73</v>
      </c>
      <c r="C16" s="20" t="s">
        <v>7</v>
      </c>
      <c r="D16" s="20" t="s">
        <v>8</v>
      </c>
      <c r="E16" s="5"/>
      <c r="F16" s="5">
        <v>7</v>
      </c>
      <c r="G16" s="5">
        <v>3</v>
      </c>
      <c r="H16" s="5">
        <v>1</v>
      </c>
      <c r="I16" s="5">
        <v>3</v>
      </c>
      <c r="J16" s="5">
        <v>3</v>
      </c>
      <c r="K16" s="5">
        <v>4</v>
      </c>
      <c r="L16" s="5">
        <f t="shared" si="0"/>
        <v>21</v>
      </c>
    </row>
    <row r="17" spans="2:12">
      <c r="B17" s="22" t="s">
        <v>74</v>
      </c>
      <c r="C17" s="20" t="s">
        <v>7</v>
      </c>
      <c r="D17" s="20" t="s">
        <v>8</v>
      </c>
      <c r="E17" s="5"/>
      <c r="F17" s="5">
        <v>2</v>
      </c>
      <c r="G17" s="5">
        <v>6</v>
      </c>
      <c r="H17" s="5">
        <v>8</v>
      </c>
      <c r="I17" s="5">
        <v>0</v>
      </c>
      <c r="J17" s="5">
        <v>2</v>
      </c>
      <c r="K17" s="5">
        <v>0</v>
      </c>
      <c r="L17" s="5">
        <f t="shared" si="0"/>
        <v>18</v>
      </c>
    </row>
    <row r="18" spans="2:12">
      <c r="B18" s="22" t="s">
        <v>75</v>
      </c>
      <c r="C18" s="20" t="s">
        <v>15</v>
      </c>
      <c r="D18" s="20" t="s">
        <v>20</v>
      </c>
      <c r="E18" s="5"/>
      <c r="F18" s="5">
        <v>3</v>
      </c>
      <c r="G18" s="5">
        <v>7</v>
      </c>
      <c r="H18" s="5">
        <v>5</v>
      </c>
      <c r="I18" s="5">
        <v>1</v>
      </c>
      <c r="J18" s="5">
        <v>0</v>
      </c>
      <c r="K18" s="5">
        <v>0</v>
      </c>
      <c r="L18" s="5">
        <f t="shared" si="0"/>
        <v>16</v>
      </c>
    </row>
    <row r="19" spans="2:12">
      <c r="B19" s="22" t="s">
        <v>76</v>
      </c>
      <c r="C19" s="20" t="s">
        <v>7</v>
      </c>
      <c r="D19" s="20" t="s">
        <v>8</v>
      </c>
      <c r="E19" s="5"/>
      <c r="F19" s="5">
        <v>1</v>
      </c>
      <c r="G19" s="5">
        <v>10</v>
      </c>
      <c r="H19" s="5">
        <v>5</v>
      </c>
      <c r="I19" s="5">
        <v>0</v>
      </c>
      <c r="J19" s="5">
        <v>0</v>
      </c>
      <c r="K19" s="5">
        <v>0</v>
      </c>
      <c r="L19" s="5">
        <f t="shared" si="0"/>
        <v>16</v>
      </c>
    </row>
    <row r="20" spans="2:12">
      <c r="B20" s="22" t="s">
        <v>77</v>
      </c>
      <c r="C20" s="20" t="s">
        <v>7</v>
      </c>
      <c r="D20" s="20" t="s">
        <v>8</v>
      </c>
      <c r="E20" s="5"/>
      <c r="F20" s="5">
        <v>7</v>
      </c>
      <c r="G20" s="5">
        <v>0</v>
      </c>
      <c r="H20" s="5">
        <v>1</v>
      </c>
      <c r="I20" s="5">
        <v>0</v>
      </c>
      <c r="J20" s="5">
        <v>2</v>
      </c>
      <c r="K20" s="5">
        <v>5</v>
      </c>
      <c r="L20" s="5">
        <f t="shared" si="0"/>
        <v>15</v>
      </c>
    </row>
    <row r="21" spans="2:12">
      <c r="B21" s="22" t="s">
        <v>78</v>
      </c>
      <c r="C21" s="20" t="s">
        <v>15</v>
      </c>
      <c r="D21" s="20" t="s">
        <v>8</v>
      </c>
      <c r="E21" s="5"/>
      <c r="F21" s="5">
        <v>5</v>
      </c>
      <c r="G21" s="5">
        <v>1</v>
      </c>
      <c r="H21" s="5">
        <v>4</v>
      </c>
      <c r="I21" s="5">
        <v>0</v>
      </c>
      <c r="J21" s="5">
        <v>0</v>
      </c>
      <c r="K21" s="5">
        <v>2</v>
      </c>
      <c r="L21" s="5">
        <f t="shared" si="0"/>
        <v>12</v>
      </c>
    </row>
    <row r="22" spans="2:12">
      <c r="B22" s="22" t="s">
        <v>79</v>
      </c>
      <c r="C22" s="20" t="s">
        <v>7</v>
      </c>
      <c r="D22" s="20" t="s">
        <v>12</v>
      </c>
      <c r="E22" s="5"/>
      <c r="F22" s="5">
        <v>11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f t="shared" si="0"/>
        <v>11</v>
      </c>
    </row>
    <row r="23" spans="2:12">
      <c r="B23" s="22" t="s">
        <v>80</v>
      </c>
      <c r="C23" s="20" t="s">
        <v>15</v>
      </c>
      <c r="D23" s="20" t="s">
        <v>22</v>
      </c>
      <c r="E23" s="5"/>
      <c r="F23" s="5">
        <v>7</v>
      </c>
      <c r="G23" s="5">
        <v>0</v>
      </c>
      <c r="H23" s="5">
        <v>0</v>
      </c>
      <c r="I23" s="5">
        <v>0</v>
      </c>
      <c r="J23" s="5">
        <v>1</v>
      </c>
      <c r="K23" s="5">
        <v>0</v>
      </c>
      <c r="L23" s="5">
        <f t="shared" si="0"/>
        <v>8</v>
      </c>
    </row>
    <row r="24" spans="2:12">
      <c r="B24" s="22" t="s">
        <v>81</v>
      </c>
      <c r="C24" s="20" t="s">
        <v>15</v>
      </c>
      <c r="D24" s="20" t="s">
        <v>12</v>
      </c>
      <c r="E24" s="5"/>
      <c r="F24" s="5">
        <v>1</v>
      </c>
      <c r="G24" s="5">
        <v>0</v>
      </c>
      <c r="H24" s="5">
        <v>0</v>
      </c>
      <c r="I24" s="5">
        <v>0</v>
      </c>
      <c r="J24" s="5">
        <v>4</v>
      </c>
      <c r="K24" s="5">
        <v>2</v>
      </c>
      <c r="L24" s="5">
        <f t="shared" si="0"/>
        <v>7</v>
      </c>
    </row>
    <row r="25" spans="2:12">
      <c r="B25" s="22" t="s">
        <v>82</v>
      </c>
      <c r="C25" s="20" t="s">
        <v>7</v>
      </c>
      <c r="D25" s="20" t="s">
        <v>29</v>
      </c>
      <c r="E25" s="5"/>
      <c r="F25" s="5">
        <v>0</v>
      </c>
      <c r="G25" s="5">
        <v>0</v>
      </c>
      <c r="H25" s="5">
        <v>2</v>
      </c>
      <c r="I25" s="5">
        <v>0</v>
      </c>
      <c r="J25" s="5">
        <v>2</v>
      </c>
      <c r="K25" s="5">
        <v>3</v>
      </c>
      <c r="L25" s="5">
        <f t="shared" si="0"/>
        <v>7</v>
      </c>
    </row>
    <row r="26" spans="2:12">
      <c r="B26" s="22" t="s">
        <v>83</v>
      </c>
      <c r="C26" s="20" t="s">
        <v>7</v>
      </c>
      <c r="D26" s="20" t="s">
        <v>84</v>
      </c>
      <c r="E26" s="5"/>
      <c r="F26" s="5">
        <v>1</v>
      </c>
      <c r="G26" s="5">
        <v>2</v>
      </c>
      <c r="H26" s="5">
        <v>0</v>
      </c>
      <c r="I26" s="5">
        <v>1</v>
      </c>
      <c r="J26" s="5">
        <v>1</v>
      </c>
      <c r="K26" s="5">
        <v>2</v>
      </c>
      <c r="L26" s="5">
        <f t="shared" si="0"/>
        <v>7</v>
      </c>
    </row>
    <row r="27" spans="2:12">
      <c r="B27" s="22" t="s">
        <v>85</v>
      </c>
      <c r="C27" s="20" t="s">
        <v>7</v>
      </c>
      <c r="D27" s="20" t="s">
        <v>12</v>
      </c>
      <c r="E27" s="5"/>
      <c r="F27" s="5">
        <v>1</v>
      </c>
      <c r="G27" s="5">
        <v>3</v>
      </c>
      <c r="H27" s="5">
        <v>1</v>
      </c>
      <c r="I27" s="5">
        <v>0</v>
      </c>
      <c r="J27" s="5">
        <v>0</v>
      </c>
      <c r="K27" s="5">
        <v>0</v>
      </c>
      <c r="L27" s="5">
        <f t="shared" si="0"/>
        <v>5</v>
      </c>
    </row>
    <row r="28" spans="2:12">
      <c r="B28" s="22" t="s">
        <v>86</v>
      </c>
      <c r="C28" s="20" t="s">
        <v>7</v>
      </c>
      <c r="D28" s="20" t="s">
        <v>10</v>
      </c>
      <c r="E28" s="5"/>
      <c r="F28" s="5">
        <v>0</v>
      </c>
      <c r="G28" s="5">
        <v>0</v>
      </c>
      <c r="H28" s="5">
        <v>0</v>
      </c>
      <c r="I28" s="5">
        <v>0</v>
      </c>
      <c r="J28" s="5">
        <v>5</v>
      </c>
      <c r="K28" s="5">
        <v>0</v>
      </c>
      <c r="L28" s="5">
        <f t="shared" si="0"/>
        <v>5</v>
      </c>
    </row>
    <row r="29" spans="2:12">
      <c r="B29" s="22" t="s">
        <v>87</v>
      </c>
      <c r="C29" s="20" t="s">
        <v>7</v>
      </c>
      <c r="D29" s="20" t="s">
        <v>88</v>
      </c>
      <c r="E29" s="5"/>
      <c r="F29" s="5">
        <v>0</v>
      </c>
      <c r="G29" s="5">
        <v>2</v>
      </c>
      <c r="H29" s="5">
        <v>2</v>
      </c>
      <c r="I29" s="5">
        <v>0</v>
      </c>
      <c r="J29" s="5">
        <v>1</v>
      </c>
      <c r="K29" s="5">
        <v>0</v>
      </c>
      <c r="L29" s="5">
        <f t="shared" si="0"/>
        <v>5</v>
      </c>
    </row>
    <row r="30" spans="2:12">
      <c r="B30" s="22" t="s">
        <v>89</v>
      </c>
      <c r="C30" s="20" t="s">
        <v>15</v>
      </c>
      <c r="D30" s="20" t="s">
        <v>12</v>
      </c>
      <c r="E30" s="5"/>
      <c r="F30" s="5">
        <v>0</v>
      </c>
      <c r="G30" s="5">
        <v>4</v>
      </c>
      <c r="H30" s="5">
        <v>0</v>
      </c>
      <c r="I30" s="5">
        <v>0</v>
      </c>
      <c r="J30" s="5">
        <v>0</v>
      </c>
      <c r="K30" s="5">
        <v>0</v>
      </c>
      <c r="L30" s="5">
        <f t="shared" si="0"/>
        <v>4</v>
      </c>
    </row>
    <row r="31" spans="2:12">
      <c r="B31" s="22" t="s">
        <v>90</v>
      </c>
      <c r="C31" s="20" t="s">
        <v>7</v>
      </c>
      <c r="D31" s="20" t="s">
        <v>29</v>
      </c>
      <c r="E31" s="5"/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0</v>
      </c>
      <c r="L31" s="5">
        <f t="shared" si="0"/>
        <v>1</v>
      </c>
    </row>
    <row r="32" spans="2:12">
      <c r="B32" s="22" t="s">
        <v>91</v>
      </c>
      <c r="C32" s="20" t="s">
        <v>7</v>
      </c>
      <c r="D32" s="20" t="s">
        <v>12</v>
      </c>
      <c r="E32" s="5"/>
      <c r="F32" s="5">
        <v>1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f t="shared" si="0"/>
        <v>1</v>
      </c>
    </row>
    <row r="33" spans="2:12">
      <c r="B33" s="22" t="s">
        <v>92</v>
      </c>
      <c r="C33" s="20" t="s">
        <v>15</v>
      </c>
      <c r="D33" s="20" t="s">
        <v>29</v>
      </c>
      <c r="E33" s="5"/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f t="shared" si="0"/>
        <v>0</v>
      </c>
    </row>
    <row r="34" spans="2:12">
      <c r="B34" s="22" t="s">
        <v>93</v>
      </c>
      <c r="C34" s="20" t="s">
        <v>7</v>
      </c>
      <c r="D34" s="20" t="s">
        <v>12</v>
      </c>
      <c r="E34" s="5"/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f t="shared" si="0"/>
        <v>0</v>
      </c>
    </row>
    <row r="35" spans="2:12">
      <c r="B35" s="22" t="s">
        <v>94</v>
      </c>
      <c r="C35" s="20" t="s">
        <v>7</v>
      </c>
      <c r="D35" s="20" t="s">
        <v>8</v>
      </c>
      <c r="E35" s="5"/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f t="shared" si="0"/>
        <v>0</v>
      </c>
    </row>
    <row r="36" spans="2:12">
      <c r="B36" s="22" t="s">
        <v>95</v>
      </c>
      <c r="C36" s="20" t="s">
        <v>7</v>
      </c>
      <c r="D36" s="20" t="s">
        <v>96</v>
      </c>
      <c r="E36" s="5"/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f t="shared" si="0"/>
        <v>0</v>
      </c>
    </row>
    <row r="37" spans="2:12">
      <c r="B37" s="22" t="s">
        <v>97</v>
      </c>
      <c r="C37" s="20" t="s">
        <v>7</v>
      </c>
      <c r="D37" s="20" t="s">
        <v>29</v>
      </c>
      <c r="E37" s="5"/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f t="shared" si="0"/>
        <v>0</v>
      </c>
    </row>
    <row r="38" spans="2:12">
      <c r="B38" s="22" t="s">
        <v>98</v>
      </c>
      <c r="C38" s="20" t="s">
        <v>7</v>
      </c>
      <c r="D38" s="20" t="s">
        <v>8</v>
      </c>
      <c r="E38" s="5"/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f t="shared" si="0"/>
        <v>0</v>
      </c>
    </row>
    <row r="39" spans="2:12">
      <c r="B39" s="22" t="s">
        <v>99</v>
      </c>
      <c r="C39" s="20" t="s">
        <v>7</v>
      </c>
      <c r="D39" s="20" t="s">
        <v>8</v>
      </c>
      <c r="E39" s="5"/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f t="shared" si="0"/>
        <v>0</v>
      </c>
    </row>
    <row r="40" spans="2:12">
      <c r="B40" s="22" t="s">
        <v>100</v>
      </c>
      <c r="C40" s="20" t="s">
        <v>7</v>
      </c>
      <c r="D40" s="20" t="s">
        <v>12</v>
      </c>
      <c r="E40" s="5"/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f t="shared" si="0"/>
        <v>0</v>
      </c>
    </row>
    <row r="41" spans="2:12">
      <c r="B41" s="22" t="s">
        <v>101</v>
      </c>
      <c r="C41" s="20" t="s">
        <v>7</v>
      </c>
      <c r="D41" s="20" t="s">
        <v>12</v>
      </c>
      <c r="E41" s="5"/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f t="shared" si="0"/>
        <v>0</v>
      </c>
    </row>
    <row r="42" spans="2:12">
      <c r="B42" s="22" t="s">
        <v>102</v>
      </c>
      <c r="C42" s="20" t="s">
        <v>7</v>
      </c>
      <c r="D42" s="20" t="s">
        <v>46</v>
      </c>
      <c r="E42" s="5"/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f t="shared" si="0"/>
        <v>0</v>
      </c>
    </row>
    <row r="43" spans="2:12">
      <c r="B43" s="22" t="s">
        <v>103</v>
      </c>
      <c r="C43" s="20" t="s">
        <v>15</v>
      </c>
      <c r="D43" s="20" t="s">
        <v>10</v>
      </c>
      <c r="E43" s="5"/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f t="shared" si="0"/>
        <v>0</v>
      </c>
    </row>
    <row r="44" spans="2:12">
      <c r="B44" s="22" t="s">
        <v>104</v>
      </c>
      <c r="C44" s="20" t="s">
        <v>7</v>
      </c>
      <c r="D44" s="20" t="s">
        <v>12</v>
      </c>
      <c r="E44" s="5"/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</row>
    <row r="45" spans="2:12">
      <c r="B45" s="22" t="s">
        <v>105</v>
      </c>
      <c r="C45" s="20" t="s">
        <v>7</v>
      </c>
      <c r="D45" s="20" t="s">
        <v>29</v>
      </c>
      <c r="E45" s="5"/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f t="shared" si="0"/>
        <v>0</v>
      </c>
    </row>
    <row r="46" spans="2:12">
      <c r="B46" s="22" t="s">
        <v>106</v>
      </c>
      <c r="C46" s="20" t="s">
        <v>7</v>
      </c>
      <c r="D46" s="20" t="s">
        <v>22</v>
      </c>
      <c r="E46" s="5"/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f t="shared" si="0"/>
        <v>0</v>
      </c>
    </row>
    <row r="47" spans="2:12">
      <c r="B47" s="22" t="s">
        <v>107</v>
      </c>
      <c r="C47" s="20" t="s">
        <v>7</v>
      </c>
      <c r="D47" s="20" t="s">
        <v>108</v>
      </c>
      <c r="E47" s="5"/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f t="shared" si="0"/>
        <v>0</v>
      </c>
    </row>
    <row r="48" spans="2:12">
      <c r="B48" s="22" t="s">
        <v>109</v>
      </c>
      <c r="C48" s="20" t="s">
        <v>7</v>
      </c>
      <c r="D48" s="20" t="s">
        <v>110</v>
      </c>
      <c r="E48" s="5"/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f t="shared" si="0"/>
        <v>0</v>
      </c>
    </row>
    <row r="49" spans="2:12">
      <c r="B49" s="22" t="s">
        <v>111</v>
      </c>
      <c r="C49" s="20" t="s">
        <v>7</v>
      </c>
      <c r="D49" s="20" t="s">
        <v>22</v>
      </c>
      <c r="E49" s="5"/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f t="shared" si="0"/>
        <v>0</v>
      </c>
    </row>
    <row r="52" spans="2:12">
      <c r="L52" s="24">
        <f>SUM(L5:L51)</f>
        <v>730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2:N28"/>
  <sheetViews>
    <sheetView workbookViewId="0">
      <selection activeCell="C10" sqref="C10"/>
    </sheetView>
  </sheetViews>
  <sheetFormatPr defaultColWidth="11.42578125" defaultRowHeight="14.45"/>
  <cols>
    <col min="5" max="5" width="15" customWidth="1"/>
  </cols>
  <sheetData>
    <row r="2" spans="2:14" ht="15"/>
    <row r="3" spans="2:14" ht="18.75">
      <c r="B3" s="99" t="s">
        <v>112</v>
      </c>
      <c r="C3" s="101"/>
      <c r="D3" s="101"/>
      <c r="E3" s="101"/>
      <c r="F3" s="101"/>
      <c r="G3" s="101"/>
      <c r="H3" s="101"/>
      <c r="I3" s="101"/>
      <c r="J3" s="101"/>
      <c r="K3" s="101"/>
      <c r="L3" s="102"/>
    </row>
    <row r="4" spans="2:14" ht="15">
      <c r="B4" s="49" t="s">
        <v>1</v>
      </c>
      <c r="C4" s="49" t="s">
        <v>2</v>
      </c>
      <c r="D4" s="49" t="s">
        <v>3</v>
      </c>
      <c r="E4" s="49" t="s">
        <v>4</v>
      </c>
      <c r="F4" s="49">
        <v>36</v>
      </c>
      <c r="G4" s="49">
        <v>38</v>
      </c>
      <c r="H4" s="49">
        <v>40</v>
      </c>
      <c r="I4" s="49">
        <v>42</v>
      </c>
      <c r="J4" s="49">
        <v>44</v>
      </c>
      <c r="K4" s="49">
        <v>46</v>
      </c>
      <c r="L4" s="49" t="s">
        <v>5</v>
      </c>
      <c r="M4" s="61">
        <v>46029</v>
      </c>
      <c r="N4" t="s">
        <v>113</v>
      </c>
    </row>
    <row r="5" spans="2:14" ht="15">
      <c r="B5" s="66" t="s">
        <v>114</v>
      </c>
      <c r="C5" s="72" t="s">
        <v>15</v>
      </c>
      <c r="D5" s="4" t="s">
        <v>12</v>
      </c>
      <c r="E5" s="4"/>
      <c r="F5" s="4">
        <v>0</v>
      </c>
      <c r="G5" s="4">
        <v>3</v>
      </c>
      <c r="H5" s="4">
        <v>15</v>
      </c>
      <c r="I5" s="4">
        <v>7</v>
      </c>
      <c r="J5" s="4">
        <v>16</v>
      </c>
      <c r="K5" s="4">
        <v>7</v>
      </c>
      <c r="L5" s="4">
        <f t="shared" ref="L5:L17" si="0">SUM(F5:K5)</f>
        <v>48</v>
      </c>
    </row>
    <row r="6" spans="2:14" ht="15">
      <c r="B6" s="67" t="s">
        <v>115</v>
      </c>
      <c r="C6" s="73" t="s">
        <v>7</v>
      </c>
      <c r="D6" s="68" t="s">
        <v>116</v>
      </c>
      <c r="E6" s="68" t="s">
        <v>18</v>
      </c>
      <c r="F6" s="68">
        <v>5</v>
      </c>
      <c r="G6" s="68">
        <v>11</v>
      </c>
      <c r="H6" s="68">
        <v>12</v>
      </c>
      <c r="I6" s="68">
        <v>6</v>
      </c>
      <c r="J6" s="68">
        <v>6</v>
      </c>
      <c r="K6" s="68">
        <v>2</v>
      </c>
      <c r="L6" s="68">
        <f t="shared" si="0"/>
        <v>42</v>
      </c>
    </row>
    <row r="7" spans="2:14" ht="15">
      <c r="B7" s="66" t="s">
        <v>117</v>
      </c>
      <c r="C7" s="74" t="s">
        <v>15</v>
      </c>
      <c r="D7" s="12" t="s">
        <v>20</v>
      </c>
      <c r="E7" s="12"/>
      <c r="F7" s="12">
        <v>6</v>
      </c>
      <c r="G7" s="12">
        <v>5</v>
      </c>
      <c r="H7" s="12">
        <v>6</v>
      </c>
      <c r="I7" s="12">
        <v>4</v>
      </c>
      <c r="J7" s="12">
        <v>4</v>
      </c>
      <c r="K7" s="12">
        <v>0</v>
      </c>
      <c r="L7" s="12">
        <f>SUM(F7:K7)</f>
        <v>25</v>
      </c>
    </row>
    <row r="8" spans="2:14" ht="15">
      <c r="B8" s="66" t="s">
        <v>118</v>
      </c>
      <c r="C8" s="74" t="s">
        <v>119</v>
      </c>
      <c r="D8" s="12" t="s">
        <v>10</v>
      </c>
      <c r="E8" s="12"/>
      <c r="F8" s="12">
        <v>3</v>
      </c>
      <c r="G8" s="12">
        <v>4</v>
      </c>
      <c r="H8" s="12">
        <v>4</v>
      </c>
      <c r="I8" s="12">
        <v>4</v>
      </c>
      <c r="J8" s="12">
        <v>3</v>
      </c>
      <c r="K8" s="12">
        <v>2</v>
      </c>
      <c r="L8" s="12">
        <f>SUM(F8:K8)</f>
        <v>20</v>
      </c>
    </row>
    <row r="9" spans="2:14" ht="15">
      <c r="B9" s="66" t="s">
        <v>120</v>
      </c>
      <c r="C9" s="74" t="s">
        <v>119</v>
      </c>
      <c r="D9" s="12" t="s">
        <v>29</v>
      </c>
      <c r="E9" s="12" t="s">
        <v>121</v>
      </c>
      <c r="F9" s="12">
        <v>6</v>
      </c>
      <c r="G9" s="12">
        <v>5</v>
      </c>
      <c r="H9" s="12">
        <v>6</v>
      </c>
      <c r="I9" s="12">
        <v>4</v>
      </c>
      <c r="J9" s="12">
        <v>4</v>
      </c>
      <c r="K9" s="12">
        <v>0</v>
      </c>
      <c r="L9" s="12">
        <f>SUM(F9:K9)</f>
        <v>25</v>
      </c>
    </row>
    <row r="10" spans="2:14" ht="15">
      <c r="B10" s="25" t="s">
        <v>122</v>
      </c>
      <c r="C10" s="75" t="s">
        <v>119</v>
      </c>
      <c r="D10" s="11" t="s">
        <v>22</v>
      </c>
      <c r="E10" s="11"/>
      <c r="F10" s="13">
        <v>2</v>
      </c>
      <c r="G10" s="13">
        <v>4</v>
      </c>
      <c r="H10" s="13">
        <v>3</v>
      </c>
      <c r="I10" s="13">
        <v>0</v>
      </c>
      <c r="J10" s="13">
        <v>0</v>
      </c>
      <c r="K10" s="13">
        <v>2</v>
      </c>
      <c r="L10" s="12">
        <f t="shared" si="0"/>
        <v>11</v>
      </c>
    </row>
    <row r="11" spans="2:14" ht="15">
      <c r="B11" s="66" t="s">
        <v>123</v>
      </c>
      <c r="C11" s="12" t="s">
        <v>119</v>
      </c>
      <c r="D11" s="12" t="s">
        <v>29</v>
      </c>
      <c r="E11" s="12"/>
      <c r="F11" s="12">
        <v>3</v>
      </c>
      <c r="G11" s="12">
        <v>3</v>
      </c>
      <c r="H11" s="12">
        <v>2</v>
      </c>
      <c r="I11" s="12">
        <v>0</v>
      </c>
      <c r="J11" s="12">
        <v>0</v>
      </c>
      <c r="K11" s="12">
        <v>1</v>
      </c>
      <c r="L11" s="12">
        <f>SUM(F11:K11)</f>
        <v>9</v>
      </c>
    </row>
    <row r="12" spans="2:14" ht="15">
      <c r="B12" s="66" t="s">
        <v>124</v>
      </c>
      <c r="C12" s="12" t="s">
        <v>7</v>
      </c>
      <c r="D12" s="12" t="s">
        <v>20</v>
      </c>
      <c r="E12" s="12"/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f t="shared" si="0"/>
        <v>0</v>
      </c>
    </row>
    <row r="13" spans="2:14" ht="15">
      <c r="B13" s="66" t="s">
        <v>125</v>
      </c>
      <c r="C13" s="12" t="s">
        <v>7</v>
      </c>
      <c r="D13" s="12" t="s">
        <v>12</v>
      </c>
      <c r="E13" s="12" t="s">
        <v>126</v>
      </c>
      <c r="F13" s="12">
        <v>3</v>
      </c>
      <c r="G13" s="12">
        <v>1</v>
      </c>
      <c r="H13" s="12">
        <v>0</v>
      </c>
      <c r="I13" s="12">
        <v>0</v>
      </c>
      <c r="J13" s="12">
        <v>0</v>
      </c>
      <c r="K13" s="12">
        <v>1</v>
      </c>
      <c r="L13" s="12">
        <f>SUM(F13:K13)</f>
        <v>5</v>
      </c>
    </row>
    <row r="14" spans="2:14" ht="15">
      <c r="B14" s="69" t="s">
        <v>127</v>
      </c>
      <c r="C14" s="70" t="s">
        <v>119</v>
      </c>
      <c r="D14" s="70" t="s">
        <v>8</v>
      </c>
      <c r="E14" s="70" t="s">
        <v>128</v>
      </c>
      <c r="F14" s="70">
        <v>0</v>
      </c>
      <c r="G14" s="70">
        <v>1</v>
      </c>
      <c r="H14" s="70">
        <v>0</v>
      </c>
      <c r="I14" s="70">
        <v>0</v>
      </c>
      <c r="J14" s="70">
        <v>0</v>
      </c>
      <c r="K14" s="70">
        <v>0</v>
      </c>
      <c r="L14" s="71">
        <f t="shared" si="0"/>
        <v>1</v>
      </c>
    </row>
    <row r="15" spans="2:14" ht="15">
      <c r="B15" s="50" t="s">
        <v>129</v>
      </c>
      <c r="C15" s="12" t="s">
        <v>7</v>
      </c>
      <c r="D15" s="12" t="s">
        <v>29</v>
      </c>
      <c r="E15" s="12"/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f t="shared" si="0"/>
        <v>0</v>
      </c>
    </row>
    <row r="16" spans="2:14" ht="15">
      <c r="B16" s="50" t="s">
        <v>130</v>
      </c>
      <c r="C16" s="70" t="s">
        <v>7</v>
      </c>
      <c r="D16" s="12" t="s">
        <v>8</v>
      </c>
      <c r="E16" s="12"/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f t="shared" si="0"/>
        <v>0</v>
      </c>
    </row>
    <row r="17" spans="2:12" ht="15">
      <c r="B17" s="50" t="s">
        <v>131</v>
      </c>
      <c r="C17" s="12" t="s">
        <v>7</v>
      </c>
      <c r="D17" s="12" t="s">
        <v>29</v>
      </c>
      <c r="E17" s="12"/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f t="shared" si="0"/>
        <v>0</v>
      </c>
    </row>
    <row r="18" spans="2:12" ht="15">
      <c r="B18" s="51">
        <v>416500</v>
      </c>
      <c r="C18" s="12" t="s">
        <v>7</v>
      </c>
      <c r="D18" s="12" t="s">
        <v>8</v>
      </c>
      <c r="E18" s="11"/>
      <c r="F18" s="13">
        <v>0</v>
      </c>
      <c r="G18" s="12">
        <v>0</v>
      </c>
      <c r="H18" s="13">
        <v>0</v>
      </c>
      <c r="I18" s="13">
        <v>0</v>
      </c>
      <c r="J18" s="13">
        <v>0</v>
      </c>
      <c r="K18" s="13">
        <v>0</v>
      </c>
      <c r="L18" s="13">
        <f>SUM(F18:K18)</f>
        <v>0</v>
      </c>
    </row>
    <row r="19" spans="2:12" ht="15"/>
    <row r="21" spans="2:12">
      <c r="J21" t="s">
        <v>132</v>
      </c>
    </row>
    <row r="24" spans="2:12">
      <c r="L24" s="24">
        <f>SUM(L5:L23)</f>
        <v>186</v>
      </c>
    </row>
    <row r="25" spans="2:12" ht="15"/>
    <row r="26" spans="2:12" ht="15"/>
    <row r="27" spans="2:12" ht="15"/>
    <row r="28" spans="2:12" ht="15"/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31"/>
  <sheetViews>
    <sheetView zoomScaleNormal="100" workbookViewId="0">
      <pane xSplit="4" topLeftCell="E25" activePane="topRight" state="frozen"/>
      <selection pane="topRight" activeCell="E43" sqref="E43"/>
    </sheetView>
  </sheetViews>
  <sheetFormatPr defaultColWidth="11.42578125" defaultRowHeight="14.45"/>
  <cols>
    <col min="5" max="5" width="19.140625" customWidth="1"/>
    <col min="14" max="14" width="12" bestFit="1" customWidth="1"/>
    <col min="16" max="16" width="13.7109375" customWidth="1"/>
  </cols>
  <sheetData>
    <row r="2" spans="1:15">
      <c r="B2" s="18" t="s">
        <v>1</v>
      </c>
      <c r="C2" s="15" t="s">
        <v>2</v>
      </c>
      <c r="D2" s="15" t="s">
        <v>3</v>
      </c>
      <c r="E2" s="15" t="s">
        <v>4</v>
      </c>
      <c r="F2" s="16">
        <v>36</v>
      </c>
      <c r="G2" s="16">
        <v>38</v>
      </c>
      <c r="H2" s="16">
        <v>40</v>
      </c>
      <c r="I2" s="16">
        <v>42</v>
      </c>
      <c r="J2" s="16">
        <v>44</v>
      </c>
      <c r="K2" s="16">
        <v>46</v>
      </c>
      <c r="L2" s="15" t="s">
        <v>5</v>
      </c>
    </row>
    <row r="3" spans="1:15">
      <c r="A3" s="9"/>
      <c r="B3" s="13">
        <v>422200</v>
      </c>
      <c r="C3" s="11" t="s">
        <v>15</v>
      </c>
      <c r="D3" s="11" t="s">
        <v>10</v>
      </c>
      <c r="E3" s="11" t="s">
        <v>133</v>
      </c>
      <c r="F3" s="12">
        <v>0</v>
      </c>
      <c r="G3" s="12">
        <v>18</v>
      </c>
      <c r="H3" s="12">
        <v>17</v>
      </c>
      <c r="I3" s="12">
        <v>14</v>
      </c>
      <c r="J3" s="12">
        <v>10</v>
      </c>
      <c r="K3" s="12">
        <v>11</v>
      </c>
      <c r="L3" s="11">
        <f>SUM(F3:K3)</f>
        <v>70</v>
      </c>
    </row>
    <row r="4" spans="1:15">
      <c r="A4" s="9"/>
      <c r="B4" s="13">
        <v>424900</v>
      </c>
      <c r="C4" s="11" t="s">
        <v>7</v>
      </c>
      <c r="D4" s="11" t="s">
        <v>29</v>
      </c>
      <c r="E4" s="11" t="s">
        <v>134</v>
      </c>
      <c r="F4" s="12">
        <v>15</v>
      </c>
      <c r="G4" s="12">
        <v>29</v>
      </c>
      <c r="H4" s="13">
        <v>34</v>
      </c>
      <c r="I4" s="12">
        <v>23</v>
      </c>
      <c r="J4" s="12">
        <v>19</v>
      </c>
      <c r="K4" s="12">
        <v>5</v>
      </c>
      <c r="L4" s="11">
        <f>SUM(F4:K4)</f>
        <v>125</v>
      </c>
    </row>
    <row r="5" spans="1:15">
      <c r="A5" s="9"/>
      <c r="B5" s="13">
        <v>423600</v>
      </c>
      <c r="C5" s="11" t="s">
        <v>7</v>
      </c>
      <c r="D5" s="11" t="s">
        <v>29</v>
      </c>
      <c r="E5" s="11" t="s">
        <v>135</v>
      </c>
      <c r="F5" s="12">
        <v>14</v>
      </c>
      <c r="G5" s="12">
        <v>28</v>
      </c>
      <c r="H5" s="12">
        <v>19</v>
      </c>
      <c r="I5" s="12">
        <v>16</v>
      </c>
      <c r="J5" s="12">
        <v>11</v>
      </c>
      <c r="K5" s="12">
        <v>16</v>
      </c>
      <c r="L5" s="11">
        <f>SUM(F5:K5)</f>
        <v>104</v>
      </c>
    </row>
    <row r="6" spans="1:15">
      <c r="A6" s="9"/>
      <c r="B6" s="13">
        <v>423500</v>
      </c>
      <c r="C6" s="11" t="s">
        <v>7</v>
      </c>
      <c r="D6" s="11" t="s">
        <v>8</v>
      </c>
      <c r="E6" s="11" t="s">
        <v>135</v>
      </c>
      <c r="F6" s="12">
        <v>9</v>
      </c>
      <c r="G6" s="12">
        <v>16</v>
      </c>
      <c r="H6" s="12">
        <v>16</v>
      </c>
      <c r="I6" s="12">
        <v>20</v>
      </c>
      <c r="J6" s="12">
        <v>17</v>
      </c>
      <c r="K6" s="12">
        <v>10</v>
      </c>
      <c r="L6" s="11">
        <f>SUM(F6:K6)</f>
        <v>88</v>
      </c>
      <c r="M6" t="s">
        <v>136</v>
      </c>
    </row>
    <row r="7" spans="1:15">
      <c r="A7" s="9"/>
      <c r="B7" s="13">
        <v>420301</v>
      </c>
      <c r="C7" s="11" t="s">
        <v>15</v>
      </c>
      <c r="D7" s="11" t="s">
        <v>10</v>
      </c>
      <c r="E7" s="11" t="s">
        <v>137</v>
      </c>
      <c r="F7" s="13">
        <v>4</v>
      </c>
      <c r="G7" s="13">
        <v>11</v>
      </c>
      <c r="H7" s="13">
        <v>16</v>
      </c>
      <c r="I7" s="13">
        <v>21</v>
      </c>
      <c r="J7" s="13">
        <v>18</v>
      </c>
      <c r="K7" s="13">
        <v>10</v>
      </c>
      <c r="L7" s="11">
        <f>SUM(F7:K7)</f>
        <v>80</v>
      </c>
    </row>
    <row r="8" spans="1:15">
      <c r="A8" s="9"/>
      <c r="B8" s="13">
        <v>421000</v>
      </c>
      <c r="C8" s="11" t="s">
        <v>15</v>
      </c>
      <c r="D8" s="11" t="s">
        <v>20</v>
      </c>
      <c r="E8" s="11" t="s">
        <v>135</v>
      </c>
      <c r="F8" s="13">
        <v>5</v>
      </c>
      <c r="G8" s="13">
        <v>15</v>
      </c>
      <c r="H8" s="13">
        <v>15</v>
      </c>
      <c r="I8" s="13">
        <v>15</v>
      </c>
      <c r="J8" s="13">
        <v>10</v>
      </c>
      <c r="K8" s="13">
        <v>10</v>
      </c>
      <c r="L8" s="11">
        <f>SUM(F8:K8)</f>
        <v>70</v>
      </c>
      <c r="N8" t="s">
        <v>138</v>
      </c>
    </row>
    <row r="9" spans="1:15">
      <c r="A9" s="9"/>
      <c r="B9" s="13">
        <v>422800</v>
      </c>
      <c r="C9" s="11" t="s">
        <v>15</v>
      </c>
      <c r="D9" s="11" t="s">
        <v>12</v>
      </c>
      <c r="E9" s="11" t="s">
        <v>61</v>
      </c>
      <c r="F9" s="12">
        <v>0</v>
      </c>
      <c r="G9" s="12">
        <v>0</v>
      </c>
      <c r="H9" s="12">
        <v>28</v>
      </c>
      <c r="I9" s="12">
        <v>0</v>
      </c>
      <c r="J9" s="12">
        <v>27</v>
      </c>
      <c r="K9" s="12">
        <v>0</v>
      </c>
      <c r="L9" s="11">
        <f>SUM(F9:K9)</f>
        <v>55</v>
      </c>
      <c r="N9" s="10"/>
    </row>
    <row r="10" spans="1:15">
      <c r="A10" s="9"/>
      <c r="B10" s="13">
        <v>420800</v>
      </c>
      <c r="C10" s="11" t="s">
        <v>7</v>
      </c>
      <c r="D10" s="11" t="s">
        <v>12</v>
      </c>
      <c r="E10" s="11" t="s">
        <v>135</v>
      </c>
      <c r="F10" s="13">
        <v>6</v>
      </c>
      <c r="G10" s="13">
        <v>11</v>
      </c>
      <c r="H10" s="13">
        <v>14</v>
      </c>
      <c r="I10" s="13">
        <v>13</v>
      </c>
      <c r="J10" s="13">
        <v>6</v>
      </c>
      <c r="K10" s="12">
        <v>6</v>
      </c>
      <c r="L10" s="11">
        <f>SUM(F10:K10)</f>
        <v>56</v>
      </c>
      <c r="O10" t="s">
        <v>136</v>
      </c>
    </row>
    <row r="11" spans="1:15">
      <c r="A11" s="9"/>
      <c r="B11" s="13">
        <v>422000</v>
      </c>
      <c r="C11" s="11" t="s">
        <v>7</v>
      </c>
      <c r="D11" s="11" t="s">
        <v>8</v>
      </c>
      <c r="E11" s="11" t="s">
        <v>135</v>
      </c>
      <c r="F11" s="12">
        <v>32</v>
      </c>
      <c r="G11" s="12">
        <v>6</v>
      </c>
      <c r="H11" s="12">
        <v>8</v>
      </c>
      <c r="I11" s="12">
        <v>4</v>
      </c>
      <c r="J11" s="12">
        <v>3</v>
      </c>
      <c r="K11" s="12">
        <v>0</v>
      </c>
      <c r="L11" s="11">
        <f>SUM(F11:K11)</f>
        <v>53</v>
      </c>
      <c r="O11" t="s">
        <v>136</v>
      </c>
    </row>
    <row r="12" spans="1:15">
      <c r="B12" s="13">
        <v>421400</v>
      </c>
      <c r="C12" s="11" t="s">
        <v>7</v>
      </c>
      <c r="D12" s="11" t="s">
        <v>20</v>
      </c>
      <c r="E12" s="11" t="s">
        <v>61</v>
      </c>
      <c r="F12" s="12">
        <v>4</v>
      </c>
      <c r="G12" s="12">
        <v>1</v>
      </c>
      <c r="H12" s="12">
        <v>5</v>
      </c>
      <c r="I12" s="12">
        <v>5</v>
      </c>
      <c r="J12" s="12">
        <v>10</v>
      </c>
      <c r="K12" s="12">
        <v>24</v>
      </c>
      <c r="L12" s="11">
        <f>SUM(F12:K12)</f>
        <v>49</v>
      </c>
      <c r="N12" t="s">
        <v>136</v>
      </c>
    </row>
    <row r="13" spans="1:15">
      <c r="A13" s="9"/>
      <c r="B13" s="13">
        <v>424400</v>
      </c>
      <c r="C13" s="11" t="s">
        <v>7</v>
      </c>
      <c r="D13" s="11" t="s">
        <v>8</v>
      </c>
      <c r="E13" s="11" t="s">
        <v>139</v>
      </c>
      <c r="F13" s="12">
        <v>16</v>
      </c>
      <c r="G13" s="12">
        <v>10</v>
      </c>
      <c r="H13" s="12">
        <v>6</v>
      </c>
      <c r="I13" s="12">
        <v>15</v>
      </c>
      <c r="J13" s="12">
        <v>0</v>
      </c>
      <c r="K13" s="12">
        <v>0</v>
      </c>
      <c r="L13" s="11">
        <f>SUM(F13:K13)</f>
        <v>47</v>
      </c>
      <c r="O13" t="s">
        <v>132</v>
      </c>
    </row>
    <row r="14" spans="1:15">
      <c r="A14" s="9"/>
      <c r="B14" s="13">
        <v>424600</v>
      </c>
      <c r="C14" s="11" t="s">
        <v>7</v>
      </c>
      <c r="D14" s="11" t="s">
        <v>10</v>
      </c>
      <c r="E14" s="11" t="s">
        <v>135</v>
      </c>
      <c r="F14" s="12">
        <v>3</v>
      </c>
      <c r="G14" s="12">
        <v>0</v>
      </c>
      <c r="H14" s="12">
        <v>17</v>
      </c>
      <c r="I14" s="12">
        <v>12</v>
      </c>
      <c r="J14" s="12">
        <v>14</v>
      </c>
      <c r="K14" s="12">
        <v>0</v>
      </c>
      <c r="L14" s="11">
        <f>SUM(F14:K14)</f>
        <v>46</v>
      </c>
    </row>
    <row r="15" spans="1:15">
      <c r="B15" s="13">
        <v>422101</v>
      </c>
      <c r="C15" s="11" t="s">
        <v>7</v>
      </c>
      <c r="D15" s="11" t="s">
        <v>8</v>
      </c>
      <c r="E15" s="11" t="s">
        <v>140</v>
      </c>
      <c r="F15" s="12">
        <v>14</v>
      </c>
      <c r="G15" s="12">
        <v>0</v>
      </c>
      <c r="H15" s="12">
        <v>12</v>
      </c>
      <c r="I15" s="12">
        <v>7</v>
      </c>
      <c r="J15" s="12">
        <v>11</v>
      </c>
      <c r="K15" s="12">
        <v>0</v>
      </c>
      <c r="L15" s="11">
        <f>SUM(F15:K15)</f>
        <v>44</v>
      </c>
      <c r="O15" s="6" t="s">
        <v>136</v>
      </c>
    </row>
    <row r="16" spans="1:15">
      <c r="B16" s="13">
        <v>422701</v>
      </c>
      <c r="C16" s="11" t="s">
        <v>7</v>
      </c>
      <c r="D16" s="11" t="s">
        <v>22</v>
      </c>
      <c r="E16" s="11" t="s">
        <v>141</v>
      </c>
      <c r="F16" s="12">
        <v>4</v>
      </c>
      <c r="G16" s="12">
        <v>3</v>
      </c>
      <c r="H16" s="12">
        <v>3</v>
      </c>
      <c r="I16" s="12">
        <v>7</v>
      </c>
      <c r="J16" s="12">
        <v>12</v>
      </c>
      <c r="K16" s="12">
        <v>15</v>
      </c>
      <c r="L16" s="11">
        <f>SUM(F16:K16)</f>
        <v>44</v>
      </c>
      <c r="N16" s="10"/>
    </row>
    <row r="17" spans="1:15">
      <c r="B17" s="13">
        <v>420160</v>
      </c>
      <c r="C17" s="11" t="s">
        <v>7</v>
      </c>
      <c r="D17" s="11" t="s">
        <v>8</v>
      </c>
      <c r="E17" s="11" t="s">
        <v>142</v>
      </c>
      <c r="F17" s="12">
        <v>0</v>
      </c>
      <c r="G17" s="12">
        <v>12</v>
      </c>
      <c r="H17" s="12">
        <v>9</v>
      </c>
      <c r="I17" s="12">
        <v>10</v>
      </c>
      <c r="J17" s="12">
        <v>6</v>
      </c>
      <c r="K17" s="12">
        <v>5</v>
      </c>
      <c r="L17" s="11">
        <f>SUM(F17:K17)</f>
        <v>42</v>
      </c>
      <c r="N17" s="10"/>
    </row>
    <row r="18" spans="1:15">
      <c r="B18" s="13">
        <v>424900</v>
      </c>
      <c r="C18" s="11" t="s">
        <v>119</v>
      </c>
      <c r="D18" s="11" t="s">
        <v>29</v>
      </c>
      <c r="E18" s="11" t="s">
        <v>61</v>
      </c>
      <c r="F18" s="12">
        <v>4</v>
      </c>
      <c r="G18" s="12">
        <v>12</v>
      </c>
      <c r="H18" s="11">
        <v>13</v>
      </c>
      <c r="I18" s="12">
        <v>6</v>
      </c>
      <c r="J18" s="12">
        <v>3</v>
      </c>
      <c r="K18" s="12">
        <v>0</v>
      </c>
      <c r="L18" s="11">
        <f>SUM(F18:K18)</f>
        <v>38</v>
      </c>
      <c r="O18" t="s">
        <v>132</v>
      </c>
    </row>
    <row r="19" spans="1:15">
      <c r="A19" s="9"/>
      <c r="B19" s="13">
        <v>422900</v>
      </c>
      <c r="C19" s="11" t="s">
        <v>7</v>
      </c>
      <c r="D19" s="11" t="s">
        <v>8</v>
      </c>
      <c r="E19" s="11" t="s">
        <v>135</v>
      </c>
      <c r="F19" s="12">
        <v>35</v>
      </c>
      <c r="G19" s="12">
        <v>1</v>
      </c>
      <c r="H19" s="12">
        <v>0</v>
      </c>
      <c r="I19" s="12">
        <v>0</v>
      </c>
      <c r="J19" s="12">
        <v>2</v>
      </c>
      <c r="K19" s="12">
        <v>0</v>
      </c>
      <c r="L19" s="11">
        <f>SUM(F19:K19)</f>
        <v>38</v>
      </c>
    </row>
    <row r="20" spans="1:15">
      <c r="A20" s="9"/>
      <c r="B20" s="13">
        <v>420100</v>
      </c>
      <c r="C20" s="11" t="s">
        <v>7</v>
      </c>
      <c r="D20" s="11" t="s">
        <v>8</v>
      </c>
      <c r="E20" s="11" t="s">
        <v>133</v>
      </c>
      <c r="F20" s="12">
        <v>8</v>
      </c>
      <c r="G20" s="12">
        <v>0</v>
      </c>
      <c r="H20" s="12">
        <v>29</v>
      </c>
      <c r="I20" s="12">
        <v>0</v>
      </c>
      <c r="J20" s="12">
        <v>0</v>
      </c>
      <c r="K20" s="12">
        <v>0</v>
      </c>
      <c r="L20" s="11">
        <f>SUM(F20:K20)</f>
        <v>37</v>
      </c>
    </row>
    <row r="21" spans="1:15">
      <c r="A21" s="9"/>
      <c r="B21" s="13">
        <v>424900</v>
      </c>
      <c r="C21" s="11" t="s">
        <v>119</v>
      </c>
      <c r="D21" s="11" t="s">
        <v>29</v>
      </c>
      <c r="E21" s="11" t="s">
        <v>143</v>
      </c>
      <c r="F21" s="12">
        <v>7</v>
      </c>
      <c r="G21" s="12">
        <v>12</v>
      </c>
      <c r="H21" s="13">
        <v>0</v>
      </c>
      <c r="I21" s="12">
        <v>12</v>
      </c>
      <c r="J21" s="12">
        <v>4</v>
      </c>
      <c r="K21" s="12">
        <v>2</v>
      </c>
      <c r="L21" s="11">
        <f>SUM(F21:K21)</f>
        <v>37</v>
      </c>
    </row>
    <row r="22" spans="1:15">
      <c r="A22" s="9"/>
      <c r="B22" s="13">
        <v>423000</v>
      </c>
      <c r="C22" s="11" t="s">
        <v>7</v>
      </c>
      <c r="D22" s="11" t="s">
        <v>29</v>
      </c>
      <c r="E22" s="11" t="s">
        <v>135</v>
      </c>
      <c r="F22" s="12">
        <v>7</v>
      </c>
      <c r="G22" s="12">
        <v>0</v>
      </c>
      <c r="H22" s="12">
        <v>0</v>
      </c>
      <c r="I22" s="12">
        <v>1</v>
      </c>
      <c r="J22" s="12">
        <v>19</v>
      </c>
      <c r="K22" s="12">
        <v>8</v>
      </c>
      <c r="L22" s="11">
        <f>SUM(F22:K22)</f>
        <v>35</v>
      </c>
    </row>
    <row r="23" spans="1:15">
      <c r="A23" s="9"/>
      <c r="B23" s="13">
        <v>421100</v>
      </c>
      <c r="C23" s="11" t="s">
        <v>7</v>
      </c>
      <c r="D23" s="11" t="s">
        <v>12</v>
      </c>
      <c r="E23" s="11" t="s">
        <v>135</v>
      </c>
      <c r="F23" s="12">
        <v>1</v>
      </c>
      <c r="G23" s="12">
        <v>1</v>
      </c>
      <c r="H23" s="12">
        <v>3</v>
      </c>
      <c r="I23" s="12">
        <v>5</v>
      </c>
      <c r="J23" s="12">
        <v>18</v>
      </c>
      <c r="K23" s="12">
        <v>5</v>
      </c>
      <c r="L23" s="11">
        <f>SUM(F23:K23)</f>
        <v>33</v>
      </c>
    </row>
    <row r="24" spans="1:15">
      <c r="B24" s="13">
        <v>424801</v>
      </c>
      <c r="C24" s="11" t="s">
        <v>7</v>
      </c>
      <c r="D24" s="11" t="s">
        <v>22</v>
      </c>
      <c r="E24" s="11" t="s">
        <v>137</v>
      </c>
      <c r="F24" s="12">
        <v>1</v>
      </c>
      <c r="G24" s="12">
        <v>7</v>
      </c>
      <c r="H24" s="12">
        <v>2</v>
      </c>
      <c r="I24" s="12">
        <v>9</v>
      </c>
      <c r="J24" s="12">
        <v>6</v>
      </c>
      <c r="K24" s="12">
        <v>4</v>
      </c>
      <c r="L24" s="11">
        <f>SUM(F24:K24)</f>
        <v>29</v>
      </c>
    </row>
    <row r="25" spans="1:15">
      <c r="B25" s="13">
        <v>421801</v>
      </c>
      <c r="C25" s="11" t="s">
        <v>7</v>
      </c>
      <c r="D25" s="11" t="s">
        <v>12</v>
      </c>
      <c r="E25" s="11" t="s">
        <v>135</v>
      </c>
      <c r="F25" s="12">
        <v>0</v>
      </c>
      <c r="G25" s="12">
        <v>0</v>
      </c>
      <c r="H25" s="12">
        <v>4</v>
      </c>
      <c r="I25" s="12">
        <v>4</v>
      </c>
      <c r="J25" s="12">
        <v>11</v>
      </c>
      <c r="K25" s="12">
        <v>9</v>
      </c>
      <c r="L25" s="11">
        <f>SUM(F25:K25)</f>
        <v>28</v>
      </c>
    </row>
    <row r="26" spans="1:15">
      <c r="A26" s="9"/>
      <c r="B26" s="13">
        <v>421901</v>
      </c>
      <c r="C26" s="11" t="s">
        <v>7</v>
      </c>
      <c r="D26" s="11" t="s">
        <v>8</v>
      </c>
      <c r="E26" s="11" t="s">
        <v>135</v>
      </c>
      <c r="F26" s="12">
        <v>2</v>
      </c>
      <c r="G26" s="12">
        <v>8</v>
      </c>
      <c r="H26" s="12">
        <v>6</v>
      </c>
      <c r="I26" s="12">
        <v>5</v>
      </c>
      <c r="J26" s="12">
        <v>4</v>
      </c>
      <c r="K26" s="12">
        <v>1</v>
      </c>
      <c r="L26" s="11">
        <f>SUM(F26:K26)</f>
        <v>26</v>
      </c>
    </row>
    <row r="27" spans="1:15">
      <c r="A27" s="9"/>
      <c r="B27" s="13">
        <v>422300</v>
      </c>
      <c r="C27" s="11" t="s">
        <v>15</v>
      </c>
      <c r="D27" s="11" t="s">
        <v>12</v>
      </c>
      <c r="E27" s="11" t="s">
        <v>61</v>
      </c>
      <c r="F27" s="12">
        <v>6</v>
      </c>
      <c r="G27" s="12">
        <v>2</v>
      </c>
      <c r="H27" s="12">
        <v>4</v>
      </c>
      <c r="I27" s="12">
        <v>11</v>
      </c>
      <c r="J27" s="12">
        <v>3</v>
      </c>
      <c r="K27" s="12">
        <v>0</v>
      </c>
      <c r="L27" s="11">
        <f>SUM(F27:K27)</f>
        <v>26</v>
      </c>
    </row>
    <row r="28" spans="1:15">
      <c r="A28" s="9"/>
      <c r="B28" s="13">
        <v>421902</v>
      </c>
      <c r="C28" s="11" t="s">
        <v>7</v>
      </c>
      <c r="D28" s="11" t="s">
        <v>8</v>
      </c>
      <c r="E28" s="11" t="s">
        <v>144</v>
      </c>
      <c r="F28" s="12">
        <v>2</v>
      </c>
      <c r="G28" s="12">
        <v>6</v>
      </c>
      <c r="H28" s="12">
        <v>6</v>
      </c>
      <c r="I28" s="12">
        <v>5</v>
      </c>
      <c r="J28" s="12">
        <v>4</v>
      </c>
      <c r="K28" s="12">
        <v>2</v>
      </c>
      <c r="L28" s="11">
        <f>SUM(F28:K28)</f>
        <v>25</v>
      </c>
      <c r="M28" t="s">
        <v>136</v>
      </c>
    </row>
    <row r="29" spans="1:15">
      <c r="A29" s="9"/>
      <c r="B29" s="13">
        <v>422700</v>
      </c>
      <c r="C29" s="11" t="s">
        <v>7</v>
      </c>
      <c r="D29" s="11" t="s">
        <v>145</v>
      </c>
      <c r="E29" s="11" t="s">
        <v>135</v>
      </c>
      <c r="F29" s="12">
        <v>5</v>
      </c>
      <c r="G29" s="12">
        <v>7</v>
      </c>
      <c r="H29" s="12">
        <v>6</v>
      </c>
      <c r="I29" s="12">
        <v>0</v>
      </c>
      <c r="J29" s="12">
        <v>0</v>
      </c>
      <c r="K29" s="12">
        <v>5</v>
      </c>
      <c r="L29" s="11">
        <f>SUM(F29:K29)</f>
        <v>23</v>
      </c>
    </row>
    <row r="30" spans="1:15">
      <c r="A30" s="9"/>
      <c r="B30" s="13">
        <v>420400</v>
      </c>
      <c r="C30" s="11" t="s">
        <v>15</v>
      </c>
      <c r="D30" s="11" t="s">
        <v>12</v>
      </c>
      <c r="E30" s="11" t="s">
        <v>146</v>
      </c>
      <c r="F30" s="12">
        <v>22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1">
        <f>SUM(F30:K30)</f>
        <v>22</v>
      </c>
    </row>
    <row r="31" spans="1:15">
      <c r="B31" s="13">
        <v>422190</v>
      </c>
      <c r="C31" s="11" t="s">
        <v>7</v>
      </c>
      <c r="D31" s="11" t="s">
        <v>10</v>
      </c>
      <c r="E31" s="11" t="s">
        <v>147</v>
      </c>
      <c r="F31" s="12">
        <v>2</v>
      </c>
      <c r="G31" s="12">
        <v>2</v>
      </c>
      <c r="H31" s="13">
        <v>5</v>
      </c>
      <c r="I31" s="12">
        <v>5</v>
      </c>
      <c r="J31" s="12">
        <v>3</v>
      </c>
      <c r="K31" s="12">
        <v>2</v>
      </c>
      <c r="L31" s="11">
        <f>SUM(F31:K31)</f>
        <v>19</v>
      </c>
    </row>
    <row r="32" spans="1:15">
      <c r="B32" s="13">
        <v>420101</v>
      </c>
      <c r="C32" s="11" t="s">
        <v>7</v>
      </c>
      <c r="D32" s="11" t="s">
        <v>8</v>
      </c>
      <c r="E32" s="11" t="s">
        <v>135</v>
      </c>
      <c r="F32" s="12">
        <v>5</v>
      </c>
      <c r="G32" s="12">
        <v>3</v>
      </c>
      <c r="H32" s="12">
        <v>4</v>
      </c>
      <c r="I32" s="12">
        <v>3</v>
      </c>
      <c r="J32" s="12">
        <v>3</v>
      </c>
      <c r="K32" s="12">
        <v>0</v>
      </c>
      <c r="L32" s="11">
        <f>SUM(F32:K32)</f>
        <v>18</v>
      </c>
    </row>
    <row r="33" spans="1:12">
      <c r="A33" s="9"/>
      <c r="B33" s="13">
        <v>420802</v>
      </c>
      <c r="C33" s="11" t="s">
        <v>7</v>
      </c>
      <c r="D33" s="11" t="s">
        <v>12</v>
      </c>
      <c r="E33" s="11" t="s">
        <v>148</v>
      </c>
      <c r="F33" s="13">
        <v>1</v>
      </c>
      <c r="G33" s="12">
        <v>5</v>
      </c>
      <c r="H33" s="12">
        <v>5</v>
      </c>
      <c r="I33" s="12">
        <v>3</v>
      </c>
      <c r="J33" s="12">
        <v>3</v>
      </c>
      <c r="K33" s="12">
        <v>2</v>
      </c>
      <c r="L33" s="11">
        <f>SUM(F33:K33)</f>
        <v>19</v>
      </c>
    </row>
    <row r="34" spans="1:12">
      <c r="B34" s="13">
        <v>423200</v>
      </c>
      <c r="C34" s="11" t="s">
        <v>7</v>
      </c>
      <c r="D34" s="11" t="s">
        <v>20</v>
      </c>
      <c r="E34" s="11" t="s">
        <v>135</v>
      </c>
      <c r="F34" s="12">
        <v>0</v>
      </c>
      <c r="G34" s="12">
        <v>0</v>
      </c>
      <c r="H34" s="12">
        <v>9</v>
      </c>
      <c r="I34" s="12">
        <v>3</v>
      </c>
      <c r="J34" s="12">
        <v>3</v>
      </c>
      <c r="K34" s="12">
        <v>3</v>
      </c>
      <c r="L34" s="11">
        <f>SUM(F34:K34)</f>
        <v>18</v>
      </c>
    </row>
    <row r="35" spans="1:12">
      <c r="A35" s="9"/>
      <c r="B35" s="13">
        <v>420400</v>
      </c>
      <c r="C35" s="11" t="s">
        <v>15</v>
      </c>
      <c r="D35" s="11" t="s">
        <v>12</v>
      </c>
      <c r="E35" s="11" t="s">
        <v>149</v>
      </c>
      <c r="F35" s="12">
        <v>0</v>
      </c>
      <c r="G35" s="12">
        <v>0</v>
      </c>
      <c r="H35" s="12">
        <v>0</v>
      </c>
      <c r="I35" s="12">
        <v>0</v>
      </c>
      <c r="J35" s="12">
        <v>5</v>
      </c>
      <c r="K35" s="12">
        <v>12</v>
      </c>
      <c r="L35" s="11">
        <f>SUM(F35:K35)</f>
        <v>17</v>
      </c>
    </row>
    <row r="36" spans="1:12">
      <c r="A36" s="9"/>
      <c r="B36" s="13">
        <v>424701</v>
      </c>
      <c r="C36" s="11" t="s">
        <v>7</v>
      </c>
      <c r="D36" s="11" t="s">
        <v>22</v>
      </c>
      <c r="E36" s="11" t="s">
        <v>139</v>
      </c>
      <c r="F36" s="12">
        <v>0</v>
      </c>
      <c r="G36" s="12">
        <v>0</v>
      </c>
      <c r="H36" s="12">
        <v>7</v>
      </c>
      <c r="I36" s="12">
        <v>0</v>
      </c>
      <c r="J36" s="12">
        <v>10</v>
      </c>
      <c r="K36" s="12">
        <v>0</v>
      </c>
      <c r="L36" s="11">
        <f>SUM(F36:K36)</f>
        <v>17</v>
      </c>
    </row>
    <row r="37" spans="1:12">
      <c r="B37" s="13">
        <v>422100</v>
      </c>
      <c r="C37" s="11" t="s">
        <v>7</v>
      </c>
      <c r="D37" s="11" t="s">
        <v>10</v>
      </c>
      <c r="E37" s="11" t="s">
        <v>150</v>
      </c>
      <c r="F37" s="12">
        <v>0</v>
      </c>
      <c r="G37" s="12">
        <v>0</v>
      </c>
      <c r="H37" s="12">
        <v>0</v>
      </c>
      <c r="I37" s="12">
        <v>0</v>
      </c>
      <c r="J37" s="12">
        <v>3</v>
      </c>
      <c r="K37" s="12">
        <v>13</v>
      </c>
      <c r="L37" s="11">
        <f>SUM(F37:K37)</f>
        <v>16</v>
      </c>
    </row>
    <row r="38" spans="1:12">
      <c r="A38" s="9"/>
      <c r="B38" s="13">
        <v>424000</v>
      </c>
      <c r="C38" s="11" t="s">
        <v>7</v>
      </c>
      <c r="D38" s="11" t="s">
        <v>8</v>
      </c>
      <c r="E38" s="11" t="s">
        <v>61</v>
      </c>
      <c r="F38" s="12">
        <v>5</v>
      </c>
      <c r="G38" s="12">
        <v>0</v>
      </c>
      <c r="H38" s="12">
        <v>0</v>
      </c>
      <c r="I38" s="12">
        <v>0</v>
      </c>
      <c r="J38" s="12">
        <v>10</v>
      </c>
      <c r="K38" s="12">
        <v>0</v>
      </c>
      <c r="L38" s="11">
        <f>SUM(F38:K38)</f>
        <v>15</v>
      </c>
    </row>
    <row r="39" spans="1:12">
      <c r="A39" s="9"/>
      <c r="B39" s="13">
        <v>421301</v>
      </c>
      <c r="C39" s="11" t="s">
        <v>7</v>
      </c>
      <c r="D39" s="11" t="s">
        <v>20</v>
      </c>
      <c r="E39" s="11" t="s">
        <v>151</v>
      </c>
      <c r="F39" s="12">
        <v>3</v>
      </c>
      <c r="G39" s="12">
        <v>0</v>
      </c>
      <c r="H39" s="12">
        <v>6</v>
      </c>
      <c r="I39" s="12">
        <v>2</v>
      </c>
      <c r="J39" s="12">
        <v>4</v>
      </c>
      <c r="K39" s="12">
        <v>0</v>
      </c>
      <c r="L39" s="11">
        <f>SUM(F39:K39)</f>
        <v>15</v>
      </c>
    </row>
    <row r="40" spans="1:12">
      <c r="A40" s="9"/>
      <c r="B40" s="13">
        <v>420200</v>
      </c>
      <c r="C40" s="11" t="s">
        <v>7</v>
      </c>
      <c r="D40" s="11" t="s">
        <v>22</v>
      </c>
      <c r="E40" s="11" t="s">
        <v>135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10</v>
      </c>
      <c r="L40" s="11">
        <f>SUM(F40:K40)</f>
        <v>10</v>
      </c>
    </row>
    <row r="41" spans="1:12">
      <c r="A41" s="9"/>
      <c r="B41" s="13">
        <v>422600</v>
      </c>
      <c r="C41" s="11" t="s">
        <v>152</v>
      </c>
      <c r="D41" s="11" t="s">
        <v>8</v>
      </c>
      <c r="E41" t="s">
        <v>135</v>
      </c>
      <c r="F41" s="13">
        <v>3</v>
      </c>
      <c r="G41" s="13">
        <v>2</v>
      </c>
      <c r="H41" s="13">
        <v>3</v>
      </c>
      <c r="I41" s="13">
        <v>2</v>
      </c>
      <c r="J41" s="13">
        <v>0</v>
      </c>
      <c r="K41" s="13">
        <v>4</v>
      </c>
      <c r="L41" s="11">
        <f>SUM(F41:K41)</f>
        <v>14</v>
      </c>
    </row>
    <row r="42" spans="1:12">
      <c r="B42" s="13">
        <v>424300</v>
      </c>
      <c r="C42" s="11" t="s">
        <v>7</v>
      </c>
      <c r="D42" s="11" t="s">
        <v>8</v>
      </c>
      <c r="E42" s="11" t="s">
        <v>135</v>
      </c>
      <c r="F42" s="12" t="s">
        <v>153</v>
      </c>
      <c r="G42" s="12">
        <v>4</v>
      </c>
      <c r="H42" s="12">
        <v>2</v>
      </c>
      <c r="I42" s="12">
        <v>2</v>
      </c>
      <c r="J42" s="12">
        <v>0</v>
      </c>
      <c r="K42" s="12">
        <v>5</v>
      </c>
      <c r="L42" s="11">
        <f>SUM(F42:K42)</f>
        <v>13</v>
      </c>
    </row>
    <row r="43" spans="1:12">
      <c r="A43" s="9"/>
      <c r="B43" s="13">
        <v>421402</v>
      </c>
      <c r="C43" s="11" t="s">
        <v>7</v>
      </c>
      <c r="D43" s="11" t="s">
        <v>20</v>
      </c>
      <c r="E43" s="11"/>
      <c r="F43" s="12">
        <v>0</v>
      </c>
      <c r="G43" s="12">
        <v>3</v>
      </c>
      <c r="H43" s="12">
        <v>1</v>
      </c>
      <c r="I43" s="12">
        <v>4</v>
      </c>
      <c r="J43" s="12">
        <v>3</v>
      </c>
      <c r="K43" s="12">
        <v>2</v>
      </c>
      <c r="L43" s="11">
        <f>SUM(F43:K43)</f>
        <v>13</v>
      </c>
    </row>
    <row r="44" spans="1:12">
      <c r="A44" s="9"/>
      <c r="B44" s="13">
        <v>423501</v>
      </c>
      <c r="C44" s="11" t="s">
        <v>7</v>
      </c>
      <c r="D44" s="11" t="s">
        <v>8</v>
      </c>
      <c r="E44" s="11"/>
      <c r="F44" s="12">
        <v>2</v>
      </c>
      <c r="G44" s="12">
        <v>3</v>
      </c>
      <c r="H44" s="12">
        <v>0</v>
      </c>
      <c r="I44" s="12">
        <v>2</v>
      </c>
      <c r="J44" s="12">
        <v>0</v>
      </c>
      <c r="K44" s="12">
        <v>5</v>
      </c>
      <c r="L44" s="11">
        <f>SUM(F44:K44)</f>
        <v>12</v>
      </c>
    </row>
    <row r="45" spans="1:12">
      <c r="A45" s="9"/>
      <c r="B45" s="13">
        <v>424200</v>
      </c>
      <c r="C45" s="11" t="s">
        <v>7</v>
      </c>
      <c r="D45" s="11" t="s">
        <v>29</v>
      </c>
      <c r="E45" s="11"/>
      <c r="F45" s="13">
        <v>2</v>
      </c>
      <c r="G45" s="13">
        <v>3</v>
      </c>
      <c r="H45" s="13">
        <v>1</v>
      </c>
      <c r="I45" s="13">
        <v>2</v>
      </c>
      <c r="J45" s="13">
        <v>2</v>
      </c>
      <c r="K45" s="13">
        <v>1</v>
      </c>
      <c r="L45" s="14">
        <f>SUM(F45:K45)</f>
        <v>11</v>
      </c>
    </row>
    <row r="46" spans="1:12">
      <c r="A46" s="9"/>
      <c r="B46" s="13">
        <v>420501</v>
      </c>
      <c r="C46" s="11" t="s">
        <v>7</v>
      </c>
      <c r="D46" s="11" t="s">
        <v>20</v>
      </c>
      <c r="E46" s="11"/>
      <c r="F46" s="12">
        <v>6</v>
      </c>
      <c r="G46" s="12">
        <v>0</v>
      </c>
      <c r="H46" s="12">
        <v>0</v>
      </c>
      <c r="I46" s="12">
        <v>0</v>
      </c>
      <c r="J46" s="12">
        <v>5</v>
      </c>
      <c r="K46" s="12">
        <v>1</v>
      </c>
      <c r="L46" s="11">
        <f>SUM(F46:K46)</f>
        <v>12</v>
      </c>
    </row>
    <row r="47" spans="1:12">
      <c r="A47" s="9"/>
      <c r="B47" s="13">
        <v>421401</v>
      </c>
      <c r="C47" s="11" t="s">
        <v>7</v>
      </c>
      <c r="D47" s="11" t="s">
        <v>20</v>
      </c>
      <c r="E47" s="11"/>
      <c r="F47" s="12">
        <v>0</v>
      </c>
      <c r="G47" s="12">
        <v>3</v>
      </c>
      <c r="H47" s="12">
        <v>6</v>
      </c>
      <c r="I47" s="12">
        <v>2</v>
      </c>
      <c r="J47" s="12">
        <v>0</v>
      </c>
      <c r="K47" s="12">
        <v>1</v>
      </c>
      <c r="L47" s="11">
        <f>SUM(F47:K47)</f>
        <v>12</v>
      </c>
    </row>
    <row r="48" spans="1:12">
      <c r="A48" s="9"/>
      <c r="B48" s="13">
        <v>423900</v>
      </c>
      <c r="C48" s="11" t="s">
        <v>7</v>
      </c>
      <c r="D48" s="11" t="s">
        <v>12</v>
      </c>
      <c r="E48" s="11"/>
      <c r="F48" s="12">
        <v>0</v>
      </c>
      <c r="G48" s="12">
        <v>0</v>
      </c>
      <c r="H48" s="12">
        <v>0</v>
      </c>
      <c r="I48" s="12">
        <v>0</v>
      </c>
      <c r="J48" s="12">
        <v>1</v>
      </c>
      <c r="K48" s="12">
        <v>2</v>
      </c>
      <c r="L48" s="11">
        <f>SUM(F48:K48)</f>
        <v>3</v>
      </c>
    </row>
    <row r="49" spans="1:16">
      <c r="A49" s="9"/>
      <c r="B49" s="13">
        <v>422601</v>
      </c>
      <c r="C49" s="11" t="s">
        <v>15</v>
      </c>
      <c r="D49" s="11" t="s">
        <v>8</v>
      </c>
      <c r="E49" s="11"/>
      <c r="F49" s="12">
        <v>0</v>
      </c>
      <c r="G49" s="12">
        <v>0</v>
      </c>
      <c r="H49" s="12">
        <v>0</v>
      </c>
      <c r="I49" s="12">
        <v>0</v>
      </c>
      <c r="J49" s="12">
        <v>7</v>
      </c>
      <c r="K49" s="12">
        <v>0</v>
      </c>
      <c r="L49" s="11">
        <f>SUM(F49:K49)</f>
        <v>7</v>
      </c>
    </row>
    <row r="50" spans="1:16">
      <c r="B50" s="13">
        <v>424700</v>
      </c>
      <c r="C50" s="11" t="s">
        <v>7</v>
      </c>
      <c r="D50" s="11" t="s">
        <v>22</v>
      </c>
      <c r="E50" s="11"/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1">
        <f>SUM(F50:K50)</f>
        <v>0</v>
      </c>
    </row>
    <row r="51" spans="1:16">
      <c r="B51" s="13">
        <v>421300</v>
      </c>
      <c r="C51" s="11" t="s">
        <v>7</v>
      </c>
      <c r="D51" s="11" t="s">
        <v>20</v>
      </c>
      <c r="E51" s="11"/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1">
        <f>SUM(F51:K51)</f>
        <v>0</v>
      </c>
    </row>
    <row r="52" spans="1:16">
      <c r="B52" s="13">
        <v>424500</v>
      </c>
      <c r="C52" s="11" t="s">
        <v>7</v>
      </c>
      <c r="D52" s="11" t="s">
        <v>8</v>
      </c>
      <c r="E52" s="11"/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1">
        <f>SUM(F52:K52)</f>
        <v>0</v>
      </c>
    </row>
    <row r="53" spans="1:16">
      <c r="A53" s="9"/>
      <c r="B53" s="13">
        <v>424960</v>
      </c>
      <c r="C53" s="11" t="s">
        <v>7</v>
      </c>
      <c r="D53" s="11" t="s">
        <v>29</v>
      </c>
      <c r="E53" s="11"/>
      <c r="F53" s="12">
        <v>1</v>
      </c>
      <c r="G53" s="12">
        <v>2</v>
      </c>
      <c r="H53" s="13">
        <v>2</v>
      </c>
      <c r="I53" s="12">
        <v>2</v>
      </c>
      <c r="J53" s="12">
        <v>1</v>
      </c>
      <c r="K53" s="12">
        <v>1</v>
      </c>
      <c r="L53" s="14">
        <f>SUM(F53:K53)</f>
        <v>9</v>
      </c>
    </row>
    <row r="54" spans="1:16">
      <c r="A54" s="9"/>
      <c r="B54" s="13">
        <v>423348</v>
      </c>
      <c r="C54" s="11" t="s">
        <v>7</v>
      </c>
      <c r="D54" s="11" t="s">
        <v>10</v>
      </c>
      <c r="E54" s="11" t="s">
        <v>154</v>
      </c>
      <c r="F54" s="12">
        <v>0</v>
      </c>
      <c r="G54" s="12">
        <v>2</v>
      </c>
      <c r="H54" s="13">
        <v>2</v>
      </c>
      <c r="I54" s="12">
        <v>1</v>
      </c>
      <c r="J54" s="12">
        <v>3</v>
      </c>
      <c r="K54" s="12">
        <v>0</v>
      </c>
      <c r="L54" s="11">
        <f>SUM(F54:K54)</f>
        <v>8</v>
      </c>
    </row>
    <row r="55" spans="1:16">
      <c r="B55" s="13">
        <v>421900</v>
      </c>
      <c r="C55" s="11" t="s">
        <v>7</v>
      </c>
      <c r="D55" s="11" t="s">
        <v>8</v>
      </c>
      <c r="E55" s="11"/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1">
        <f>SUM(F55:K55)</f>
        <v>0</v>
      </c>
    </row>
    <row r="56" spans="1:16">
      <c r="A56" s="9"/>
      <c r="B56" s="13">
        <v>420900</v>
      </c>
      <c r="C56" s="11" t="s">
        <v>15</v>
      </c>
      <c r="D56" s="11" t="s">
        <v>8</v>
      </c>
      <c r="E56" s="11"/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7</v>
      </c>
      <c r="L56" s="11">
        <f>SUM(F56:K56)</f>
        <v>7</v>
      </c>
    </row>
    <row r="57" spans="1:16">
      <c r="A57" s="9"/>
      <c r="B57" s="13">
        <v>421001</v>
      </c>
      <c r="C57" s="11" t="s">
        <v>15</v>
      </c>
      <c r="D57" s="11" t="s">
        <v>22</v>
      </c>
      <c r="E57" s="11"/>
      <c r="F57" s="13">
        <v>0</v>
      </c>
      <c r="G57" s="13">
        <v>0</v>
      </c>
      <c r="H57" s="13">
        <v>2</v>
      </c>
      <c r="I57" s="13">
        <v>1</v>
      </c>
      <c r="J57" s="13">
        <v>1</v>
      </c>
      <c r="K57" s="13">
        <v>2</v>
      </c>
      <c r="L57" s="14">
        <f>SUM(H57:K57)</f>
        <v>6</v>
      </c>
    </row>
    <row r="58" spans="1:16">
      <c r="A58" s="9"/>
      <c r="B58" s="13">
        <v>423309</v>
      </c>
      <c r="C58" s="11" t="s">
        <v>7</v>
      </c>
      <c r="D58" s="11" t="s">
        <v>10</v>
      </c>
      <c r="E58" s="11" t="s">
        <v>155</v>
      </c>
      <c r="F58" s="12">
        <v>0</v>
      </c>
      <c r="G58" s="12">
        <v>1</v>
      </c>
      <c r="H58" s="12">
        <v>2</v>
      </c>
      <c r="I58" s="12">
        <v>2</v>
      </c>
      <c r="J58" s="12">
        <v>0</v>
      </c>
      <c r="K58" s="12">
        <v>0</v>
      </c>
      <c r="L58" s="11">
        <f>SUM(F58:K58)</f>
        <v>5</v>
      </c>
    </row>
    <row r="59" spans="1:16">
      <c r="A59" s="9"/>
      <c r="B59" s="13">
        <v>423304</v>
      </c>
      <c r="C59" s="11" t="s">
        <v>7</v>
      </c>
      <c r="D59" s="11" t="s">
        <v>10</v>
      </c>
      <c r="E59" s="11" t="s">
        <v>156</v>
      </c>
      <c r="F59" s="12">
        <v>2</v>
      </c>
      <c r="G59" s="12">
        <v>1</v>
      </c>
      <c r="H59" s="13">
        <v>1</v>
      </c>
      <c r="I59" s="12">
        <v>0</v>
      </c>
      <c r="J59" s="12">
        <v>0</v>
      </c>
      <c r="K59" s="12">
        <v>0</v>
      </c>
      <c r="L59" s="11">
        <f>SUM(F59:K59)</f>
        <v>4</v>
      </c>
    </row>
    <row r="60" spans="1:16">
      <c r="A60" s="9"/>
      <c r="B60" s="13">
        <v>420402</v>
      </c>
      <c r="C60" s="11" t="s">
        <v>15</v>
      </c>
      <c r="D60" s="11" t="s">
        <v>12</v>
      </c>
      <c r="E60" s="11"/>
      <c r="F60" s="12">
        <v>0</v>
      </c>
      <c r="G60" s="12">
        <v>0</v>
      </c>
      <c r="H60" s="12">
        <v>0</v>
      </c>
      <c r="I60" s="12">
        <v>0</v>
      </c>
      <c r="J60" s="12">
        <v>4</v>
      </c>
      <c r="K60" s="12">
        <v>0</v>
      </c>
      <c r="L60" s="11">
        <f>SUM(F60:K60)</f>
        <v>4</v>
      </c>
      <c r="M60" t="s">
        <v>136</v>
      </c>
    </row>
    <row r="61" spans="1:16">
      <c r="B61" s="13">
        <v>423448</v>
      </c>
      <c r="C61" s="11" t="s">
        <v>119</v>
      </c>
      <c r="D61" s="11" t="s">
        <v>12</v>
      </c>
      <c r="E61" s="11" t="s">
        <v>154</v>
      </c>
      <c r="F61" s="12">
        <v>0</v>
      </c>
      <c r="G61" s="12">
        <v>0</v>
      </c>
      <c r="H61" s="13">
        <v>0</v>
      </c>
      <c r="I61" s="12">
        <v>0</v>
      </c>
      <c r="J61" s="12">
        <v>4</v>
      </c>
      <c r="K61" s="12">
        <v>0</v>
      </c>
      <c r="L61" s="11">
        <f>SUM(F61:K61)</f>
        <v>4</v>
      </c>
      <c r="P61" t="s">
        <v>136</v>
      </c>
    </row>
    <row r="62" spans="1:16">
      <c r="A62" s="9"/>
      <c r="B62" s="13">
        <v>423404</v>
      </c>
      <c r="C62" s="11" t="s">
        <v>7</v>
      </c>
      <c r="D62" s="11" t="s">
        <v>12</v>
      </c>
      <c r="E62" s="11" t="s">
        <v>156</v>
      </c>
      <c r="F62" s="12">
        <v>0</v>
      </c>
      <c r="G62" s="12">
        <v>1</v>
      </c>
      <c r="H62" s="12">
        <v>1</v>
      </c>
      <c r="I62" s="12">
        <v>1</v>
      </c>
      <c r="J62" s="12">
        <v>1</v>
      </c>
      <c r="K62" s="12">
        <v>0</v>
      </c>
      <c r="L62" s="11">
        <f>SUM(F62:K62)</f>
        <v>4</v>
      </c>
    </row>
    <row r="63" spans="1:16">
      <c r="A63" s="9"/>
      <c r="B63" s="13">
        <v>423408</v>
      </c>
      <c r="C63" s="11" t="s">
        <v>7</v>
      </c>
      <c r="D63" s="11" t="s">
        <v>12</v>
      </c>
      <c r="E63" s="11" t="s">
        <v>126</v>
      </c>
      <c r="F63" s="12">
        <v>0</v>
      </c>
      <c r="G63" s="12">
        <v>0</v>
      </c>
      <c r="H63" s="12">
        <v>0</v>
      </c>
      <c r="I63" s="12">
        <v>1</v>
      </c>
      <c r="J63" s="12">
        <v>1</v>
      </c>
      <c r="K63" s="12">
        <v>0</v>
      </c>
      <c r="L63" s="11">
        <f>SUM(F63:K63)</f>
        <v>2</v>
      </c>
    </row>
    <row r="64" spans="1:16">
      <c r="B64" s="13">
        <v>423308</v>
      </c>
      <c r="C64" s="11" t="s">
        <v>7</v>
      </c>
      <c r="D64" s="11" t="s">
        <v>10</v>
      </c>
      <c r="E64" s="11"/>
      <c r="F64" s="12"/>
      <c r="G64" s="12">
        <v>2</v>
      </c>
      <c r="H64" s="12"/>
      <c r="I64" s="12"/>
      <c r="J64" s="12"/>
      <c r="K64" s="12"/>
      <c r="L64" s="11">
        <f>SUM(F64:K64)</f>
        <v>2</v>
      </c>
    </row>
    <row r="65" spans="1:13">
      <c r="A65" s="9"/>
      <c r="B65" s="13">
        <v>422400</v>
      </c>
      <c r="C65" s="11" t="s">
        <v>15</v>
      </c>
      <c r="D65" s="11" t="s">
        <v>20</v>
      </c>
      <c r="E65" s="11"/>
      <c r="F65" s="13">
        <v>0</v>
      </c>
      <c r="G65" s="13">
        <v>0</v>
      </c>
      <c r="H65" s="13">
        <v>0</v>
      </c>
      <c r="I65" s="13">
        <v>0</v>
      </c>
      <c r="J65" s="13">
        <v>2</v>
      </c>
      <c r="K65" s="13">
        <v>0</v>
      </c>
      <c r="L65" s="11">
        <f>SUM(F65:K65)</f>
        <v>2</v>
      </c>
    </row>
    <row r="66" spans="1:13">
      <c r="A66" s="9"/>
      <c r="B66" s="13">
        <v>421101</v>
      </c>
      <c r="C66" s="11" t="s">
        <v>119</v>
      </c>
      <c r="D66" s="11" t="s">
        <v>12</v>
      </c>
      <c r="E66" s="11"/>
      <c r="F66" s="12">
        <v>0</v>
      </c>
      <c r="G66" s="12">
        <v>1</v>
      </c>
      <c r="H66" s="12">
        <v>1</v>
      </c>
      <c r="I66" s="12">
        <v>0</v>
      </c>
      <c r="J66" s="12"/>
      <c r="K66" s="12"/>
      <c r="L66" s="11">
        <f>SUM(F66:K66)</f>
        <v>2</v>
      </c>
    </row>
    <row r="67" spans="1:13">
      <c r="A67" s="9"/>
      <c r="B67" s="13">
        <v>421460</v>
      </c>
      <c r="C67" s="11" t="s">
        <v>7</v>
      </c>
      <c r="D67" s="11" t="s">
        <v>20</v>
      </c>
      <c r="E67" s="11" t="s">
        <v>157</v>
      </c>
      <c r="F67" s="12">
        <v>0</v>
      </c>
      <c r="G67" s="12">
        <v>0</v>
      </c>
      <c r="H67" s="12">
        <v>0</v>
      </c>
      <c r="I67" s="12">
        <v>0</v>
      </c>
      <c r="J67" s="12">
        <v>1</v>
      </c>
      <c r="K67" s="12">
        <v>0</v>
      </c>
      <c r="L67" s="11">
        <f>SUM(F67:K67)</f>
        <v>1</v>
      </c>
    </row>
    <row r="68" spans="1:13">
      <c r="A68" s="9"/>
      <c r="B68" s="13">
        <v>420500</v>
      </c>
      <c r="C68" s="11" t="s">
        <v>119</v>
      </c>
      <c r="D68" s="11" t="s">
        <v>20</v>
      </c>
      <c r="E68" s="11"/>
      <c r="F68" s="13">
        <v>0</v>
      </c>
      <c r="G68" s="13">
        <v>0</v>
      </c>
      <c r="H68" s="13">
        <v>0</v>
      </c>
      <c r="I68" s="12">
        <v>0</v>
      </c>
      <c r="J68" s="13">
        <v>1</v>
      </c>
      <c r="K68" s="12">
        <v>0</v>
      </c>
      <c r="L68" s="11">
        <f>SUM(F68:K68)</f>
        <v>1</v>
      </c>
    </row>
    <row r="69" spans="1:13">
      <c r="B69" s="13">
        <v>422500</v>
      </c>
      <c r="C69" s="11" t="s">
        <v>7</v>
      </c>
      <c r="D69" s="11" t="s">
        <v>12</v>
      </c>
      <c r="E69" s="11"/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1">
        <f>SUM(F69:K69)</f>
        <v>0</v>
      </c>
    </row>
    <row r="70" spans="1:13">
      <c r="B70" s="13">
        <v>420600</v>
      </c>
      <c r="C70" s="11" t="s">
        <v>7</v>
      </c>
      <c r="D70" s="11" t="s">
        <v>8</v>
      </c>
      <c r="E70" s="11"/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1">
        <f>SUM(F70:K70)</f>
        <v>0</v>
      </c>
    </row>
    <row r="71" spans="1:13">
      <c r="B71" s="13">
        <v>425600</v>
      </c>
      <c r="C71" s="11" t="s">
        <v>7</v>
      </c>
      <c r="D71" s="11" t="s">
        <v>29</v>
      </c>
      <c r="E71" s="11"/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1">
        <f>SUM(F71:K71)</f>
        <v>0</v>
      </c>
    </row>
    <row r="72" spans="1:13">
      <c r="B72" s="13">
        <v>421800</v>
      </c>
      <c r="C72" s="11" t="s">
        <v>7</v>
      </c>
      <c r="D72" s="11" t="s">
        <v>12</v>
      </c>
      <c r="E72" s="11"/>
      <c r="F72" s="12"/>
      <c r="G72" s="12"/>
      <c r="H72" s="12"/>
      <c r="I72" s="12"/>
      <c r="J72" s="12"/>
      <c r="K72" s="12"/>
      <c r="L72" s="11">
        <f>SUM(F72:K72)</f>
        <v>0</v>
      </c>
    </row>
    <row r="73" spans="1:13">
      <c r="B73" s="13">
        <v>423316</v>
      </c>
      <c r="C73" s="11" t="s">
        <v>7</v>
      </c>
      <c r="D73" s="11" t="s">
        <v>10</v>
      </c>
      <c r="E73" s="11"/>
      <c r="F73" s="12"/>
      <c r="G73" s="12"/>
      <c r="H73" s="12"/>
      <c r="I73" s="12"/>
      <c r="J73" s="12"/>
      <c r="K73" s="12"/>
      <c r="L73" s="11">
        <f>SUM(F73:K73)</f>
        <v>0</v>
      </c>
    </row>
    <row r="74" spans="1:13">
      <c r="B74" s="13">
        <v>423416</v>
      </c>
      <c r="C74" s="11" t="s">
        <v>119</v>
      </c>
      <c r="D74" s="11" t="s">
        <v>12</v>
      </c>
      <c r="E74" s="11"/>
      <c r="F74" s="12"/>
      <c r="G74" s="12"/>
      <c r="H74" s="12"/>
      <c r="I74" s="12"/>
      <c r="J74" s="12"/>
      <c r="K74" s="12"/>
      <c r="L74" s="11">
        <f>SUM(F74:K74)</f>
        <v>0</v>
      </c>
    </row>
    <row r="75" spans="1:13">
      <c r="B75" s="13">
        <v>420300</v>
      </c>
      <c r="C75" s="11" t="s">
        <v>15</v>
      </c>
      <c r="D75" s="11" t="s">
        <v>10</v>
      </c>
      <c r="E75" s="11"/>
      <c r="F75" s="13"/>
      <c r="G75" s="13"/>
      <c r="H75" s="13"/>
      <c r="I75" s="13"/>
      <c r="J75" s="13"/>
      <c r="K75" s="13"/>
      <c r="L75" s="14">
        <f>SUM(F75:K75)</f>
        <v>0</v>
      </c>
    </row>
    <row r="76" spans="1:13">
      <c r="B76" s="13">
        <v>422401</v>
      </c>
      <c r="C76" s="11" t="s">
        <v>15</v>
      </c>
      <c r="D76" s="11" t="s">
        <v>20</v>
      </c>
      <c r="E76" s="11"/>
      <c r="F76" s="11"/>
      <c r="G76" s="11"/>
      <c r="H76" s="11"/>
      <c r="I76" s="11"/>
      <c r="J76" s="11"/>
      <c r="K76" s="11"/>
      <c r="L76" s="11">
        <f>SUM(F76:K76)</f>
        <v>0</v>
      </c>
    </row>
    <row r="77" spans="1:13">
      <c r="B77" s="13">
        <v>423800</v>
      </c>
      <c r="C77" s="11" t="s">
        <v>7</v>
      </c>
      <c r="D77" s="11" t="s">
        <v>29</v>
      </c>
      <c r="E77" s="11" t="s">
        <v>136</v>
      </c>
      <c r="F77" s="13"/>
      <c r="G77" s="13"/>
      <c r="H77" s="13"/>
      <c r="I77" s="13"/>
      <c r="J77" s="13"/>
      <c r="K77" s="13"/>
      <c r="L77" s="11">
        <f>SUM(F77:K77)</f>
        <v>0</v>
      </c>
    </row>
    <row r="78" spans="1:13">
      <c r="B78" s="13">
        <v>423409</v>
      </c>
      <c r="C78" s="11" t="s">
        <v>119</v>
      </c>
      <c r="D78" s="11" t="s">
        <v>12</v>
      </c>
      <c r="E78" s="11"/>
      <c r="F78" s="12"/>
      <c r="G78" s="12"/>
      <c r="H78" s="12"/>
      <c r="I78" s="12"/>
      <c r="J78" s="12"/>
      <c r="K78" s="12"/>
      <c r="L78" s="11">
        <f>SUM(F78:K78)</f>
        <v>0</v>
      </c>
    </row>
    <row r="79" spans="1:13">
      <c r="B79" s="13">
        <v>420801</v>
      </c>
      <c r="C79" s="11" t="s">
        <v>7</v>
      </c>
      <c r="D79" s="11" t="s">
        <v>12</v>
      </c>
      <c r="E79" s="11"/>
      <c r="F79" s="11"/>
      <c r="G79" s="13"/>
      <c r="H79" s="13"/>
      <c r="I79" s="13"/>
      <c r="J79" s="13"/>
      <c r="K79" s="12"/>
      <c r="L79" s="11">
        <f>SUM(G79:K79)</f>
        <v>0</v>
      </c>
    </row>
    <row r="80" spans="1:13">
      <c r="B80" s="13">
        <v>420160</v>
      </c>
      <c r="C80" s="11" t="s">
        <v>119</v>
      </c>
      <c r="D80" s="11" t="s">
        <v>8</v>
      </c>
      <c r="E80" s="11" t="s">
        <v>158</v>
      </c>
      <c r="F80" s="12"/>
      <c r="G80" s="12"/>
      <c r="H80" s="12"/>
      <c r="I80" s="12"/>
      <c r="J80" s="12"/>
      <c r="K80" s="12"/>
      <c r="L80" s="11">
        <f>SUM(F80:K80)</f>
        <v>0</v>
      </c>
      <c r="M80" t="s">
        <v>136</v>
      </c>
    </row>
    <row r="81" spans="5:15">
      <c r="E81" t="s">
        <v>136</v>
      </c>
    </row>
    <row r="83" spans="5:15">
      <c r="L83" s="11">
        <f>SUM(L3:L82)</f>
        <v>1692</v>
      </c>
    </row>
    <row r="87" spans="5:15">
      <c r="O87" t="s">
        <v>132</v>
      </c>
    </row>
    <row r="90" spans="5:15">
      <c r="G90" t="s">
        <v>136</v>
      </c>
    </row>
    <row r="91" spans="5:15">
      <c r="H91" t="s">
        <v>132</v>
      </c>
    </row>
    <row r="131" spans="11:11">
      <c r="K131" t="s">
        <v>136</v>
      </c>
    </row>
  </sheetData>
  <autoFilter ref="B2:L81" xr:uid="{0112103A-CDAB-4900-9F11-1B2050D63174}">
    <sortState xmlns:xlrd2="http://schemas.microsoft.com/office/spreadsheetml/2017/richdata2" ref="B3:L81">
      <sortCondition descending="1" ref="L2:L81"/>
    </sortState>
  </autoFilter>
  <sortState xmlns:xlrd2="http://schemas.microsoft.com/office/spreadsheetml/2017/richdata2" ref="A3:L80">
    <sortCondition descending="1" ref="A3:A80"/>
  </sortState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3:BU89"/>
  <sheetViews>
    <sheetView tabSelected="1" workbookViewId="0">
      <selection activeCell="A3" sqref="A3:N11"/>
    </sheetView>
  </sheetViews>
  <sheetFormatPr defaultColWidth="11.42578125" defaultRowHeight="14.45"/>
  <cols>
    <col min="2" max="2" width="7.7109375" style="28" customWidth="1"/>
    <col min="3" max="3" width="11.42578125" style="28"/>
    <col min="6" max="6" width="17" customWidth="1"/>
    <col min="7" max="7" width="16.140625" customWidth="1"/>
    <col min="15" max="16" width="11.42578125" style="27"/>
    <col min="17" max="17" width="15.42578125" style="27" customWidth="1"/>
  </cols>
  <sheetData>
    <row r="3" spans="1:17" ht="15">
      <c r="C3" s="7" t="s">
        <v>1</v>
      </c>
      <c r="D3" s="2" t="s">
        <v>2</v>
      </c>
      <c r="E3" s="2" t="s">
        <v>3</v>
      </c>
      <c r="F3" s="2" t="s">
        <v>4</v>
      </c>
      <c r="G3" s="2" t="s">
        <v>159</v>
      </c>
      <c r="H3" s="3">
        <v>36</v>
      </c>
      <c r="I3" s="3">
        <v>38</v>
      </c>
      <c r="J3" s="3">
        <v>40</v>
      </c>
      <c r="K3" s="3">
        <v>42</v>
      </c>
      <c r="L3" s="3">
        <v>44</v>
      </c>
      <c r="M3" s="79">
        <v>46</v>
      </c>
      <c r="N3" s="78" t="s">
        <v>5</v>
      </c>
      <c r="O3" s="81" t="s">
        <v>160</v>
      </c>
      <c r="P3" s="52" t="s">
        <v>161</v>
      </c>
      <c r="Q3" s="55" t="s">
        <v>162</v>
      </c>
    </row>
    <row r="4" spans="1:17" ht="15">
      <c r="A4" s="11" t="s">
        <v>163</v>
      </c>
      <c r="B4" s="94">
        <v>44</v>
      </c>
      <c r="C4" s="77">
        <v>430100</v>
      </c>
      <c r="D4" s="1" t="s">
        <v>15</v>
      </c>
      <c r="E4" s="1" t="s">
        <v>12</v>
      </c>
      <c r="F4" s="1"/>
      <c r="G4" s="1" t="s">
        <v>164</v>
      </c>
      <c r="H4" s="1">
        <v>11</v>
      </c>
      <c r="I4" s="1">
        <v>57</v>
      </c>
      <c r="J4" s="1">
        <v>48</v>
      </c>
      <c r="K4" s="1">
        <v>50</v>
      </c>
      <c r="L4" s="1">
        <v>45</v>
      </c>
      <c r="M4" s="80">
        <v>29</v>
      </c>
      <c r="N4" s="56">
        <f>SUM(H4:M4)</f>
        <v>240</v>
      </c>
      <c r="O4" s="82" t="s">
        <v>165</v>
      </c>
      <c r="P4" s="53">
        <v>46178</v>
      </c>
      <c r="Q4" s="54">
        <v>46361</v>
      </c>
    </row>
    <row r="5" spans="1:17" ht="15">
      <c r="A5" s="11" t="s">
        <v>163</v>
      </c>
      <c r="B5" s="94">
        <v>44</v>
      </c>
      <c r="C5" s="77">
        <v>431400</v>
      </c>
      <c r="D5" s="1" t="s">
        <v>7</v>
      </c>
      <c r="E5" s="1" t="s">
        <v>22</v>
      </c>
      <c r="F5" s="1"/>
      <c r="G5" s="1" t="s">
        <v>166</v>
      </c>
      <c r="H5" s="1">
        <v>26</v>
      </c>
      <c r="I5" s="1">
        <v>58</v>
      </c>
      <c r="J5" s="1">
        <v>59</v>
      </c>
      <c r="K5" s="1">
        <v>44</v>
      </c>
      <c r="L5" s="1">
        <v>34</v>
      </c>
      <c r="M5" s="80">
        <v>36</v>
      </c>
      <c r="N5" s="56">
        <f>SUM(H5:M5)</f>
        <v>257</v>
      </c>
      <c r="O5" s="83">
        <v>46208</v>
      </c>
      <c r="P5" s="53">
        <v>46361</v>
      </c>
      <c r="Q5" s="51" t="s">
        <v>167</v>
      </c>
    </row>
    <row r="6" spans="1:17" ht="15">
      <c r="A6" s="11" t="s">
        <v>163</v>
      </c>
      <c r="B6" s="94">
        <v>44</v>
      </c>
      <c r="C6" s="77">
        <v>432900</v>
      </c>
      <c r="D6" s="1" t="s">
        <v>15</v>
      </c>
      <c r="E6" s="1" t="s">
        <v>20</v>
      </c>
      <c r="F6" s="1"/>
      <c r="G6" s="1" t="s">
        <v>168</v>
      </c>
      <c r="H6" s="1">
        <v>11</v>
      </c>
      <c r="I6" s="1">
        <v>40</v>
      </c>
      <c r="J6" s="1">
        <v>47</v>
      </c>
      <c r="K6" s="1">
        <v>50</v>
      </c>
      <c r="L6" s="1">
        <v>30</v>
      </c>
      <c r="M6" s="80">
        <v>41</v>
      </c>
      <c r="N6" s="56">
        <f>SUM(H6:M6)</f>
        <v>219</v>
      </c>
      <c r="O6" s="82" t="s">
        <v>169</v>
      </c>
      <c r="P6" s="53">
        <v>46178</v>
      </c>
      <c r="Q6" s="51" t="s">
        <v>170</v>
      </c>
    </row>
    <row r="7" spans="1:17" ht="15">
      <c r="A7" s="11" t="s">
        <v>163</v>
      </c>
      <c r="B7" s="94">
        <v>44</v>
      </c>
      <c r="C7" s="77">
        <v>430900</v>
      </c>
      <c r="D7" s="1" t="s">
        <v>7</v>
      </c>
      <c r="E7" s="1" t="s">
        <v>12</v>
      </c>
      <c r="F7" s="1" t="s">
        <v>171</v>
      </c>
      <c r="G7" s="1" t="s">
        <v>164</v>
      </c>
      <c r="H7" s="1">
        <v>0</v>
      </c>
      <c r="I7" s="1">
        <v>30</v>
      </c>
      <c r="J7" s="1">
        <v>42</v>
      </c>
      <c r="K7" s="1">
        <v>38</v>
      </c>
      <c r="L7" s="1">
        <v>32</v>
      </c>
      <c r="M7" s="80">
        <v>36</v>
      </c>
      <c r="N7" s="56">
        <f>SUM(H7:M7)</f>
        <v>178</v>
      </c>
      <c r="O7" s="82" t="s">
        <v>172</v>
      </c>
      <c r="P7" s="13" t="s">
        <v>173</v>
      </c>
      <c r="Q7" s="51" t="s">
        <v>174</v>
      </c>
    </row>
    <row r="8" spans="1:17" ht="15">
      <c r="A8" s="11" t="s">
        <v>163</v>
      </c>
      <c r="B8" s="94">
        <v>44</v>
      </c>
      <c r="C8" s="77">
        <v>431800</v>
      </c>
      <c r="D8" s="1" t="s">
        <v>7</v>
      </c>
      <c r="E8" s="1" t="s">
        <v>175</v>
      </c>
      <c r="F8" s="1"/>
      <c r="G8" s="1" t="s">
        <v>164</v>
      </c>
      <c r="H8" s="1">
        <v>11</v>
      </c>
      <c r="I8" s="1">
        <v>37</v>
      </c>
      <c r="J8" s="1">
        <v>26</v>
      </c>
      <c r="K8" s="1">
        <v>21</v>
      </c>
      <c r="L8" s="1">
        <v>24</v>
      </c>
      <c r="M8" s="80">
        <v>20</v>
      </c>
      <c r="N8" s="56">
        <f>SUM(H8:M8)</f>
        <v>139</v>
      </c>
      <c r="O8" s="82" t="s">
        <v>176</v>
      </c>
      <c r="P8" s="13" t="s">
        <v>177</v>
      </c>
      <c r="Q8" s="51" t="s">
        <v>178</v>
      </c>
    </row>
    <row r="9" spans="1:17" ht="15">
      <c r="A9" s="11" t="s">
        <v>163</v>
      </c>
      <c r="B9" s="94">
        <v>44</v>
      </c>
      <c r="C9" s="77">
        <v>432100</v>
      </c>
      <c r="D9" s="1" t="s">
        <v>7</v>
      </c>
      <c r="E9" s="1" t="s">
        <v>20</v>
      </c>
      <c r="F9" s="1" t="s">
        <v>179</v>
      </c>
      <c r="G9" s="1" t="s">
        <v>168</v>
      </c>
      <c r="H9" s="1">
        <v>8</v>
      </c>
      <c r="I9" s="1">
        <v>40</v>
      </c>
      <c r="J9" s="1">
        <v>48</v>
      </c>
      <c r="K9" s="1">
        <v>32</v>
      </c>
      <c r="L9" s="1">
        <v>33</v>
      </c>
      <c r="M9" s="80">
        <v>33</v>
      </c>
      <c r="N9" s="56">
        <f>SUM(H9:M9)</f>
        <v>194</v>
      </c>
      <c r="O9" s="82" t="s">
        <v>180</v>
      </c>
      <c r="P9" s="13" t="s">
        <v>181</v>
      </c>
      <c r="Q9" s="51" t="s">
        <v>182</v>
      </c>
    </row>
    <row r="10" spans="1:17" ht="15">
      <c r="A10" s="11" t="s">
        <v>163</v>
      </c>
      <c r="B10" s="94">
        <v>44</v>
      </c>
      <c r="C10" s="77">
        <v>432300</v>
      </c>
      <c r="D10" s="1" t="s">
        <v>7</v>
      </c>
      <c r="E10" s="1" t="s">
        <v>183</v>
      </c>
      <c r="F10" s="1"/>
      <c r="G10" s="1" t="s">
        <v>184</v>
      </c>
      <c r="H10" s="1">
        <v>10</v>
      </c>
      <c r="I10" s="1">
        <v>31</v>
      </c>
      <c r="J10" s="1">
        <v>32</v>
      </c>
      <c r="K10" s="1">
        <v>23</v>
      </c>
      <c r="L10" s="1">
        <v>28</v>
      </c>
      <c r="M10" s="80">
        <v>25</v>
      </c>
      <c r="N10" s="56">
        <f>SUM(H10:M10)</f>
        <v>149</v>
      </c>
      <c r="O10" s="82"/>
      <c r="P10" s="13"/>
      <c r="Q10" s="51"/>
    </row>
    <row r="11" spans="1:17" ht="15">
      <c r="A11" s="11" t="s">
        <v>163</v>
      </c>
      <c r="B11" s="94">
        <v>44</v>
      </c>
      <c r="C11" s="77">
        <v>433900</v>
      </c>
      <c r="D11" s="1" t="s">
        <v>7</v>
      </c>
      <c r="E11" s="1" t="s">
        <v>12</v>
      </c>
      <c r="F11" s="1"/>
      <c r="G11" s="1" t="s">
        <v>168</v>
      </c>
      <c r="H11" s="1">
        <v>8</v>
      </c>
      <c r="I11" s="1">
        <v>20</v>
      </c>
      <c r="J11" s="1">
        <v>20</v>
      </c>
      <c r="K11" s="1">
        <v>18</v>
      </c>
      <c r="L11" s="1">
        <v>15</v>
      </c>
      <c r="M11" s="80">
        <v>20</v>
      </c>
      <c r="N11" s="11">
        <f>SUM(H11:M11)</f>
        <v>101</v>
      </c>
    </row>
    <row r="12" spans="1:17" ht="15">
      <c r="B12" s="91"/>
      <c r="C12" s="26">
        <v>431100</v>
      </c>
      <c r="D12" s="1" t="s">
        <v>7</v>
      </c>
      <c r="E12" s="1" t="s">
        <v>22</v>
      </c>
      <c r="F12" s="1"/>
      <c r="G12" s="1"/>
      <c r="H12" s="1">
        <v>9</v>
      </c>
      <c r="I12" s="1">
        <v>24</v>
      </c>
      <c r="J12" s="1">
        <v>14</v>
      </c>
      <c r="K12" s="1">
        <v>19</v>
      </c>
      <c r="L12" s="1">
        <v>12</v>
      </c>
      <c r="M12" s="80">
        <v>15</v>
      </c>
      <c r="N12" s="56">
        <f>SUM(H12:M12)</f>
        <v>93</v>
      </c>
      <c r="O12" s="82"/>
      <c r="P12" s="13"/>
      <c r="Q12" s="51"/>
    </row>
    <row r="13" spans="1:17" ht="15">
      <c r="B13" s="88"/>
      <c r="C13" s="26">
        <v>436204</v>
      </c>
      <c r="D13" s="1" t="s">
        <v>119</v>
      </c>
      <c r="E13" s="1" t="s">
        <v>8</v>
      </c>
      <c r="F13" s="1" t="s">
        <v>185</v>
      </c>
      <c r="G13" s="1"/>
      <c r="H13" s="1">
        <v>11</v>
      </c>
      <c r="I13" s="1">
        <v>21</v>
      </c>
      <c r="J13" s="1">
        <v>13</v>
      </c>
      <c r="K13" s="1">
        <v>27</v>
      </c>
      <c r="L13" s="1">
        <v>7</v>
      </c>
      <c r="M13" s="80">
        <v>14</v>
      </c>
      <c r="N13" s="56">
        <f>SUM(H13:M13)</f>
        <v>93</v>
      </c>
      <c r="O13" s="82"/>
      <c r="P13" s="13"/>
      <c r="Q13" s="51"/>
    </row>
    <row r="14" spans="1:17" ht="15">
      <c r="B14" s="88"/>
      <c r="C14" s="26">
        <v>432501</v>
      </c>
      <c r="D14" s="1" t="s">
        <v>119</v>
      </c>
      <c r="E14" s="1" t="s">
        <v>183</v>
      </c>
      <c r="F14" s="1"/>
      <c r="G14" s="1"/>
      <c r="H14" s="1">
        <v>7</v>
      </c>
      <c r="I14" s="1">
        <v>23</v>
      </c>
      <c r="J14" s="1">
        <v>24</v>
      </c>
      <c r="K14" s="1">
        <v>20</v>
      </c>
      <c r="L14" s="1">
        <v>13</v>
      </c>
      <c r="M14" s="80">
        <v>5</v>
      </c>
      <c r="N14" s="56">
        <f>SUM(H14:M14)</f>
        <v>92</v>
      </c>
      <c r="O14" s="82"/>
      <c r="P14" s="13"/>
      <c r="Q14" s="51"/>
    </row>
    <row r="15" spans="1:17" ht="15">
      <c r="B15" s="88"/>
      <c r="C15" s="26">
        <v>436248</v>
      </c>
      <c r="D15" s="1" t="s">
        <v>119</v>
      </c>
      <c r="E15" s="1" t="s">
        <v>8</v>
      </c>
      <c r="F15" s="1" t="s">
        <v>186</v>
      </c>
      <c r="G15" s="1"/>
      <c r="H15" s="1">
        <v>12</v>
      </c>
      <c r="I15" s="1">
        <v>18</v>
      </c>
      <c r="J15" s="1">
        <v>12</v>
      </c>
      <c r="K15" s="1">
        <v>18</v>
      </c>
      <c r="L15" s="1">
        <v>10</v>
      </c>
      <c r="M15" s="80">
        <v>9</v>
      </c>
      <c r="N15" s="56">
        <f>SUM(H15:M15)</f>
        <v>79</v>
      </c>
      <c r="O15" s="82"/>
      <c r="P15" s="13"/>
      <c r="Q15" s="51"/>
    </row>
    <row r="16" spans="1:17" ht="15">
      <c r="B16" s="88"/>
      <c r="C16" s="26">
        <v>432500</v>
      </c>
      <c r="D16" s="1" t="s">
        <v>119</v>
      </c>
      <c r="E16" s="1" t="s">
        <v>187</v>
      </c>
      <c r="F16" s="1"/>
      <c r="G16" s="1"/>
      <c r="H16" s="1">
        <v>2</v>
      </c>
      <c r="I16" s="1">
        <v>15</v>
      </c>
      <c r="J16" s="1">
        <v>10</v>
      </c>
      <c r="K16" s="1">
        <v>15</v>
      </c>
      <c r="L16" s="1">
        <v>13</v>
      </c>
      <c r="M16" s="80">
        <v>24</v>
      </c>
      <c r="N16" s="11">
        <f>SUM(H16:M16)</f>
        <v>79</v>
      </c>
    </row>
    <row r="17" spans="2:73" ht="15">
      <c r="B17" s="88"/>
      <c r="C17" s="26">
        <v>433700</v>
      </c>
      <c r="D17" s="1" t="s">
        <v>119</v>
      </c>
      <c r="E17" s="1" t="s">
        <v>12</v>
      </c>
      <c r="F17" s="1" t="s">
        <v>188</v>
      </c>
      <c r="G17" s="1"/>
      <c r="H17" s="1">
        <v>0</v>
      </c>
      <c r="I17" s="1">
        <v>11</v>
      </c>
      <c r="J17" s="1">
        <v>15</v>
      </c>
      <c r="K17" s="1">
        <v>20</v>
      </c>
      <c r="L17" s="1">
        <v>14</v>
      </c>
      <c r="M17" s="80">
        <v>13</v>
      </c>
      <c r="N17" s="56">
        <f>SUM(H17:M17)</f>
        <v>73</v>
      </c>
      <c r="O17" s="82"/>
      <c r="P17" s="13"/>
      <c r="Q17" s="51"/>
    </row>
    <row r="18" spans="2:73" ht="15">
      <c r="B18" s="89"/>
      <c r="C18" s="76">
        <v>433300</v>
      </c>
      <c r="D18" s="1" t="s">
        <v>7</v>
      </c>
      <c r="E18" s="1" t="s">
        <v>189</v>
      </c>
      <c r="F18" s="1"/>
      <c r="G18" s="1"/>
      <c r="H18" s="1">
        <v>0</v>
      </c>
      <c r="I18" s="1">
        <v>15</v>
      </c>
      <c r="J18" s="1">
        <v>13</v>
      </c>
      <c r="K18" s="1">
        <v>12</v>
      </c>
      <c r="L18" s="1">
        <v>12</v>
      </c>
      <c r="M18" s="80">
        <v>18</v>
      </c>
      <c r="N18" s="56">
        <f>SUM(H18:M18)</f>
        <v>70</v>
      </c>
      <c r="O18" s="82"/>
      <c r="P18" s="13"/>
      <c r="Q18" s="51"/>
    </row>
    <row r="19" spans="2:73" ht="15">
      <c r="B19" s="88"/>
      <c r="C19" s="26">
        <v>436604</v>
      </c>
      <c r="D19" s="1" t="s">
        <v>119</v>
      </c>
      <c r="E19" s="1" t="s">
        <v>22</v>
      </c>
      <c r="F19" s="1" t="s">
        <v>156</v>
      </c>
      <c r="G19" s="1"/>
      <c r="H19" s="1">
        <v>3</v>
      </c>
      <c r="I19" s="1">
        <v>0</v>
      </c>
      <c r="J19" s="1">
        <v>3</v>
      </c>
      <c r="K19" s="1">
        <v>26</v>
      </c>
      <c r="L19" s="1">
        <v>13</v>
      </c>
      <c r="M19" s="80">
        <v>12</v>
      </c>
      <c r="N19" s="11">
        <f t="shared" ref="N19:N20" si="0">SUM(H19:M19)</f>
        <v>57</v>
      </c>
    </row>
    <row r="20" spans="2:73" ht="15">
      <c r="B20" s="88"/>
      <c r="C20" s="26">
        <v>431000</v>
      </c>
      <c r="D20" s="1" t="s">
        <v>7</v>
      </c>
      <c r="E20" s="1" t="s">
        <v>10</v>
      </c>
      <c r="F20" s="1"/>
      <c r="G20" s="1"/>
      <c r="H20" s="1">
        <v>10</v>
      </c>
      <c r="I20" s="1">
        <v>15</v>
      </c>
      <c r="J20" s="1">
        <v>2</v>
      </c>
      <c r="K20" s="1">
        <v>5</v>
      </c>
      <c r="L20" s="1">
        <v>17</v>
      </c>
      <c r="M20" s="80">
        <v>0</v>
      </c>
      <c r="N20" s="11">
        <f t="shared" si="0"/>
        <v>49</v>
      </c>
    </row>
    <row r="21" spans="2:73" s="8" customFormat="1" ht="15">
      <c r="B21" s="87"/>
      <c r="C21" s="77">
        <v>431300</v>
      </c>
      <c r="D21" s="58" t="s">
        <v>7</v>
      </c>
      <c r="E21" s="58" t="s">
        <v>12</v>
      </c>
      <c r="F21" s="58"/>
      <c r="G21" s="58"/>
      <c r="H21" s="58">
        <v>0</v>
      </c>
      <c r="I21" s="58">
        <v>2</v>
      </c>
      <c r="J21" s="58">
        <v>21</v>
      </c>
      <c r="K21" s="58">
        <v>5</v>
      </c>
      <c r="L21" s="58">
        <v>7</v>
      </c>
      <c r="M21" s="57">
        <v>10</v>
      </c>
      <c r="N21" s="56">
        <f>SUM(H21:M21)</f>
        <v>45</v>
      </c>
      <c r="O21" s="27"/>
      <c r="P21" s="27"/>
      <c r="Q21" s="59" t="s">
        <v>190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</row>
    <row r="22" spans="2:73" ht="15">
      <c r="B22" s="88"/>
      <c r="C22" s="26">
        <v>433901</v>
      </c>
      <c r="D22" s="1" t="s">
        <v>7</v>
      </c>
      <c r="E22" s="1" t="s">
        <v>12</v>
      </c>
      <c r="F22" s="1" t="s">
        <v>191</v>
      </c>
      <c r="G22" s="1"/>
      <c r="H22" s="1">
        <v>4</v>
      </c>
      <c r="I22" s="1">
        <v>6</v>
      </c>
      <c r="J22" s="1">
        <v>8</v>
      </c>
      <c r="K22" s="1">
        <v>7</v>
      </c>
      <c r="L22" s="1">
        <v>6</v>
      </c>
      <c r="M22" s="80">
        <v>3</v>
      </c>
      <c r="N22" s="11">
        <f>SUM(H22:M22)</f>
        <v>34</v>
      </c>
    </row>
    <row r="23" spans="2:73" ht="15">
      <c r="B23" s="88"/>
      <c r="C23" s="26">
        <v>434000</v>
      </c>
      <c r="D23" s="1" t="s">
        <v>119</v>
      </c>
      <c r="E23" s="1" t="s">
        <v>29</v>
      </c>
      <c r="F23" s="1"/>
      <c r="G23" s="1"/>
      <c r="H23" s="1">
        <v>0</v>
      </c>
      <c r="I23" s="1">
        <v>9</v>
      </c>
      <c r="J23" s="1">
        <v>14</v>
      </c>
      <c r="K23" s="1">
        <v>7</v>
      </c>
      <c r="L23" s="1">
        <v>3</v>
      </c>
      <c r="M23" s="80">
        <v>0</v>
      </c>
      <c r="N23" s="11">
        <f>SUM(H23:M23)</f>
        <v>33</v>
      </c>
    </row>
    <row r="24" spans="2:73" ht="15">
      <c r="B24" s="90"/>
      <c r="C24" s="26">
        <v>434100</v>
      </c>
      <c r="D24" s="1" t="s">
        <v>7</v>
      </c>
      <c r="E24" s="1" t="s">
        <v>12</v>
      </c>
      <c r="F24" s="1"/>
      <c r="G24" s="1"/>
      <c r="H24" s="1">
        <v>0</v>
      </c>
      <c r="I24" s="1">
        <v>3</v>
      </c>
      <c r="J24" s="1">
        <v>0</v>
      </c>
      <c r="K24" s="1">
        <v>2</v>
      </c>
      <c r="L24" s="1">
        <v>1</v>
      </c>
      <c r="M24" s="80">
        <v>12</v>
      </c>
      <c r="N24" s="11">
        <f>SUM(H24:M24)</f>
        <v>18</v>
      </c>
    </row>
    <row r="25" spans="2:73" ht="15">
      <c r="B25" s="90"/>
      <c r="C25" s="26">
        <v>434801</v>
      </c>
      <c r="D25" s="1" t="s">
        <v>119</v>
      </c>
      <c r="E25" s="1" t="s">
        <v>8</v>
      </c>
      <c r="F25" s="1" t="s">
        <v>134</v>
      </c>
      <c r="G25" s="1"/>
      <c r="H25" s="1">
        <v>0</v>
      </c>
      <c r="I25" s="1">
        <v>5</v>
      </c>
      <c r="J25" s="1">
        <v>0</v>
      </c>
      <c r="K25" s="1">
        <v>5</v>
      </c>
      <c r="L25" s="1">
        <v>4</v>
      </c>
      <c r="M25" s="80">
        <v>3</v>
      </c>
      <c r="N25" s="11">
        <f>SUM(H25:M25)</f>
        <v>17</v>
      </c>
    </row>
    <row r="26" spans="2:73" ht="15">
      <c r="B26" s="92"/>
      <c r="C26" s="7">
        <v>431900</v>
      </c>
      <c r="D26" s="1" t="s">
        <v>15</v>
      </c>
      <c r="E26" s="1" t="s">
        <v>12</v>
      </c>
      <c r="F26" s="1"/>
      <c r="G26" s="1"/>
      <c r="H26" s="1">
        <v>3</v>
      </c>
      <c r="I26" s="1">
        <v>3</v>
      </c>
      <c r="J26" s="1">
        <v>1</v>
      </c>
      <c r="K26" s="1">
        <v>2</v>
      </c>
      <c r="L26" s="1">
        <v>3</v>
      </c>
      <c r="M26" s="80">
        <v>1</v>
      </c>
      <c r="N26" s="11">
        <f>SUM(H26:M26)</f>
        <v>13</v>
      </c>
    </row>
    <row r="27" spans="2:73" ht="15">
      <c r="B27" s="87"/>
      <c r="C27" s="26">
        <v>432200</v>
      </c>
      <c r="D27" s="1" t="s">
        <v>119</v>
      </c>
      <c r="E27" s="1" t="s">
        <v>12</v>
      </c>
      <c r="F27" s="1"/>
      <c r="G27" s="1"/>
      <c r="H27" s="1">
        <v>0</v>
      </c>
      <c r="I27" s="1">
        <v>0</v>
      </c>
      <c r="J27" s="1">
        <v>2</v>
      </c>
      <c r="K27" s="1">
        <v>4</v>
      </c>
      <c r="L27" s="1">
        <v>2</v>
      </c>
      <c r="M27" s="80">
        <v>5</v>
      </c>
      <c r="N27" s="11">
        <f>SUM(H27:M27)</f>
        <v>13</v>
      </c>
    </row>
    <row r="28" spans="2:73" ht="15">
      <c r="B28" s="88"/>
      <c r="C28" s="26">
        <v>434861</v>
      </c>
      <c r="D28" s="1" t="s">
        <v>119</v>
      </c>
      <c r="E28" s="1" t="s">
        <v>8</v>
      </c>
      <c r="F28" s="1" t="s">
        <v>192</v>
      </c>
      <c r="G28" s="1"/>
      <c r="H28" s="1">
        <v>2</v>
      </c>
      <c r="I28" s="1">
        <v>0</v>
      </c>
      <c r="J28" s="1">
        <v>0</v>
      </c>
      <c r="K28" s="1">
        <v>0</v>
      </c>
      <c r="L28" s="1">
        <v>1</v>
      </c>
      <c r="M28" s="80">
        <v>2</v>
      </c>
      <c r="N28" s="11">
        <f>SUM(H28:M28)</f>
        <v>5</v>
      </c>
    </row>
    <row r="29" spans="2:73" ht="15">
      <c r="B29" s="92"/>
      <c r="C29" s="7">
        <v>436167</v>
      </c>
      <c r="D29" s="1" t="s">
        <v>7</v>
      </c>
      <c r="E29" s="1" t="s">
        <v>12</v>
      </c>
      <c r="F29" s="1" t="s">
        <v>193</v>
      </c>
      <c r="G29" s="1"/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80">
        <v>2</v>
      </c>
      <c r="N29" s="11">
        <f>SUM(H29:M29)</f>
        <v>2</v>
      </c>
    </row>
    <row r="30" spans="2:73" ht="15">
      <c r="B30" s="87"/>
      <c r="C30" s="26">
        <v>434860</v>
      </c>
      <c r="D30" s="1" t="s">
        <v>119</v>
      </c>
      <c r="E30" s="1" t="s">
        <v>8</v>
      </c>
      <c r="F30" s="1" t="s">
        <v>134</v>
      </c>
      <c r="G30" s="1"/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80">
        <v>0</v>
      </c>
      <c r="N30" s="11">
        <f>SUM(H30:M30)</f>
        <v>2</v>
      </c>
    </row>
    <row r="31" spans="2:73" ht="15">
      <c r="B31" s="88"/>
      <c r="C31" s="26">
        <v>436104</v>
      </c>
      <c r="D31" s="1" t="s">
        <v>7</v>
      </c>
      <c r="E31" s="1" t="s">
        <v>12</v>
      </c>
      <c r="F31" s="1" t="s">
        <v>194</v>
      </c>
      <c r="G31" s="1"/>
      <c r="H31" s="1">
        <v>0</v>
      </c>
      <c r="I31" s="1">
        <v>0</v>
      </c>
      <c r="J31" s="1">
        <v>0</v>
      </c>
      <c r="K31" s="1">
        <v>2</v>
      </c>
      <c r="L31" s="1">
        <v>0</v>
      </c>
      <c r="M31" s="80">
        <v>0</v>
      </c>
      <c r="N31" s="11">
        <f>SUM(H31:M31)</f>
        <v>2</v>
      </c>
    </row>
    <row r="32" spans="2:73" ht="15">
      <c r="B32" s="88"/>
      <c r="C32" s="26">
        <v>432202</v>
      </c>
      <c r="D32" s="1" t="s">
        <v>119</v>
      </c>
      <c r="E32" s="1" t="s">
        <v>12</v>
      </c>
      <c r="F32" s="1"/>
      <c r="G32" s="1"/>
      <c r="H32" s="1">
        <v>0</v>
      </c>
      <c r="I32" s="1">
        <v>0</v>
      </c>
      <c r="J32" s="1">
        <v>1</v>
      </c>
      <c r="K32" s="1">
        <v>0</v>
      </c>
      <c r="L32" s="1">
        <v>0</v>
      </c>
      <c r="M32" s="80">
        <v>0</v>
      </c>
      <c r="N32" s="11">
        <f>SUM(H32:M32)</f>
        <v>1</v>
      </c>
    </row>
    <row r="33" spans="2:14" ht="15">
      <c r="B33" s="88"/>
      <c r="C33" s="26">
        <v>434800</v>
      </c>
      <c r="D33" s="1" t="s">
        <v>119</v>
      </c>
      <c r="E33" s="1" t="s">
        <v>8</v>
      </c>
      <c r="F33" s="1" t="s">
        <v>143</v>
      </c>
      <c r="G33" s="1"/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80">
        <v>0</v>
      </c>
      <c r="N33" s="11">
        <f>SUM(H33:M33)</f>
        <v>0</v>
      </c>
    </row>
    <row r="34" spans="2:14" ht="15">
      <c r="B34" s="93"/>
      <c r="C34" s="26">
        <v>432201</v>
      </c>
      <c r="D34" s="1" t="s">
        <v>119</v>
      </c>
      <c r="E34" s="1" t="s">
        <v>12</v>
      </c>
      <c r="F34" s="1"/>
      <c r="G34" s="1"/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80">
        <v>0</v>
      </c>
      <c r="N34" s="11">
        <f>SUM(H34:M34)</f>
        <v>0</v>
      </c>
    </row>
    <row r="35" spans="2:14" ht="15">
      <c r="B35" s="93"/>
      <c r="C35" s="26">
        <v>436148</v>
      </c>
      <c r="D35" s="1" t="s">
        <v>7</v>
      </c>
      <c r="E35" s="1" t="s">
        <v>12</v>
      </c>
      <c r="F35" s="1" t="s">
        <v>154</v>
      </c>
      <c r="G35" s="1"/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80">
        <v>0</v>
      </c>
      <c r="N35" s="11">
        <f>SUM(H35:M35)</f>
        <v>0</v>
      </c>
    </row>
    <row r="36" spans="2:14" ht="15">
      <c r="B36" s="87"/>
      <c r="C36" s="26">
        <v>435601</v>
      </c>
      <c r="D36" s="1" t="s">
        <v>7</v>
      </c>
      <c r="E36" s="1" t="s">
        <v>12</v>
      </c>
      <c r="F36" s="1"/>
      <c r="G36" s="1"/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80">
        <v>0</v>
      </c>
      <c r="N36" s="11">
        <f>SUM(H36:M36)</f>
        <v>0</v>
      </c>
    </row>
    <row r="37" spans="2:14" ht="15">
      <c r="B37" s="93"/>
      <c r="C37" s="26">
        <v>435600</v>
      </c>
      <c r="D37" s="1" t="s">
        <v>7</v>
      </c>
      <c r="E37" s="1" t="s">
        <v>12</v>
      </c>
      <c r="F37" s="1"/>
      <c r="G37" s="1"/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80">
        <v>0</v>
      </c>
      <c r="N37" s="11">
        <f>SUM(H37:M37)</f>
        <v>0</v>
      </c>
    </row>
    <row r="38" spans="2:14" ht="15">
      <c r="B38" s="93" t="s">
        <v>136</v>
      </c>
      <c r="C38" s="26">
        <v>432300</v>
      </c>
      <c r="D38" s="1" t="s">
        <v>119</v>
      </c>
      <c r="E38" s="1" t="s">
        <v>12</v>
      </c>
      <c r="F38" s="1"/>
      <c r="G38" s="1"/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80">
        <v>0</v>
      </c>
      <c r="N38" s="11">
        <f>SUM(H38:M38)</f>
        <v>0</v>
      </c>
    </row>
    <row r="39" spans="2:14" ht="15">
      <c r="B39" s="27"/>
      <c r="C39" s="27"/>
    </row>
    <row r="40" spans="2:14" ht="15">
      <c r="B40" s="27"/>
      <c r="C40" s="27"/>
      <c r="M40" t="s">
        <v>5</v>
      </c>
      <c r="N40" s="17">
        <f>SUM(N4:N39)</f>
        <v>2347</v>
      </c>
    </row>
    <row r="41" spans="2:14" ht="15">
      <c r="B41" s="27"/>
      <c r="C41" s="27"/>
    </row>
    <row r="42" spans="2:14" ht="15">
      <c r="B42" s="27"/>
      <c r="C42" s="27"/>
    </row>
    <row r="43" spans="2:14" ht="15">
      <c r="B43" s="27"/>
      <c r="C43" s="27"/>
    </row>
    <row r="44" spans="2:14" ht="15">
      <c r="B44" s="27"/>
      <c r="C44" s="27"/>
    </row>
    <row r="45" spans="2:14" ht="15">
      <c r="B45" s="27"/>
      <c r="C45" s="27"/>
    </row>
    <row r="46" spans="2:14" ht="15">
      <c r="B46" s="27"/>
      <c r="C46" s="27"/>
    </row>
    <row r="47" spans="2:14" ht="15">
      <c r="B47" s="27"/>
      <c r="C47" s="27"/>
    </row>
    <row r="48" spans="2:14" ht="15">
      <c r="B48" s="27"/>
      <c r="C48" s="27"/>
    </row>
    <row r="49" spans="2:3" ht="15">
      <c r="B49" s="27"/>
      <c r="C49" s="27"/>
    </row>
    <row r="50" spans="2:3" ht="15">
      <c r="B50" s="27"/>
      <c r="C50" s="27"/>
    </row>
    <row r="51" spans="2:3" ht="15">
      <c r="B51" s="27"/>
      <c r="C51" s="27"/>
    </row>
    <row r="52" spans="2:3" ht="15">
      <c r="B52" s="27"/>
      <c r="C52" s="27"/>
    </row>
    <row r="53" spans="2:3" ht="15">
      <c r="B53" s="27"/>
      <c r="C53" s="27"/>
    </row>
    <row r="54" spans="2:3" ht="15">
      <c r="B54" s="27"/>
      <c r="C54" s="27"/>
    </row>
    <row r="55" spans="2:3" ht="15">
      <c r="B55" s="27"/>
      <c r="C55" s="27"/>
    </row>
    <row r="56" spans="2:3" ht="15">
      <c r="B56" s="27"/>
      <c r="C56" s="27"/>
    </row>
    <row r="57" spans="2:3" ht="15">
      <c r="B57" s="27"/>
      <c r="C57" s="27"/>
    </row>
    <row r="58" spans="2:3" ht="15">
      <c r="B58" s="27"/>
      <c r="C58" s="27"/>
    </row>
    <row r="59" spans="2:3" ht="15">
      <c r="B59" s="27"/>
      <c r="C59" s="27"/>
    </row>
    <row r="60" spans="2:3" ht="15">
      <c r="B60" s="27"/>
      <c r="C60" s="27"/>
    </row>
    <row r="61" spans="2:3" ht="15">
      <c r="B61" s="27"/>
      <c r="C61" s="27"/>
    </row>
    <row r="62" spans="2:3" ht="15">
      <c r="B62" s="27"/>
      <c r="C62" s="27"/>
    </row>
    <row r="63" spans="2:3" ht="15">
      <c r="B63" s="27"/>
      <c r="C63" s="27"/>
    </row>
    <row r="64" spans="2:3" ht="15">
      <c r="B64" s="27"/>
      <c r="C64" s="27"/>
    </row>
    <row r="65" spans="2:3" ht="15">
      <c r="B65" s="27"/>
      <c r="C65" s="27"/>
    </row>
    <row r="66" spans="2:3" ht="15">
      <c r="B66" s="27"/>
      <c r="C66" s="27"/>
    </row>
    <row r="67" spans="2:3" ht="15">
      <c r="B67" s="27"/>
      <c r="C67" s="27"/>
    </row>
    <row r="68" spans="2:3" ht="15">
      <c r="B68" s="27"/>
      <c r="C68" s="27"/>
    </row>
    <row r="69" spans="2:3" ht="15">
      <c r="B69" s="27"/>
      <c r="C69" s="27"/>
    </row>
    <row r="70" spans="2:3" ht="15">
      <c r="B70" s="27"/>
      <c r="C70" s="27"/>
    </row>
    <row r="71" spans="2:3" ht="15">
      <c r="B71" s="27"/>
      <c r="C71" s="27"/>
    </row>
    <row r="72" spans="2:3" ht="15">
      <c r="B72" s="27"/>
      <c r="C72" s="27"/>
    </row>
    <row r="73" spans="2:3" ht="15">
      <c r="B73" s="27"/>
      <c r="C73" s="27"/>
    </row>
    <row r="74" spans="2:3" ht="15">
      <c r="B74" s="27"/>
      <c r="C74" s="27"/>
    </row>
    <row r="75" spans="2:3" ht="15">
      <c r="B75" s="27"/>
      <c r="C75" s="27"/>
    </row>
    <row r="76" spans="2:3" ht="15">
      <c r="B76" s="27"/>
      <c r="C76" s="27"/>
    </row>
    <row r="77" spans="2:3" ht="15">
      <c r="B77" s="27"/>
      <c r="C77" s="27"/>
    </row>
    <row r="78" spans="2:3" ht="15">
      <c r="B78" s="27"/>
      <c r="C78" s="27"/>
    </row>
    <row r="79" spans="2:3" ht="15">
      <c r="B79" s="27"/>
      <c r="C79" s="27"/>
    </row>
    <row r="80" spans="2:3" ht="15">
      <c r="B80" s="27"/>
      <c r="C80" s="27"/>
    </row>
    <row r="81" spans="2:3" ht="15">
      <c r="B81" s="27"/>
      <c r="C81" s="27"/>
    </row>
    <row r="82" spans="2:3" ht="15">
      <c r="B82" s="27"/>
      <c r="C82" s="27"/>
    </row>
    <row r="83" spans="2:3" ht="15">
      <c r="B83" s="27"/>
      <c r="C83" s="27"/>
    </row>
    <row r="84" spans="2:3" ht="15">
      <c r="B84" s="27"/>
      <c r="C84" s="27"/>
    </row>
    <row r="85" spans="2:3" ht="15">
      <c r="B85" s="27"/>
      <c r="C85" s="27"/>
    </row>
    <row r="86" spans="2:3" ht="15">
      <c r="B86" s="27"/>
      <c r="C86" s="27"/>
    </row>
    <row r="87" spans="2:3" ht="15">
      <c r="B87" s="27"/>
      <c r="C87" s="27"/>
    </row>
    <row r="88" spans="2:3" ht="15">
      <c r="B88" s="27"/>
      <c r="C88" s="27"/>
    </row>
    <row r="89" spans="2:3">
      <c r="B89" s="27"/>
    </row>
  </sheetData>
  <autoFilter ref="C3:N25" xr:uid="{B5734B30-2D58-4B23-A8DD-CE4A8B965AA0}">
    <sortState xmlns:xlrd2="http://schemas.microsoft.com/office/spreadsheetml/2017/richdata2" ref="C4:N36">
      <sortCondition descending="1" ref="N3:N25"/>
    </sortState>
  </autoFilter>
  <printOptions horizontalCentere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FCA9-A906-4FEF-9843-D37FAC686B1F}">
  <dimension ref="B4:N52"/>
  <sheetViews>
    <sheetView topLeftCell="A31" workbookViewId="0">
      <selection activeCell="B5" sqref="B5"/>
    </sheetView>
  </sheetViews>
  <sheetFormatPr defaultRowHeight="15"/>
  <sheetData>
    <row r="4" spans="2:14">
      <c r="C4" s="7" t="s">
        <v>1</v>
      </c>
      <c r="D4" s="2" t="s">
        <v>2</v>
      </c>
      <c r="E4" s="2" t="s">
        <v>3</v>
      </c>
      <c r="F4" s="2" t="s">
        <v>4</v>
      </c>
      <c r="G4" s="2" t="s">
        <v>159</v>
      </c>
      <c r="H4" s="3">
        <v>36</v>
      </c>
      <c r="I4" s="3">
        <v>38</v>
      </c>
      <c r="J4" s="3">
        <v>40</v>
      </c>
      <c r="K4" s="3">
        <v>42</v>
      </c>
      <c r="L4" s="3">
        <v>44</v>
      </c>
      <c r="M4" s="79">
        <v>46</v>
      </c>
      <c r="N4" s="78" t="s">
        <v>5</v>
      </c>
    </row>
    <row r="5" spans="2:14">
      <c r="B5" s="84"/>
      <c r="C5" s="26"/>
      <c r="D5" s="1"/>
      <c r="E5" s="1"/>
      <c r="F5" s="1"/>
      <c r="G5" s="1"/>
      <c r="H5" s="1"/>
      <c r="I5" s="1"/>
      <c r="J5" s="1"/>
      <c r="K5" s="1"/>
      <c r="L5" s="1"/>
      <c r="M5" s="80"/>
      <c r="N5" s="56">
        <f>SUM(H5:M5)</f>
        <v>0</v>
      </c>
    </row>
    <row r="6" spans="2:14">
      <c r="B6" s="56"/>
      <c r="C6" s="26"/>
      <c r="D6" s="1"/>
      <c r="E6" s="1"/>
      <c r="F6" s="1"/>
      <c r="G6" s="1"/>
      <c r="H6" s="1"/>
      <c r="I6" s="1"/>
      <c r="J6" s="1"/>
      <c r="K6" s="1"/>
      <c r="L6" s="1"/>
      <c r="M6" s="80"/>
      <c r="N6" s="56">
        <f>SUM(H6:M6)</f>
        <v>0</v>
      </c>
    </row>
    <row r="7" spans="2:14">
      <c r="B7" s="85"/>
      <c r="C7" s="26"/>
      <c r="D7" s="1"/>
      <c r="E7" s="1"/>
      <c r="F7" s="1"/>
      <c r="G7" s="1"/>
      <c r="H7" s="1"/>
      <c r="I7" s="1"/>
      <c r="J7" s="1"/>
      <c r="K7" s="1"/>
      <c r="L7" s="1"/>
      <c r="M7" s="80"/>
      <c r="N7" s="56">
        <f>SUM(H7:M7)</f>
        <v>0</v>
      </c>
    </row>
    <row r="8" spans="2:14">
      <c r="B8" s="56"/>
      <c r="C8" s="26"/>
      <c r="D8" s="1"/>
      <c r="E8" s="1"/>
      <c r="F8" s="1"/>
      <c r="G8" s="1"/>
      <c r="H8" s="1"/>
      <c r="I8" s="1"/>
      <c r="J8" s="1"/>
      <c r="K8" s="1"/>
      <c r="L8" s="1"/>
      <c r="M8" s="80"/>
      <c r="N8" s="56">
        <f>SUM(H8:M8)</f>
        <v>0</v>
      </c>
    </row>
    <row r="9" spans="2:14">
      <c r="B9" s="86"/>
      <c r="C9" s="26"/>
      <c r="D9" s="1"/>
      <c r="E9" s="1"/>
      <c r="F9" s="1"/>
      <c r="G9" s="1"/>
      <c r="H9" s="1"/>
      <c r="I9" s="1"/>
      <c r="J9" s="1"/>
      <c r="K9" s="1"/>
      <c r="L9" s="1"/>
      <c r="M9" s="80"/>
      <c r="N9" s="56">
        <f>SUM(H9:M9)</f>
        <v>0</v>
      </c>
    </row>
    <row r="10" spans="2:14">
      <c r="B10" s="85"/>
      <c r="C10" s="26"/>
      <c r="D10" s="1"/>
      <c r="E10" s="1"/>
      <c r="F10" s="1"/>
      <c r="G10" s="1"/>
      <c r="H10" s="1"/>
      <c r="I10" s="1"/>
      <c r="J10" s="1"/>
      <c r="K10" s="1"/>
      <c r="L10" s="1"/>
      <c r="M10" s="80"/>
      <c r="N10" s="56">
        <f>SUM(H10:M10)</f>
        <v>0</v>
      </c>
    </row>
    <row r="11" spans="2:14">
      <c r="B11" s="56"/>
      <c r="C11" s="26"/>
      <c r="D11" s="1"/>
      <c r="E11" s="1"/>
      <c r="F11" s="1"/>
      <c r="G11" s="1"/>
      <c r="H11" s="1"/>
      <c r="I11" s="1"/>
      <c r="J11" s="1"/>
      <c r="K11" s="1"/>
      <c r="L11" s="1"/>
      <c r="M11" s="80"/>
      <c r="N11" s="56">
        <f>SUM(H11:M11)</f>
        <v>0</v>
      </c>
    </row>
    <row r="12" spans="2:14">
      <c r="B12" s="56"/>
      <c r="C12" s="26"/>
      <c r="D12" s="1"/>
      <c r="E12" s="1"/>
      <c r="F12" s="1"/>
      <c r="G12" s="1"/>
      <c r="H12" s="1"/>
      <c r="I12" s="1"/>
      <c r="J12" s="1"/>
      <c r="K12" s="1"/>
      <c r="L12" s="1"/>
      <c r="M12" s="80"/>
      <c r="N12" s="11">
        <f>SUM(H12:M12)</f>
        <v>0</v>
      </c>
    </row>
    <row r="13" spans="2:14">
      <c r="B13" s="84"/>
      <c r="C13" s="26"/>
      <c r="D13" s="1"/>
      <c r="E13" s="1"/>
      <c r="F13" s="1"/>
      <c r="G13" s="1"/>
      <c r="H13" s="1"/>
      <c r="I13" s="1"/>
      <c r="J13" s="1"/>
      <c r="K13" s="1"/>
      <c r="L13" s="1"/>
      <c r="M13" s="80"/>
      <c r="N13" s="56">
        <f>SUM(H13:M13)</f>
        <v>0</v>
      </c>
    </row>
    <row r="14" spans="2:14">
      <c r="B14" s="56"/>
      <c r="C14" s="26"/>
      <c r="D14" s="1"/>
      <c r="E14" s="1"/>
      <c r="F14" s="1"/>
      <c r="G14" s="1"/>
      <c r="H14" s="1"/>
      <c r="I14" s="1"/>
      <c r="J14" s="1"/>
      <c r="K14" s="1"/>
      <c r="L14" s="1"/>
      <c r="M14" s="80"/>
      <c r="N14" s="56">
        <f>SUM(H14:M14)</f>
        <v>0</v>
      </c>
    </row>
    <row r="15" spans="2:14">
      <c r="B15" s="56"/>
      <c r="C15" s="26"/>
      <c r="D15" s="1"/>
      <c r="E15" s="1"/>
      <c r="F15" s="1"/>
      <c r="G15" s="1"/>
      <c r="H15" s="1"/>
      <c r="I15" s="1"/>
      <c r="J15" s="1"/>
      <c r="K15" s="1"/>
      <c r="L15" s="1"/>
      <c r="M15" s="80"/>
      <c r="N15" s="56">
        <f>SUM(H15:M15)</f>
        <v>0</v>
      </c>
    </row>
    <row r="16" spans="2:14">
      <c r="B16" s="56"/>
      <c r="C16" s="26"/>
      <c r="D16" s="1"/>
      <c r="E16" s="1"/>
      <c r="F16" s="1"/>
      <c r="G16" s="1"/>
      <c r="H16" s="1"/>
      <c r="I16" s="1"/>
      <c r="J16" s="1"/>
      <c r="K16" s="1"/>
      <c r="L16" s="1"/>
      <c r="M16" s="80"/>
      <c r="N16" s="56">
        <f>SUM(H16:M16)</f>
        <v>0</v>
      </c>
    </row>
    <row r="17" spans="2:14">
      <c r="B17" s="56"/>
      <c r="C17" s="26"/>
      <c r="D17" s="1"/>
      <c r="E17" s="1"/>
      <c r="F17" s="1"/>
      <c r="G17" s="1"/>
      <c r="H17" s="1"/>
      <c r="I17" s="1"/>
      <c r="J17" s="1"/>
      <c r="K17" s="1"/>
      <c r="L17" s="1"/>
      <c r="M17" s="80"/>
      <c r="N17" s="11">
        <f>SUM(H17:M17)</f>
        <v>0</v>
      </c>
    </row>
    <row r="18" spans="2:14">
      <c r="B18" s="56"/>
      <c r="C18" s="26"/>
      <c r="D18" s="1"/>
      <c r="E18" s="1"/>
      <c r="F18" s="1"/>
      <c r="G18" s="1"/>
      <c r="H18" s="1"/>
      <c r="I18" s="1"/>
      <c r="J18" s="1"/>
      <c r="K18" s="1"/>
      <c r="L18" s="1"/>
      <c r="M18" s="80"/>
      <c r="N18" s="56">
        <f>SUM(H18:M18)</f>
        <v>0</v>
      </c>
    </row>
    <row r="19" spans="2:14">
      <c r="B19" s="85"/>
      <c r="C19" s="26"/>
      <c r="D19" s="1"/>
      <c r="E19" s="1"/>
      <c r="F19" s="1"/>
      <c r="G19" s="1"/>
      <c r="H19" s="1"/>
      <c r="I19" s="1"/>
      <c r="J19" s="1"/>
      <c r="K19" s="1"/>
      <c r="L19" s="1"/>
      <c r="M19" s="80"/>
      <c r="N19" s="56">
        <f>SUM(H19:M19)</f>
        <v>0</v>
      </c>
    </row>
    <row r="20" spans="2:14">
      <c r="B20" s="56"/>
      <c r="C20" s="26"/>
      <c r="D20" s="1"/>
      <c r="E20" s="1"/>
      <c r="F20" s="1"/>
      <c r="G20" s="1"/>
      <c r="H20" s="1"/>
      <c r="I20" s="1"/>
      <c r="J20" s="1"/>
      <c r="K20" s="1"/>
      <c r="L20" s="1"/>
      <c r="M20" s="80"/>
      <c r="N20" s="11">
        <f t="shared" ref="N20:N21" si="0">SUM(H20:M20)</f>
        <v>0</v>
      </c>
    </row>
    <row r="21" spans="2:14">
      <c r="B21" s="56"/>
      <c r="C21" s="26"/>
      <c r="D21" s="1"/>
      <c r="E21" s="1"/>
      <c r="F21" s="1"/>
      <c r="G21" s="1"/>
      <c r="H21" s="1"/>
      <c r="I21" s="1"/>
      <c r="J21" s="1"/>
      <c r="K21" s="1"/>
      <c r="L21" s="1"/>
      <c r="M21" s="80"/>
      <c r="N21" s="11">
        <f t="shared" si="0"/>
        <v>0</v>
      </c>
    </row>
    <row r="22" spans="2:14">
      <c r="B22" s="84"/>
      <c r="C22" s="26"/>
      <c r="D22" s="58"/>
      <c r="E22" s="58"/>
      <c r="F22" s="58"/>
      <c r="G22" s="58"/>
      <c r="H22" s="58"/>
      <c r="I22" s="58"/>
      <c r="J22" s="58"/>
      <c r="K22" s="58"/>
      <c r="L22" s="58"/>
      <c r="M22" s="57"/>
      <c r="N22" s="56">
        <f>SUM(H22:M22)</f>
        <v>0</v>
      </c>
    </row>
    <row r="23" spans="2:14">
      <c r="B23" s="56"/>
      <c r="C23" s="26"/>
      <c r="D23" s="1"/>
      <c r="E23" s="1"/>
      <c r="F23" s="1"/>
      <c r="G23" s="1"/>
      <c r="H23" s="1"/>
      <c r="I23" s="1"/>
      <c r="J23" s="1"/>
      <c r="K23" s="1"/>
      <c r="L23" s="1"/>
      <c r="M23" s="80"/>
      <c r="N23" s="11">
        <f>SUM(H23:M23)</f>
        <v>0</v>
      </c>
    </row>
    <row r="24" spans="2:14">
      <c r="B24" s="56"/>
      <c r="C24" s="26"/>
      <c r="D24" s="1"/>
      <c r="E24" s="1"/>
      <c r="F24" s="1"/>
      <c r="G24" s="1"/>
      <c r="H24" s="1"/>
      <c r="I24" s="1"/>
      <c r="J24" s="1"/>
      <c r="K24" s="1"/>
      <c r="L24" s="1"/>
      <c r="M24" s="80"/>
      <c r="N24" s="11">
        <f>SUM(H24:M24)</f>
        <v>0</v>
      </c>
    </row>
    <row r="25" spans="2:14">
      <c r="B25" s="86"/>
      <c r="C25" s="26"/>
      <c r="D25" s="1"/>
      <c r="E25" s="1"/>
      <c r="F25" s="1"/>
      <c r="G25" s="1"/>
      <c r="H25" s="1"/>
      <c r="I25" s="1"/>
      <c r="J25" s="1"/>
      <c r="K25" s="1"/>
      <c r="L25" s="1"/>
      <c r="M25" s="80"/>
      <c r="N25" s="11">
        <f>SUM(H25:M25)</f>
        <v>0</v>
      </c>
    </row>
    <row r="26" spans="2:14">
      <c r="B26" s="86"/>
      <c r="C26" s="26"/>
      <c r="D26" s="1"/>
      <c r="E26" s="1"/>
      <c r="F26" s="1"/>
      <c r="G26" s="1"/>
      <c r="H26" s="1"/>
      <c r="I26" s="1"/>
      <c r="J26" s="1"/>
      <c r="K26" s="1"/>
      <c r="L26" s="1"/>
      <c r="M26" s="80"/>
      <c r="N26" s="11">
        <f>SUM(H26:M26)</f>
        <v>0</v>
      </c>
    </row>
    <row r="27" spans="2:14">
      <c r="B27" s="8"/>
      <c r="C27" s="7"/>
      <c r="D27" s="1"/>
      <c r="E27" s="1"/>
      <c r="F27" s="1"/>
      <c r="G27" s="1"/>
      <c r="H27" s="1"/>
      <c r="I27" s="1"/>
      <c r="J27" s="1"/>
      <c r="K27" s="1"/>
      <c r="L27" s="1"/>
      <c r="M27" s="80"/>
      <c r="N27" s="11">
        <f>SUM(H27:M27)</f>
        <v>0</v>
      </c>
    </row>
    <row r="28" spans="2:14">
      <c r="B28" s="84"/>
      <c r="C28" s="26"/>
      <c r="D28" s="1"/>
      <c r="E28" s="1"/>
      <c r="F28" s="1"/>
      <c r="G28" s="1"/>
      <c r="H28" s="1"/>
      <c r="I28" s="1"/>
      <c r="J28" s="1"/>
      <c r="K28" s="1"/>
      <c r="L28" s="1"/>
      <c r="M28" s="80"/>
      <c r="N28" s="11">
        <f>SUM(H28:M28)</f>
        <v>0</v>
      </c>
    </row>
    <row r="29" spans="2:14">
      <c r="B29" s="56"/>
      <c r="C29" s="26"/>
      <c r="D29" s="1"/>
      <c r="E29" s="1"/>
      <c r="F29" s="1"/>
      <c r="G29" s="1"/>
      <c r="H29" s="1"/>
      <c r="I29" s="1"/>
      <c r="J29" s="1"/>
      <c r="K29" s="1"/>
      <c r="L29" s="1"/>
      <c r="M29" s="80"/>
      <c r="N29" s="11">
        <f>SUM(H29:M29)</f>
        <v>0</v>
      </c>
    </row>
    <row r="30" spans="2:14">
      <c r="B30" s="8"/>
      <c r="C30" s="7"/>
      <c r="D30" s="1"/>
      <c r="E30" s="1"/>
      <c r="F30" s="1"/>
      <c r="G30" s="1"/>
      <c r="H30" s="1"/>
      <c r="I30" s="1"/>
      <c r="J30" s="1"/>
      <c r="K30" s="1"/>
      <c r="L30" s="1"/>
      <c r="M30" s="80"/>
      <c r="N30" s="11">
        <f>SUM(H30:M30)</f>
        <v>0</v>
      </c>
    </row>
    <row r="31" spans="2:14">
      <c r="B31" s="84"/>
      <c r="C31" s="26"/>
      <c r="D31" s="1"/>
      <c r="E31" s="1"/>
      <c r="F31" s="1"/>
      <c r="G31" s="1"/>
      <c r="H31" s="1"/>
      <c r="I31" s="1"/>
      <c r="J31" s="1"/>
      <c r="K31" s="1"/>
      <c r="L31" s="1"/>
      <c r="M31" s="80"/>
      <c r="N31" s="11">
        <f>SUM(H31:M31)</f>
        <v>0</v>
      </c>
    </row>
    <row r="32" spans="2:14">
      <c r="B32" s="56"/>
      <c r="C32" s="26"/>
      <c r="D32" s="1"/>
      <c r="E32" s="1"/>
      <c r="F32" s="1"/>
      <c r="G32" s="1"/>
      <c r="H32" s="1"/>
      <c r="I32" s="1"/>
      <c r="J32" s="1"/>
      <c r="K32" s="1"/>
      <c r="L32" s="1"/>
      <c r="M32" s="80"/>
      <c r="N32" s="11">
        <f>SUM(H32:M32)</f>
        <v>0</v>
      </c>
    </row>
    <row r="33" spans="2:14">
      <c r="B33" s="56"/>
      <c r="C33" s="26"/>
      <c r="D33" s="1"/>
      <c r="E33" s="1"/>
      <c r="F33" s="1"/>
      <c r="G33" s="1"/>
      <c r="H33" s="1"/>
      <c r="I33" s="1"/>
      <c r="J33" s="1"/>
      <c r="K33" s="1"/>
      <c r="L33" s="1"/>
      <c r="M33" s="80"/>
      <c r="N33" s="11">
        <f>SUM(H33:M33)</f>
        <v>0</v>
      </c>
    </row>
    <row r="34" spans="2:14">
      <c r="B34" s="56"/>
      <c r="C34" s="26"/>
      <c r="D34" s="1"/>
      <c r="E34" s="1"/>
      <c r="F34" s="1"/>
      <c r="G34" s="1"/>
      <c r="H34" s="1"/>
      <c r="I34" s="1"/>
      <c r="J34" s="1"/>
      <c r="K34" s="1"/>
      <c r="L34" s="1"/>
      <c r="M34" s="80"/>
      <c r="N34" s="11">
        <f>SUM(H34:M34)</f>
        <v>0</v>
      </c>
    </row>
    <row r="35" spans="2:14">
      <c r="B35" s="56"/>
      <c r="C35" s="26"/>
      <c r="D35" s="1"/>
      <c r="E35" s="1"/>
      <c r="F35" s="1"/>
      <c r="G35" s="1"/>
      <c r="H35" s="1"/>
      <c r="I35" s="1"/>
      <c r="J35" s="1"/>
      <c r="K35" s="1"/>
      <c r="L35" s="1"/>
      <c r="M35" s="80"/>
      <c r="N35" s="11">
        <f>SUM(H35:M35)</f>
        <v>0</v>
      </c>
    </row>
    <row r="36" spans="2:14">
      <c r="B36" s="56"/>
      <c r="C36" s="26"/>
      <c r="D36" s="1"/>
      <c r="E36" s="1"/>
      <c r="F36" s="1"/>
      <c r="G36" s="1"/>
      <c r="H36" s="1"/>
      <c r="I36" s="1"/>
      <c r="J36" s="1"/>
      <c r="K36" s="1"/>
      <c r="L36" s="1"/>
      <c r="M36" s="80"/>
      <c r="N36" s="11">
        <f>SUM(H36:M36)</f>
        <v>0</v>
      </c>
    </row>
    <row r="37" spans="2:14">
      <c r="B37" s="84"/>
      <c r="C37" s="26"/>
      <c r="D37" s="1"/>
      <c r="E37" s="1"/>
      <c r="F37" s="1"/>
      <c r="G37" s="1"/>
      <c r="H37" s="1"/>
      <c r="I37" s="1"/>
      <c r="J37" s="1"/>
      <c r="K37" s="1"/>
      <c r="L37" s="1"/>
      <c r="M37" s="80"/>
      <c r="N37" s="11">
        <f>SUM(H37:M37)</f>
        <v>0</v>
      </c>
    </row>
    <row r="38" spans="2:14">
      <c r="B38" s="56"/>
      <c r="C38" s="26"/>
      <c r="D38" s="1"/>
      <c r="E38" s="1"/>
      <c r="F38" s="1"/>
      <c r="G38" s="1"/>
      <c r="H38" s="1"/>
      <c r="I38" s="1"/>
      <c r="J38" s="1"/>
      <c r="K38" s="1"/>
      <c r="L38" s="1"/>
      <c r="M38" s="80"/>
      <c r="N38" s="11">
        <f>SUM(H38:M38)</f>
        <v>0</v>
      </c>
    </row>
    <row r="39" spans="2:14">
      <c r="B39" s="56"/>
      <c r="C39" s="26"/>
      <c r="D39" s="1"/>
      <c r="E39" s="1"/>
      <c r="F39" s="1"/>
      <c r="G39" s="1"/>
      <c r="H39" s="1"/>
      <c r="I39" s="1"/>
      <c r="J39" s="1"/>
      <c r="K39" s="1"/>
      <c r="L39" s="1"/>
      <c r="M39" s="80"/>
      <c r="N39" s="11">
        <f>SUM(H39:M39)</f>
        <v>0</v>
      </c>
    </row>
    <row r="40" spans="2:14">
      <c r="B40" s="8"/>
      <c r="C40" s="28"/>
    </row>
    <row r="41" spans="2:14">
      <c r="C41" s="27"/>
      <c r="M41" t="s">
        <v>5</v>
      </c>
      <c r="N41" s="17">
        <f>SUM(N5:N40)</f>
        <v>0</v>
      </c>
    </row>
    <row r="42" spans="2:14">
      <c r="C42" s="27"/>
    </row>
    <row r="43" spans="2:14">
      <c r="C43" s="27"/>
    </row>
    <row r="44" spans="2:14">
      <c r="C44" s="27"/>
    </row>
    <row r="45" spans="2:14">
      <c r="C45" s="27"/>
    </row>
    <row r="46" spans="2:14">
      <c r="C46" s="27"/>
    </row>
    <row r="47" spans="2:14">
      <c r="C47" s="27"/>
    </row>
    <row r="48" spans="2:14">
      <c r="C48" s="27"/>
    </row>
    <row r="49" spans="3:3">
      <c r="C49" s="27"/>
    </row>
    <row r="50" spans="3:3">
      <c r="C50" s="27"/>
    </row>
    <row r="51" spans="3:3">
      <c r="C51" s="27"/>
    </row>
    <row r="52" spans="3:3">
      <c r="C52" s="2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B450F-F8E7-45C9-9C2C-71F0E42E1F9B}">
  <dimension ref="A1:C16"/>
  <sheetViews>
    <sheetView workbookViewId="0">
      <selection activeCell="C17" sqref="C17"/>
    </sheetView>
  </sheetViews>
  <sheetFormatPr defaultRowHeight="15"/>
  <sheetData>
    <row r="1" spans="1:3">
      <c r="A1" t="s">
        <v>195</v>
      </c>
    </row>
    <row r="3" spans="1:3">
      <c r="B3" t="s">
        <v>196</v>
      </c>
    </row>
    <row r="5" spans="1:3">
      <c r="B5" t="s">
        <v>197</v>
      </c>
      <c r="C5">
        <f>'COLE 43'!N40</f>
        <v>2347</v>
      </c>
    </row>
    <row r="6" spans="1:3">
      <c r="B6" t="s">
        <v>198</v>
      </c>
      <c r="C6">
        <f>'COLE 42'!L83</f>
        <v>1692</v>
      </c>
    </row>
    <row r="7" spans="1:3">
      <c r="B7" t="s">
        <v>199</v>
      </c>
      <c r="C7">
        <f>'COLE 41'!L24</f>
        <v>186</v>
      </c>
    </row>
    <row r="8" spans="1:3">
      <c r="B8" t="s">
        <v>200</v>
      </c>
      <c r="C8">
        <f>'COLE 40'!L52</f>
        <v>730</v>
      </c>
    </row>
    <row r="9" spans="1:3">
      <c r="B9" t="s">
        <v>201</v>
      </c>
      <c r="C9">
        <f>cole39!L19</f>
        <v>289</v>
      </c>
    </row>
    <row r="10" spans="1:3">
      <c r="B10" t="s">
        <v>202</v>
      </c>
      <c r="C10">
        <f>'cole 38'!L22</f>
        <v>588</v>
      </c>
    </row>
    <row r="11" spans="1:3">
      <c r="B11" t="s">
        <v>203</v>
      </c>
      <c r="C11">
        <f>'cole 37'!L34</f>
        <v>375</v>
      </c>
    </row>
    <row r="16" spans="1:3">
      <c r="C16">
        <f>SUM(C5:C15)</f>
        <v>6207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F54EF-1C4E-4303-AAC9-B10BE11AC9B0}"/>
</file>

<file path=customXml/itemProps2.xml><?xml version="1.0" encoding="utf-8"?>
<ds:datastoreItem xmlns:ds="http://schemas.openxmlformats.org/officeDocument/2006/customXml" ds:itemID="{1F435606-CC94-4D7E-AC45-9A1C80658731}"/>
</file>

<file path=customXml/itemProps3.xml><?xml version="1.0" encoding="utf-8"?>
<ds:datastoreItem xmlns:ds="http://schemas.openxmlformats.org/officeDocument/2006/customXml" ds:itemID="{D5440EA7-5A09-4509-9BD3-E23F1F6F3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2026-07-10T13:47:13Z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