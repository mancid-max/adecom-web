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202300"/>
  <mc:AlternateContent xmlns:mc="http://schemas.openxmlformats.org/markup-compatibility/2006">
    <mc:Choice Requires="x15">
      <x15ac:absPath xmlns:x15ac="http://schemas.microsoft.com/office/spreadsheetml/2010/11/ac" url="https://mohicanojeans-my.sharepoint.com/personal/recursoshumanos_mohicanojeans_onmicrosoft_com/Documents/Documentos/Mohicano/Producción/Metas 2025/"/>
    </mc:Choice>
  </mc:AlternateContent>
  <xr:revisionPtr revIDLastSave="2336" documentId="13_ncr:1_{5F89FD43-1A1F-4B25-99B2-10502DAF324C}" xr6:coauthVersionLast="47" xr6:coauthVersionMax="47" xr10:uidLastSave="{4EE66CED-662B-4B5F-A2D7-A6D93A0DAE00}"/>
  <bookViews>
    <workbookView xWindow="-108" yWindow="-108" windowWidth="23256" windowHeight="12576" firstSheet="11" activeTab="13" xr2:uid="{7EA7D481-2693-4B25-8342-BD9E19673431}"/>
  </bookViews>
  <sheets>
    <sheet name="Seguimiento temas Adecom" sheetId="3" r:id="rId1"/>
    <sheet name="ENE-25" sheetId="1" r:id="rId2"/>
    <sheet name="FEB-25" sheetId="2" r:id="rId3"/>
    <sheet name="MAR-25" sheetId="5" r:id="rId4"/>
    <sheet name="ABR-25" sheetId="4" r:id="rId5"/>
    <sheet name="MAY-25" sheetId="7" r:id="rId6"/>
    <sheet name="JUN-25" sheetId="10" r:id="rId7"/>
    <sheet name="JUL-25" sheetId="11" r:id="rId8"/>
    <sheet name="AGO-25" sheetId="12" r:id="rId9"/>
    <sheet name="SEP-25" sheetId="13" r:id="rId10"/>
    <sheet name="OCT-25" sheetId="14" r:id="rId11"/>
    <sheet name="NOV-25" sheetId="15" r:id="rId12"/>
    <sheet name="NOV-25 SOLO PRODUCCION" sheetId="17" r:id="rId13"/>
    <sheet name="DIC-25 SOLO PRODUCCION" sheetId="18" r:id="rId14"/>
    <sheet name="Hoja2" sheetId="16" r:id="rId15"/>
    <sheet name="REPROCESOS" sheetId="6" r:id="rId16"/>
    <sheet name="Movtos Automáticos" sheetId="8" r:id="rId17"/>
    <sheet name="Hoja1" sheetId="9" r:id="rId18"/>
  </sheets>
  <definedNames>
    <definedName name="_xlnm._FilterDatabase" localSheetId="0" hidden="1">'Seguimiento temas Adecom'!$A$1:$H$1</definedName>
    <definedName name="_xlnm.Print_Area" localSheetId="7">'JUL-25'!$A$1:$U$44</definedName>
    <definedName name="_xlnm.Print_Area" localSheetId="3">'MAR-25'!$A$1:$R$47</definedName>
    <definedName name="_xlnm.Print_Area" localSheetId="16">'Movtos Automáticos'!$A$69:$J$102</definedName>
    <definedName name="_xlnm.Print_Area" localSheetId="15">REPROCESOS!$A$1:$J$44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8" l="1"/>
  <c r="D4" i="18"/>
  <c r="M3" i="18"/>
  <c r="L3" i="18"/>
  <c r="J3" i="18"/>
  <c r="I3" i="18"/>
  <c r="H3" i="18"/>
  <c r="G3" i="18"/>
  <c r="F3" i="18"/>
  <c r="E3" i="18"/>
  <c r="D3" i="18"/>
  <c r="O11" i="18"/>
  <c r="N11" i="18"/>
  <c r="M11" i="18"/>
  <c r="L11" i="18"/>
  <c r="K11" i="18"/>
  <c r="J11" i="18"/>
  <c r="I11" i="18"/>
  <c r="H11" i="18"/>
  <c r="G11" i="18"/>
  <c r="F11" i="18"/>
  <c r="E11" i="18"/>
  <c r="D11" i="18"/>
  <c r="O39" i="18"/>
  <c r="N39" i="18"/>
  <c r="M39" i="18"/>
  <c r="L39" i="18"/>
  <c r="K39" i="18"/>
  <c r="J39" i="18"/>
  <c r="I39" i="18"/>
  <c r="H39" i="18"/>
  <c r="G39" i="18"/>
  <c r="F39" i="18"/>
  <c r="E39" i="18"/>
  <c r="O35" i="18"/>
  <c r="N35" i="18"/>
  <c r="M35" i="18"/>
  <c r="L35" i="18"/>
  <c r="K35" i="18"/>
  <c r="J35" i="18"/>
  <c r="I35" i="18"/>
  <c r="H35" i="18"/>
  <c r="G35" i="18"/>
  <c r="F35" i="18"/>
  <c r="D35" i="18"/>
  <c r="E35" i="18"/>
  <c r="O27" i="18"/>
  <c r="N27" i="18"/>
  <c r="M27" i="18"/>
  <c r="L27" i="18"/>
  <c r="K27" i="18"/>
  <c r="J27" i="18"/>
  <c r="I27" i="18"/>
  <c r="H27" i="18"/>
  <c r="G27" i="18"/>
  <c r="F27" i="18"/>
  <c r="D27" i="18"/>
  <c r="E27" i="18"/>
  <c r="O19" i="18"/>
  <c r="N19" i="18"/>
  <c r="M19" i="18"/>
  <c r="L19" i="18"/>
  <c r="K19" i="18"/>
  <c r="J19" i="18"/>
  <c r="I19" i="18"/>
  <c r="H19" i="18"/>
  <c r="G19" i="18"/>
  <c r="F19" i="18"/>
  <c r="E19" i="18"/>
  <c r="D19" i="18"/>
  <c r="M1" i="18"/>
  <c r="O1" i="18" s="1"/>
  <c r="E34" i="17"/>
  <c r="D35" i="17"/>
  <c r="M38" i="17"/>
  <c r="L38" i="17"/>
  <c r="J38" i="17"/>
  <c r="H38" i="17"/>
  <c r="D32" i="17"/>
  <c r="I40" i="18" l="1"/>
  <c r="I45" i="18" s="1"/>
  <c r="I46" i="18" s="1"/>
  <c r="N40" i="18"/>
  <c r="D39" i="18"/>
  <c r="D40" i="18" s="1"/>
  <c r="L40" i="18"/>
  <c r="L43" i="18" s="1"/>
  <c r="J40" i="18"/>
  <c r="J42" i="18" s="1"/>
  <c r="M40" i="18"/>
  <c r="M45" i="18" s="1"/>
  <c r="M46" i="18" s="1"/>
  <c r="K40" i="18"/>
  <c r="F40" i="18"/>
  <c r="F44" i="18" s="1"/>
  <c r="O40" i="18"/>
  <c r="H40" i="18"/>
  <c r="H44" i="18" s="1"/>
  <c r="G40" i="18"/>
  <c r="G43" i="18" s="1"/>
  <c r="E40" i="18"/>
  <c r="E31" i="17"/>
  <c r="D31" i="17"/>
  <c r="D38" i="17" s="1"/>
  <c r="D3" i="17"/>
  <c r="E3" i="17"/>
  <c r="F3" i="17"/>
  <c r="G3" i="17"/>
  <c r="H3" i="17"/>
  <c r="I3" i="17"/>
  <c r="J3" i="17"/>
  <c r="M3" i="17"/>
  <c r="L3" i="17"/>
  <c r="O38" i="17"/>
  <c r="N38" i="17"/>
  <c r="K38" i="17"/>
  <c r="I38" i="17"/>
  <c r="G38" i="17"/>
  <c r="F38" i="17"/>
  <c r="E38" i="17"/>
  <c r="O30" i="17"/>
  <c r="N30" i="17"/>
  <c r="M30" i="17"/>
  <c r="L30" i="17"/>
  <c r="K30" i="17"/>
  <c r="I30" i="17"/>
  <c r="H30" i="17"/>
  <c r="G30" i="17"/>
  <c r="F30" i="17"/>
  <c r="D30" i="17"/>
  <c r="J24" i="17"/>
  <c r="J30" i="17" s="1"/>
  <c r="E23" i="17"/>
  <c r="E30" i="17" s="1"/>
  <c r="O22" i="17"/>
  <c r="N22" i="17"/>
  <c r="M22" i="17"/>
  <c r="L22" i="17"/>
  <c r="K22" i="17"/>
  <c r="J22" i="17"/>
  <c r="I22" i="17"/>
  <c r="H22" i="17"/>
  <c r="G22" i="17"/>
  <c r="F22" i="17"/>
  <c r="D22" i="17"/>
  <c r="E16" i="17"/>
  <c r="E22" i="17" s="1"/>
  <c r="O14" i="17"/>
  <c r="N14" i="17"/>
  <c r="M14" i="17"/>
  <c r="L14" i="17"/>
  <c r="K14" i="17"/>
  <c r="J14" i="17"/>
  <c r="I14" i="17"/>
  <c r="H14" i="17"/>
  <c r="G14" i="17"/>
  <c r="F14" i="17"/>
  <c r="E14" i="17"/>
  <c r="D7" i="17"/>
  <c r="D14" i="17" s="1"/>
  <c r="O6" i="17"/>
  <c r="N6" i="17"/>
  <c r="M6" i="17"/>
  <c r="L6" i="17"/>
  <c r="K6" i="17"/>
  <c r="J6" i="17"/>
  <c r="I6" i="17"/>
  <c r="H6" i="17"/>
  <c r="G6" i="17"/>
  <c r="F6" i="17"/>
  <c r="E6" i="17"/>
  <c r="D4" i="17"/>
  <c r="D6" i="17" s="1"/>
  <c r="M1" i="17"/>
  <c r="O1" i="17" s="1"/>
  <c r="O25" i="15"/>
  <c r="J41" i="16"/>
  <c r="K41" i="16"/>
  <c r="M19" i="15"/>
  <c r="C41" i="16"/>
  <c r="D41" i="16"/>
  <c r="E41" i="16"/>
  <c r="F41" i="16"/>
  <c r="G41" i="16"/>
  <c r="I41" i="16"/>
  <c r="H41" i="16"/>
  <c r="M44" i="18" l="1"/>
  <c r="L44" i="18"/>
  <c r="I42" i="18"/>
  <c r="I44" i="18"/>
  <c r="I43" i="18"/>
  <c r="M43" i="18"/>
  <c r="H43" i="18"/>
  <c r="J43" i="18"/>
  <c r="G45" i="18"/>
  <c r="G46" i="18" s="1"/>
  <c r="J45" i="18"/>
  <c r="J46" i="18" s="1"/>
  <c r="G44" i="18"/>
  <c r="J44" i="18"/>
  <c r="H42" i="18"/>
  <c r="H45" i="18"/>
  <c r="H46" i="18" s="1"/>
  <c r="F42" i="18"/>
  <c r="L45" i="18"/>
  <c r="L46" i="18" s="1"/>
  <c r="G42" i="18"/>
  <c r="F43" i="18"/>
  <c r="L42" i="18"/>
  <c r="F45" i="18"/>
  <c r="F46" i="18" s="1"/>
  <c r="E45" i="18"/>
  <c r="E46" i="18" s="1"/>
  <c r="E44" i="18"/>
  <c r="E43" i="18"/>
  <c r="E42" i="18"/>
  <c r="D43" i="18"/>
  <c r="D45" i="18"/>
  <c r="D46" i="18" s="1"/>
  <c r="D42" i="18"/>
  <c r="D44" i="18"/>
  <c r="H39" i="17"/>
  <c r="H44" i="17" s="1"/>
  <c r="H45" i="17" s="1"/>
  <c r="M39" i="17"/>
  <c r="M44" i="17" s="1"/>
  <c r="M45" i="17" s="1"/>
  <c r="D39" i="17"/>
  <c r="D44" i="17" s="1"/>
  <c r="D45" i="17" s="1"/>
  <c r="J39" i="17"/>
  <c r="J43" i="17" s="1"/>
  <c r="F39" i="17"/>
  <c r="F43" i="17" s="1"/>
  <c r="L39" i="17"/>
  <c r="L43" i="17" s="1"/>
  <c r="K39" i="17"/>
  <c r="N39" i="17"/>
  <c r="G39" i="17"/>
  <c r="G43" i="17" s="1"/>
  <c r="E39" i="17"/>
  <c r="E44" i="17" s="1"/>
  <c r="E45" i="17" s="1"/>
  <c r="I39" i="17"/>
  <c r="I43" i="17" s="1"/>
  <c r="O39" i="17"/>
  <c r="F24" i="15"/>
  <c r="F31" i="15" s="1"/>
  <c r="S1" i="15"/>
  <c r="U1" i="15" s="1"/>
  <c r="F17" i="15"/>
  <c r="D8" i="15"/>
  <c r="D39" i="15"/>
  <c r="D5" i="15"/>
  <c r="D7" i="15" s="1"/>
  <c r="V39" i="15"/>
  <c r="U39" i="15"/>
  <c r="T39" i="15"/>
  <c r="S39" i="15"/>
  <c r="R39" i="15"/>
  <c r="Q39" i="15"/>
  <c r="P39" i="15"/>
  <c r="O39" i="15"/>
  <c r="N39" i="15"/>
  <c r="M39" i="15"/>
  <c r="L39" i="15"/>
  <c r="K39" i="15"/>
  <c r="J39" i="15"/>
  <c r="I39" i="15"/>
  <c r="H39" i="15"/>
  <c r="G39" i="15"/>
  <c r="F39" i="15"/>
  <c r="E39" i="15"/>
  <c r="V31" i="15"/>
  <c r="U31" i="15"/>
  <c r="T31" i="15"/>
  <c r="S31" i="15"/>
  <c r="R31" i="15"/>
  <c r="Q31" i="15"/>
  <c r="P31" i="15"/>
  <c r="O31" i="15"/>
  <c r="N31" i="15"/>
  <c r="M31" i="15"/>
  <c r="L31" i="15"/>
  <c r="K31" i="15"/>
  <c r="J31" i="15"/>
  <c r="I31" i="15"/>
  <c r="H31" i="15"/>
  <c r="G31" i="15"/>
  <c r="E31" i="15"/>
  <c r="D31" i="15"/>
  <c r="V23" i="15"/>
  <c r="U23" i="15"/>
  <c r="T23" i="15"/>
  <c r="S23" i="15"/>
  <c r="R23" i="15"/>
  <c r="Q23" i="15"/>
  <c r="P23" i="15"/>
  <c r="O23" i="15"/>
  <c r="N23" i="15"/>
  <c r="M23" i="15"/>
  <c r="L23" i="15"/>
  <c r="K23" i="15"/>
  <c r="J23" i="15"/>
  <c r="I23" i="15"/>
  <c r="H23" i="15"/>
  <c r="G23" i="15"/>
  <c r="F23" i="15"/>
  <c r="E23" i="15"/>
  <c r="D23" i="15"/>
  <c r="V15" i="15"/>
  <c r="U15" i="15"/>
  <c r="T15" i="15"/>
  <c r="S15" i="15"/>
  <c r="R15" i="15"/>
  <c r="Q15" i="15"/>
  <c r="P15" i="15"/>
  <c r="O15" i="15"/>
  <c r="N15" i="15"/>
  <c r="M15" i="15"/>
  <c r="L15" i="15"/>
  <c r="K15" i="15"/>
  <c r="J15" i="15"/>
  <c r="I15" i="15"/>
  <c r="H15" i="15"/>
  <c r="G15" i="15"/>
  <c r="F15" i="15"/>
  <c r="E15" i="15"/>
  <c r="D15" i="15"/>
  <c r="V7" i="15"/>
  <c r="U7" i="15"/>
  <c r="T7" i="15"/>
  <c r="S7" i="15"/>
  <c r="R7" i="15"/>
  <c r="Q7" i="15"/>
  <c r="P7" i="15"/>
  <c r="O7" i="15"/>
  <c r="N7" i="15"/>
  <c r="M7" i="15"/>
  <c r="L7" i="15"/>
  <c r="K7" i="15"/>
  <c r="J7" i="15"/>
  <c r="I7" i="15"/>
  <c r="H7" i="15"/>
  <c r="G7" i="15"/>
  <c r="F7" i="15"/>
  <c r="E7" i="15"/>
  <c r="F29" i="14"/>
  <c r="F34" i="14" s="1"/>
  <c r="V40" i="14"/>
  <c r="U40" i="14"/>
  <c r="T40" i="14"/>
  <c r="S40" i="14"/>
  <c r="R40" i="14"/>
  <c r="Q40" i="14"/>
  <c r="P40" i="14"/>
  <c r="O40" i="14"/>
  <c r="N40" i="14"/>
  <c r="M40" i="14"/>
  <c r="L40" i="14"/>
  <c r="K40" i="14"/>
  <c r="J40" i="14"/>
  <c r="I40" i="14"/>
  <c r="H40" i="14"/>
  <c r="G40" i="14"/>
  <c r="F40" i="14"/>
  <c r="E40" i="14"/>
  <c r="D40" i="14"/>
  <c r="E44" i="14"/>
  <c r="V34" i="14"/>
  <c r="U34" i="14"/>
  <c r="T34" i="14"/>
  <c r="S34" i="14"/>
  <c r="R34" i="14"/>
  <c r="Q34" i="14"/>
  <c r="P34" i="14"/>
  <c r="O34" i="14"/>
  <c r="N34" i="14"/>
  <c r="M34" i="14"/>
  <c r="L34" i="14"/>
  <c r="K34" i="14"/>
  <c r="J34" i="14"/>
  <c r="I34" i="14"/>
  <c r="H34" i="14"/>
  <c r="G34" i="14"/>
  <c r="E34" i="14"/>
  <c r="D34" i="14"/>
  <c r="V26" i="14"/>
  <c r="U26" i="14"/>
  <c r="T26" i="14"/>
  <c r="S26" i="14"/>
  <c r="R26" i="14"/>
  <c r="Q26" i="14"/>
  <c r="P26" i="14"/>
  <c r="O26" i="14"/>
  <c r="N26" i="14"/>
  <c r="M26" i="14"/>
  <c r="L26" i="14"/>
  <c r="K26" i="14"/>
  <c r="J26" i="14"/>
  <c r="I26" i="14"/>
  <c r="H26" i="14"/>
  <c r="G26" i="14"/>
  <c r="F26" i="14"/>
  <c r="E26" i="14"/>
  <c r="D26" i="14"/>
  <c r="V18" i="14"/>
  <c r="U18" i="14"/>
  <c r="T18" i="14"/>
  <c r="S18" i="14"/>
  <c r="R18" i="14"/>
  <c r="Q18" i="14"/>
  <c r="P18" i="14"/>
  <c r="O18" i="14"/>
  <c r="N18" i="14"/>
  <c r="M18" i="14"/>
  <c r="L18" i="14"/>
  <c r="K18" i="14"/>
  <c r="J18" i="14"/>
  <c r="I18" i="14"/>
  <c r="H18" i="14"/>
  <c r="G18" i="14"/>
  <c r="F18" i="14"/>
  <c r="E18" i="14"/>
  <c r="D18" i="14"/>
  <c r="V10" i="14"/>
  <c r="U10" i="14"/>
  <c r="T10" i="14"/>
  <c r="S10" i="14"/>
  <c r="R10" i="14"/>
  <c r="Q10" i="14"/>
  <c r="P10" i="14"/>
  <c r="O10" i="14"/>
  <c r="N10" i="14"/>
  <c r="M10" i="14"/>
  <c r="L10" i="14"/>
  <c r="K10" i="14"/>
  <c r="J10" i="14"/>
  <c r="I10" i="14"/>
  <c r="H10" i="14"/>
  <c r="G10" i="14"/>
  <c r="F10" i="14"/>
  <c r="E10" i="14"/>
  <c r="D10" i="14"/>
  <c r="F31" i="13"/>
  <c r="V12" i="13"/>
  <c r="U12" i="13"/>
  <c r="T12" i="13"/>
  <c r="S12" i="13"/>
  <c r="R12" i="13"/>
  <c r="Q12" i="13"/>
  <c r="P12" i="13"/>
  <c r="O12" i="13"/>
  <c r="N12" i="13"/>
  <c r="M12" i="13"/>
  <c r="L12" i="13"/>
  <c r="K12" i="13"/>
  <c r="J12" i="13"/>
  <c r="I12" i="13"/>
  <c r="H12" i="13"/>
  <c r="G12" i="13"/>
  <c r="F12" i="13"/>
  <c r="E12" i="13"/>
  <c r="D12" i="13"/>
  <c r="E43" i="13"/>
  <c r="U39" i="13"/>
  <c r="T39" i="13"/>
  <c r="S39" i="13"/>
  <c r="R39" i="13"/>
  <c r="Q39" i="13"/>
  <c r="P39" i="13"/>
  <c r="O39" i="13"/>
  <c r="N39" i="13"/>
  <c r="M39" i="13"/>
  <c r="L39" i="13"/>
  <c r="K39" i="13"/>
  <c r="J39" i="13"/>
  <c r="I39" i="13"/>
  <c r="H39" i="13"/>
  <c r="G39" i="13"/>
  <c r="F39" i="13"/>
  <c r="D39" i="13"/>
  <c r="V39" i="13"/>
  <c r="U36" i="13"/>
  <c r="S36" i="13"/>
  <c r="R36" i="13"/>
  <c r="Q36" i="13"/>
  <c r="P36" i="13"/>
  <c r="O36" i="13"/>
  <c r="N36" i="13"/>
  <c r="M36" i="13"/>
  <c r="L36" i="13"/>
  <c r="K36" i="13"/>
  <c r="J36" i="13"/>
  <c r="I36" i="13"/>
  <c r="H36" i="13"/>
  <c r="G36" i="13"/>
  <c r="E36" i="13"/>
  <c r="D36" i="13"/>
  <c r="F36" i="13"/>
  <c r="V36" i="13"/>
  <c r="U28" i="13"/>
  <c r="S28" i="13"/>
  <c r="R28" i="13"/>
  <c r="Q28" i="13"/>
  <c r="P28" i="13"/>
  <c r="N28" i="13"/>
  <c r="M28" i="13"/>
  <c r="K28" i="13"/>
  <c r="I28" i="13"/>
  <c r="H28" i="13"/>
  <c r="G28" i="13"/>
  <c r="F28" i="13"/>
  <c r="E28" i="13"/>
  <c r="O28" i="13"/>
  <c r="L28" i="13"/>
  <c r="J28" i="13"/>
  <c r="D28" i="13"/>
  <c r="U20" i="13"/>
  <c r="S20" i="13"/>
  <c r="R20" i="13"/>
  <c r="Q20" i="13"/>
  <c r="P20" i="13"/>
  <c r="N20" i="13"/>
  <c r="M20" i="13"/>
  <c r="L20" i="13"/>
  <c r="K20" i="13"/>
  <c r="I20" i="13"/>
  <c r="H20" i="13"/>
  <c r="G20" i="13"/>
  <c r="F20" i="13"/>
  <c r="E20" i="13"/>
  <c r="D20" i="13"/>
  <c r="O20" i="13"/>
  <c r="J20" i="13"/>
  <c r="E44" i="12"/>
  <c r="AB40" i="12"/>
  <c r="Z40" i="12"/>
  <c r="U40" i="12"/>
  <c r="T40" i="12"/>
  <c r="S40" i="12"/>
  <c r="R40" i="12"/>
  <c r="Q40" i="12"/>
  <c r="P40" i="12"/>
  <c r="O40" i="12"/>
  <c r="N40" i="12"/>
  <c r="M40" i="12"/>
  <c r="L40" i="12"/>
  <c r="K40" i="12"/>
  <c r="J40" i="12"/>
  <c r="I40" i="12"/>
  <c r="H40" i="12"/>
  <c r="G40" i="12"/>
  <c r="F40" i="12"/>
  <c r="D40" i="12"/>
  <c r="AB36" i="12"/>
  <c r="V36" i="12" s="1"/>
  <c r="Z36" i="12"/>
  <c r="AB35" i="12"/>
  <c r="V35" i="12" s="1"/>
  <c r="Z35" i="12"/>
  <c r="AB34" i="12"/>
  <c r="Z34" i="12"/>
  <c r="AB33" i="12"/>
  <c r="V33" i="12" s="1"/>
  <c r="Z33" i="12"/>
  <c r="AB32" i="12"/>
  <c r="Z32" i="12"/>
  <c r="U32" i="12"/>
  <c r="S32" i="12"/>
  <c r="R32" i="12"/>
  <c r="Q32" i="12"/>
  <c r="P32" i="12"/>
  <c r="O32" i="12"/>
  <c r="N32" i="12"/>
  <c r="M32" i="12"/>
  <c r="L32" i="12"/>
  <c r="K32" i="12"/>
  <c r="J32" i="12"/>
  <c r="I32" i="12"/>
  <c r="H32" i="12"/>
  <c r="G32" i="12"/>
  <c r="E32" i="12"/>
  <c r="D32" i="12"/>
  <c r="AB31" i="12"/>
  <c r="V31" i="12" s="1"/>
  <c r="Z31" i="12"/>
  <c r="T31" i="12"/>
  <c r="AB30" i="12"/>
  <c r="V30" i="12" s="1"/>
  <c r="Z30" i="12"/>
  <c r="T30" i="12" s="1"/>
  <c r="T32" i="12" s="1"/>
  <c r="AB29" i="12"/>
  <c r="V29" i="12" s="1"/>
  <c r="Z29" i="12"/>
  <c r="AB28" i="12"/>
  <c r="V28" i="12" s="1"/>
  <c r="Z28" i="12"/>
  <c r="AB27" i="12"/>
  <c r="V27" i="12" s="1"/>
  <c r="Z27" i="12"/>
  <c r="F27" i="12"/>
  <c r="F32" i="12" s="1"/>
  <c r="AB26" i="12"/>
  <c r="Z26" i="12"/>
  <c r="V26" i="12"/>
  <c r="AB25" i="12"/>
  <c r="V25" i="12" s="1"/>
  <c r="Z25" i="12"/>
  <c r="AB24" i="12"/>
  <c r="Z24" i="12"/>
  <c r="U24" i="12"/>
  <c r="S24" i="12"/>
  <c r="R24" i="12"/>
  <c r="Q24" i="12"/>
  <c r="P24" i="12"/>
  <c r="O24" i="12"/>
  <c r="N24" i="12"/>
  <c r="M24" i="12"/>
  <c r="L24" i="12"/>
  <c r="K24" i="12"/>
  <c r="I24" i="12"/>
  <c r="H24" i="12"/>
  <c r="G24" i="12"/>
  <c r="E24" i="12"/>
  <c r="D24" i="12"/>
  <c r="AB23" i="12"/>
  <c r="V23" i="12" s="1"/>
  <c r="Z23" i="12"/>
  <c r="T23" i="12"/>
  <c r="AB22" i="12"/>
  <c r="Z22" i="12"/>
  <c r="V22" i="12"/>
  <c r="T22" i="12"/>
  <c r="AB21" i="12"/>
  <c r="Z21" i="12"/>
  <c r="AA20" i="12"/>
  <c r="AB20" i="12" s="1"/>
  <c r="V20" i="12" s="1"/>
  <c r="Z20" i="12"/>
  <c r="Y20" i="12"/>
  <c r="T20" i="12"/>
  <c r="AB19" i="12"/>
  <c r="Z19" i="12"/>
  <c r="T19" i="12" s="1"/>
  <c r="AB18" i="12"/>
  <c r="Z18" i="12"/>
  <c r="Y18" i="12"/>
  <c r="V18" i="12"/>
  <c r="T18" i="12"/>
  <c r="O18" i="12"/>
  <c r="F18" i="12"/>
  <c r="F24" i="12" s="1"/>
  <c r="D18" i="12"/>
  <c r="AB17" i="12"/>
  <c r="Z17" i="12"/>
  <c r="Y17" i="12"/>
  <c r="V17" i="12"/>
  <c r="V24" i="12" s="1"/>
  <c r="T17" i="12"/>
  <c r="L17" i="12"/>
  <c r="J17" i="12"/>
  <c r="J24" i="12" s="1"/>
  <c r="D17" i="12"/>
  <c r="AB16" i="12"/>
  <c r="Z16" i="12"/>
  <c r="U16" i="12"/>
  <c r="S16" i="12"/>
  <c r="R16" i="12"/>
  <c r="Q16" i="12"/>
  <c r="P16" i="12"/>
  <c r="O16" i="12"/>
  <c r="N16" i="12"/>
  <c r="M16" i="12"/>
  <c r="M41" i="12" s="1"/>
  <c r="L16" i="12"/>
  <c r="K16" i="12"/>
  <c r="I16" i="12"/>
  <c r="H16" i="12"/>
  <c r="G16" i="12"/>
  <c r="E16" i="12"/>
  <c r="D16" i="12"/>
  <c r="AB15" i="12"/>
  <c r="V15" i="12" s="1"/>
  <c r="Z15" i="12"/>
  <c r="T15" i="12" s="1"/>
  <c r="AB14" i="12"/>
  <c r="Z14" i="12"/>
  <c r="V14" i="12"/>
  <c r="T14" i="12"/>
  <c r="AB13" i="12"/>
  <c r="V13" i="12" s="1"/>
  <c r="Z13" i="12"/>
  <c r="T13" i="12" s="1"/>
  <c r="F13" i="12"/>
  <c r="F16" i="12" s="1"/>
  <c r="AB12" i="12"/>
  <c r="V12" i="12" s="1"/>
  <c r="Y12" i="12"/>
  <c r="Z12" i="12" s="1"/>
  <c r="T12" i="12" s="1"/>
  <c r="L12" i="12"/>
  <c r="D12" i="12"/>
  <c r="AB11" i="12"/>
  <c r="Y11" i="12"/>
  <c r="Z11" i="12" s="1"/>
  <c r="T11" i="12" s="1"/>
  <c r="V11" i="12"/>
  <c r="L11" i="12"/>
  <c r="AB10" i="12"/>
  <c r="Z10" i="12"/>
  <c r="V10" i="12"/>
  <c r="T10" i="12"/>
  <c r="D10" i="12"/>
  <c r="AB9" i="12"/>
  <c r="V9" i="12" s="1"/>
  <c r="Z9" i="12"/>
  <c r="T9" i="12" s="1"/>
  <c r="T16" i="12" s="1"/>
  <c r="O9" i="12"/>
  <c r="J9" i="12"/>
  <c r="J16" i="12" s="1"/>
  <c r="AB8" i="12"/>
  <c r="Z8" i="12"/>
  <c r="U8" i="12"/>
  <c r="U41" i="12" s="1"/>
  <c r="S8" i="12"/>
  <c r="S41" i="12" s="1"/>
  <c r="S43" i="12" s="1"/>
  <c r="S44" i="12" s="1"/>
  <c r="R8" i="12"/>
  <c r="R41" i="12" s="1"/>
  <c r="R43" i="12" s="1"/>
  <c r="Q8" i="12"/>
  <c r="Q41" i="12" s="1"/>
  <c r="P8" i="12"/>
  <c r="P41" i="12" s="1"/>
  <c r="O8" i="12"/>
  <c r="O41" i="12" s="1"/>
  <c r="O43" i="12" s="1"/>
  <c r="O44" i="12" s="1"/>
  <c r="N8" i="12"/>
  <c r="N41" i="12" s="1"/>
  <c r="M8" i="12"/>
  <c r="K8" i="12"/>
  <c r="K41" i="12" s="1"/>
  <c r="J8" i="12"/>
  <c r="J41" i="12" s="1"/>
  <c r="J43" i="12" s="1"/>
  <c r="J44" i="12" s="1"/>
  <c r="I8" i="12"/>
  <c r="I41" i="12" s="1"/>
  <c r="H8" i="12"/>
  <c r="H41" i="12" s="1"/>
  <c r="H43" i="12" s="1"/>
  <c r="H44" i="12" s="1"/>
  <c r="G8" i="12"/>
  <c r="G41" i="12" s="1"/>
  <c r="F8" i="12"/>
  <c r="E8" i="12"/>
  <c r="D8" i="12"/>
  <c r="D41" i="12" s="1"/>
  <c r="D43" i="12" s="1"/>
  <c r="D44" i="12" s="1"/>
  <c r="AB7" i="12"/>
  <c r="Z7" i="12"/>
  <c r="V7" i="12"/>
  <c r="T7" i="12"/>
  <c r="AB6" i="12"/>
  <c r="V6" i="12" s="1"/>
  <c r="V8" i="12" s="1"/>
  <c r="Z6" i="12"/>
  <c r="T6" i="12" s="1"/>
  <c r="AB5" i="12"/>
  <c r="Z5" i="12"/>
  <c r="V5" i="12"/>
  <c r="T5" i="12"/>
  <c r="T8" i="12" s="1"/>
  <c r="L5" i="12"/>
  <c r="L8" i="12" s="1"/>
  <c r="L41" i="12" s="1"/>
  <c r="L43" i="12" s="1"/>
  <c r="L44" i="12" s="1"/>
  <c r="J43" i="6"/>
  <c r="J30" i="6"/>
  <c r="J31" i="6"/>
  <c r="J32" i="6"/>
  <c r="J33" i="6"/>
  <c r="J34" i="6"/>
  <c r="J35" i="6"/>
  <c r="J36" i="6"/>
  <c r="J37" i="6"/>
  <c r="J38" i="6"/>
  <c r="J39" i="6"/>
  <c r="J40" i="6"/>
  <c r="J41" i="6"/>
  <c r="J42" i="6"/>
  <c r="J29" i="6"/>
  <c r="J44" i="6" s="1"/>
  <c r="C40" i="11"/>
  <c r="E40" i="11"/>
  <c r="G40" i="11"/>
  <c r="I40" i="11"/>
  <c r="K40" i="11"/>
  <c r="N40" i="11"/>
  <c r="R40" i="11"/>
  <c r="N39" i="11"/>
  <c r="N38" i="11"/>
  <c r="K39" i="11"/>
  <c r="I39" i="11"/>
  <c r="K38" i="11"/>
  <c r="K37" i="11"/>
  <c r="N37" i="11"/>
  <c r="S37" i="11"/>
  <c r="I37" i="11"/>
  <c r="U35" i="11"/>
  <c r="U40" i="11"/>
  <c r="N31" i="11"/>
  <c r="I32" i="11"/>
  <c r="T11" i="11"/>
  <c r="T19" i="11"/>
  <c r="T27" i="11"/>
  <c r="T40" i="11"/>
  <c r="T35" i="11"/>
  <c r="R15" i="11"/>
  <c r="R19" i="11" s="1"/>
  <c r="C35" i="11"/>
  <c r="Y24" i="11"/>
  <c r="S24" i="11" s="1"/>
  <c r="X20" i="11"/>
  <c r="Y20" i="11" s="1"/>
  <c r="S20" i="11" s="1"/>
  <c r="U21" i="11"/>
  <c r="X21" i="11"/>
  <c r="S18" i="11"/>
  <c r="U12" i="11"/>
  <c r="Y7" i="11"/>
  <c r="S7" i="11" s="1"/>
  <c r="Y8" i="11"/>
  <c r="S8" i="11" s="1"/>
  <c r="Y9" i="11"/>
  <c r="S9" i="11" s="1"/>
  <c r="Y10" i="11"/>
  <c r="Y11" i="11"/>
  <c r="Y12" i="11"/>
  <c r="S12" i="11" s="1"/>
  <c r="Y13" i="11"/>
  <c r="S13" i="11" s="1"/>
  <c r="Y14" i="11"/>
  <c r="S14" i="11" s="1"/>
  <c r="Y15" i="11"/>
  <c r="S15" i="11" s="1"/>
  <c r="Y16" i="11"/>
  <c r="S16" i="11" s="1"/>
  <c r="Y17" i="11"/>
  <c r="S17" i="11" s="1"/>
  <c r="Y18" i="11"/>
  <c r="Y19" i="11"/>
  <c r="Y21" i="11"/>
  <c r="S21" i="11" s="1"/>
  <c r="Y22" i="11"/>
  <c r="Y23" i="11"/>
  <c r="S23" i="11" s="1"/>
  <c r="Y25" i="11"/>
  <c r="S25" i="11" s="1"/>
  <c r="Y26" i="11"/>
  <c r="S26" i="11" s="1"/>
  <c r="Y27" i="11"/>
  <c r="Y28" i="11"/>
  <c r="S28" i="11" s="1"/>
  <c r="Y29" i="11"/>
  <c r="S29" i="11" s="1"/>
  <c r="Y30" i="11"/>
  <c r="S30" i="11" s="1"/>
  <c r="Y31" i="11"/>
  <c r="S31" i="11" s="1"/>
  <c r="Y32" i="11"/>
  <c r="S32" i="11" s="1"/>
  <c r="Y33" i="11"/>
  <c r="S33" i="11" s="1"/>
  <c r="Y34" i="11"/>
  <c r="S34" i="11" s="1"/>
  <c r="Y35" i="11"/>
  <c r="Y36" i="11"/>
  <c r="S36" i="11" s="1"/>
  <c r="S40" i="11" s="1"/>
  <c r="Y37" i="11"/>
  <c r="Y38" i="11"/>
  <c r="S38" i="11" s="1"/>
  <c r="Y39" i="11"/>
  <c r="S39" i="11" s="1"/>
  <c r="Y40" i="11"/>
  <c r="AA7" i="11"/>
  <c r="U7" i="11" s="1"/>
  <c r="AA8" i="11"/>
  <c r="U8" i="11" s="1"/>
  <c r="AA9" i="11"/>
  <c r="AA10" i="11"/>
  <c r="U10" i="11" s="1"/>
  <c r="AA11" i="11"/>
  <c r="AA12" i="11"/>
  <c r="AA13" i="11"/>
  <c r="U13" i="11" s="1"/>
  <c r="AA14" i="11"/>
  <c r="U14" i="11" s="1"/>
  <c r="AA15" i="11"/>
  <c r="U15" i="11" s="1"/>
  <c r="AA16" i="11"/>
  <c r="U16" i="11" s="1"/>
  <c r="AA17" i="11"/>
  <c r="U17" i="11" s="1"/>
  <c r="AA18" i="11"/>
  <c r="U18" i="11" s="1"/>
  <c r="AA19" i="11"/>
  <c r="AA20" i="11"/>
  <c r="U20" i="11" s="1"/>
  <c r="AA21" i="11"/>
  <c r="AA22" i="11"/>
  <c r="AA23" i="11"/>
  <c r="U23" i="11" s="1"/>
  <c r="AA24" i="11"/>
  <c r="U24" i="11" s="1"/>
  <c r="AA25" i="11"/>
  <c r="U25" i="11" s="1"/>
  <c r="AA26" i="11"/>
  <c r="U26" i="11" s="1"/>
  <c r="AA27" i="11"/>
  <c r="AA28" i="11"/>
  <c r="U28" i="11" s="1"/>
  <c r="AA29" i="11"/>
  <c r="U29" i="11" s="1"/>
  <c r="AA30" i="11"/>
  <c r="U30" i="11" s="1"/>
  <c r="AA31" i="11"/>
  <c r="U31" i="11" s="1"/>
  <c r="AA32" i="11"/>
  <c r="U32" i="11" s="1"/>
  <c r="AA33" i="11"/>
  <c r="U33" i="11" s="1"/>
  <c r="AA34" i="11"/>
  <c r="U34" i="11" s="1"/>
  <c r="AA35" i="11"/>
  <c r="AA36" i="11"/>
  <c r="U36" i="11" s="1"/>
  <c r="AA37" i="11"/>
  <c r="U37" i="11" s="1"/>
  <c r="AA38" i="11"/>
  <c r="U38" i="11" s="1"/>
  <c r="AA39" i="11"/>
  <c r="U39" i="11" s="1"/>
  <c r="AA40" i="11"/>
  <c r="U9" i="11"/>
  <c r="S10" i="11"/>
  <c r="Y6" i="11"/>
  <c r="S6" i="11" s="1"/>
  <c r="AA6" i="11"/>
  <c r="U6" i="11" s="1"/>
  <c r="Y5" i="11"/>
  <c r="S5" i="11" s="1"/>
  <c r="AA5" i="11"/>
  <c r="U5" i="11" s="1"/>
  <c r="D44" i="11"/>
  <c r="Q40" i="11"/>
  <c r="P40" i="11"/>
  <c r="O40" i="11"/>
  <c r="M40" i="11"/>
  <c r="L40" i="11"/>
  <c r="J40" i="11"/>
  <c r="H40" i="11"/>
  <c r="F40" i="11"/>
  <c r="D40" i="11"/>
  <c r="R35" i="11"/>
  <c r="Q35" i="11"/>
  <c r="P35" i="11"/>
  <c r="O35" i="11"/>
  <c r="N35" i="11"/>
  <c r="M35" i="11"/>
  <c r="L35" i="11"/>
  <c r="K35" i="11"/>
  <c r="J35" i="11"/>
  <c r="I35" i="11"/>
  <c r="H35" i="11"/>
  <c r="G35" i="11"/>
  <c r="F35" i="11"/>
  <c r="E35" i="11"/>
  <c r="D35" i="11"/>
  <c r="R27" i="11"/>
  <c r="Q27" i="11"/>
  <c r="P27" i="11"/>
  <c r="O27" i="11"/>
  <c r="N27" i="11"/>
  <c r="M27" i="11"/>
  <c r="L27" i="11"/>
  <c r="K27" i="11"/>
  <c r="J27" i="11"/>
  <c r="I27" i="11"/>
  <c r="H27" i="11"/>
  <c r="G27" i="11"/>
  <c r="F27" i="11"/>
  <c r="E27" i="11"/>
  <c r="D27" i="11"/>
  <c r="C27" i="11"/>
  <c r="Q19" i="11"/>
  <c r="P19" i="11"/>
  <c r="O19" i="11"/>
  <c r="N19" i="11"/>
  <c r="M19" i="11"/>
  <c r="L19" i="11"/>
  <c r="K19" i="11"/>
  <c r="J19" i="11"/>
  <c r="I19" i="11"/>
  <c r="H19" i="11"/>
  <c r="G19" i="11"/>
  <c r="F19" i="11"/>
  <c r="E19" i="11"/>
  <c r="D19" i="11"/>
  <c r="C19" i="11"/>
  <c r="R11" i="11"/>
  <c r="Q11" i="11"/>
  <c r="P11" i="11"/>
  <c r="O11" i="11"/>
  <c r="N11" i="11"/>
  <c r="M11" i="11"/>
  <c r="L11" i="11"/>
  <c r="K11" i="11"/>
  <c r="J11" i="11"/>
  <c r="I11" i="11"/>
  <c r="H11" i="11"/>
  <c r="G11" i="11"/>
  <c r="F11" i="11"/>
  <c r="E11" i="11"/>
  <c r="D11" i="11"/>
  <c r="C11" i="11"/>
  <c r="T39" i="10"/>
  <c r="D42" i="10"/>
  <c r="T28" i="10"/>
  <c r="T20" i="10"/>
  <c r="W5" i="10"/>
  <c r="T12" i="10"/>
  <c r="S38" i="10"/>
  <c r="R38" i="10"/>
  <c r="Q38" i="10"/>
  <c r="P38" i="10"/>
  <c r="O38" i="10"/>
  <c r="N38" i="10"/>
  <c r="M38" i="10"/>
  <c r="L38" i="10"/>
  <c r="K38" i="10"/>
  <c r="J38" i="10"/>
  <c r="I38" i="10"/>
  <c r="H38" i="10"/>
  <c r="G38" i="10"/>
  <c r="F38" i="10"/>
  <c r="E38" i="10"/>
  <c r="D38" i="10"/>
  <c r="C38" i="10"/>
  <c r="S36" i="10"/>
  <c r="R36" i="10"/>
  <c r="Q36" i="10"/>
  <c r="P36" i="10"/>
  <c r="O36" i="10"/>
  <c r="N36" i="10"/>
  <c r="M36" i="10"/>
  <c r="L36" i="10"/>
  <c r="K36" i="10"/>
  <c r="J36" i="10"/>
  <c r="I36" i="10"/>
  <c r="H36" i="10"/>
  <c r="G36" i="10"/>
  <c r="F36" i="10"/>
  <c r="E36" i="10"/>
  <c r="D36" i="10"/>
  <c r="C36" i="10"/>
  <c r="S28" i="10"/>
  <c r="R28" i="10"/>
  <c r="Q28" i="10"/>
  <c r="P28" i="10"/>
  <c r="O28" i="10"/>
  <c r="N28" i="10"/>
  <c r="M28" i="10"/>
  <c r="L28" i="10"/>
  <c r="K28" i="10"/>
  <c r="J28" i="10"/>
  <c r="I28" i="10"/>
  <c r="H28" i="10"/>
  <c r="G28" i="10"/>
  <c r="F28" i="10"/>
  <c r="E28" i="10"/>
  <c r="D28" i="10"/>
  <c r="C28" i="10"/>
  <c r="S20" i="10"/>
  <c r="R20" i="10"/>
  <c r="Q20" i="10"/>
  <c r="P20" i="10"/>
  <c r="O20" i="10"/>
  <c r="N20" i="10"/>
  <c r="M20" i="10"/>
  <c r="L20" i="10"/>
  <c r="K20" i="10"/>
  <c r="J20" i="10"/>
  <c r="I20" i="10"/>
  <c r="H20" i="10"/>
  <c r="G20" i="10"/>
  <c r="F20" i="10"/>
  <c r="E20" i="10"/>
  <c r="D20" i="10"/>
  <c r="C20" i="10"/>
  <c r="S12" i="10"/>
  <c r="R12" i="10"/>
  <c r="Q12" i="10"/>
  <c r="P12" i="10"/>
  <c r="O12" i="10"/>
  <c r="N12" i="10"/>
  <c r="M12" i="10"/>
  <c r="L12" i="10"/>
  <c r="K12" i="10"/>
  <c r="J12" i="10"/>
  <c r="I12" i="10"/>
  <c r="H12" i="10"/>
  <c r="G12" i="10"/>
  <c r="F12" i="10"/>
  <c r="E12" i="10"/>
  <c r="D12" i="10"/>
  <c r="C12" i="10"/>
  <c r="M41" i="7"/>
  <c r="M33" i="7"/>
  <c r="M25" i="7"/>
  <c r="M17" i="7"/>
  <c r="F42" i="17" l="1"/>
  <c r="F41" i="17"/>
  <c r="E42" i="17"/>
  <c r="J41" i="17"/>
  <c r="E43" i="17"/>
  <c r="L41" i="17"/>
  <c r="L44" i="17"/>
  <c r="L45" i="17" s="1"/>
  <c r="H43" i="17"/>
  <c r="H41" i="17"/>
  <c r="H42" i="17"/>
  <c r="G44" i="17"/>
  <c r="G45" i="17" s="1"/>
  <c r="M43" i="17"/>
  <c r="I41" i="17"/>
  <c r="M42" i="17"/>
  <c r="I42" i="17"/>
  <c r="L42" i="17"/>
  <c r="I44" i="17"/>
  <c r="I45" i="17" s="1"/>
  <c r="E41" i="17"/>
  <c r="F44" i="17"/>
  <c r="F45" i="17" s="1"/>
  <c r="D41" i="17"/>
  <c r="G41" i="17"/>
  <c r="G42" i="17"/>
  <c r="J44" i="17"/>
  <c r="J45" i="17" s="1"/>
  <c r="D42" i="17"/>
  <c r="J42" i="17"/>
  <c r="D43" i="17"/>
  <c r="E40" i="15"/>
  <c r="M40" i="15"/>
  <c r="U40" i="15"/>
  <c r="D40" i="15"/>
  <c r="L40" i="15"/>
  <c r="T40" i="15"/>
  <c r="N40" i="15"/>
  <c r="G40" i="15"/>
  <c r="P40" i="15"/>
  <c r="V40" i="15"/>
  <c r="O40" i="15"/>
  <c r="H40" i="15"/>
  <c r="I40" i="15"/>
  <c r="Q40" i="15"/>
  <c r="J40" i="15"/>
  <c r="R40" i="15"/>
  <c r="R44" i="15" s="1"/>
  <c r="K40" i="15"/>
  <c r="S40" i="15"/>
  <c r="F40" i="15"/>
  <c r="K41" i="14"/>
  <c r="S41" i="14"/>
  <c r="S43" i="14" s="1"/>
  <c r="S44" i="14" s="1"/>
  <c r="J41" i="14"/>
  <c r="J43" i="14" s="1"/>
  <c r="J44" i="14" s="1"/>
  <c r="R41" i="14"/>
  <c r="R43" i="14" s="1"/>
  <c r="T41" i="14"/>
  <c r="T43" i="14" s="1"/>
  <c r="T44" i="14" s="1"/>
  <c r="M41" i="14"/>
  <c r="N41" i="14"/>
  <c r="V41" i="14"/>
  <c r="L41" i="14"/>
  <c r="L43" i="14" s="1"/>
  <c r="L44" i="14" s="1"/>
  <c r="G41" i="14"/>
  <c r="O41" i="14"/>
  <c r="O43" i="14" s="1"/>
  <c r="O44" i="14" s="1"/>
  <c r="D41" i="14"/>
  <c r="D43" i="14" s="1"/>
  <c r="D44" i="14" s="1"/>
  <c r="U41" i="14"/>
  <c r="H41" i="14"/>
  <c r="H43" i="14" s="1"/>
  <c r="H44" i="14" s="1"/>
  <c r="P41" i="14"/>
  <c r="I41" i="14"/>
  <c r="Q41" i="14"/>
  <c r="F41" i="14"/>
  <c r="F43" i="14" s="1"/>
  <c r="F44" i="14" s="1"/>
  <c r="R40" i="13"/>
  <c r="R42" i="13" s="1"/>
  <c r="S40" i="13"/>
  <c r="S42" i="13" s="1"/>
  <c r="S43" i="13" s="1"/>
  <c r="K40" i="13"/>
  <c r="I40" i="13"/>
  <c r="U40" i="13"/>
  <c r="D40" i="13"/>
  <c r="D42" i="13" s="1"/>
  <c r="D43" i="13" s="1"/>
  <c r="M40" i="13"/>
  <c r="N40" i="13"/>
  <c r="F40" i="13"/>
  <c r="F42" i="13" s="1"/>
  <c r="F43" i="13" s="1"/>
  <c r="G40" i="13"/>
  <c r="P40" i="13"/>
  <c r="H40" i="13"/>
  <c r="H42" i="13" s="1"/>
  <c r="H43" i="13" s="1"/>
  <c r="Q40" i="13"/>
  <c r="O40" i="13"/>
  <c r="O42" i="13" s="1"/>
  <c r="O43" i="13" s="1"/>
  <c r="J40" i="13"/>
  <c r="J42" i="13" s="1"/>
  <c r="J43" i="13" s="1"/>
  <c r="T28" i="13"/>
  <c r="V28" i="13"/>
  <c r="T20" i="13"/>
  <c r="T36" i="13"/>
  <c r="V20" i="13"/>
  <c r="L40" i="13"/>
  <c r="L42" i="13" s="1"/>
  <c r="L43" i="13" s="1"/>
  <c r="V32" i="12"/>
  <c r="V16" i="12"/>
  <c r="V41" i="12" s="1"/>
  <c r="T24" i="12"/>
  <c r="T41" i="12" s="1"/>
  <c r="T43" i="12" s="1"/>
  <c r="T44" i="12" s="1"/>
  <c r="V40" i="12"/>
  <c r="F41" i="12"/>
  <c r="F43" i="12" s="1"/>
  <c r="F44" i="12" s="1"/>
  <c r="T41" i="11"/>
  <c r="L41" i="11"/>
  <c r="U19" i="11"/>
  <c r="U27" i="11"/>
  <c r="S35" i="11"/>
  <c r="S27" i="11"/>
  <c r="S19" i="11"/>
  <c r="U11" i="11"/>
  <c r="S11" i="11"/>
  <c r="I41" i="11"/>
  <c r="I43" i="11" s="1"/>
  <c r="I44" i="11" s="1"/>
  <c r="Q41" i="11"/>
  <c r="Q43" i="11" s="1"/>
  <c r="R41" i="11"/>
  <c r="R43" i="11" s="1"/>
  <c r="R44" i="11" s="1"/>
  <c r="C41" i="11"/>
  <c r="C43" i="11" s="1"/>
  <c r="C44" i="11" s="1"/>
  <c r="K41" i="11"/>
  <c r="K43" i="11" s="1"/>
  <c r="K44" i="11" s="1"/>
  <c r="N41" i="11"/>
  <c r="N43" i="11" s="1"/>
  <c r="N44" i="11" s="1"/>
  <c r="G41" i="11"/>
  <c r="G43" i="11" s="1"/>
  <c r="G44" i="11" s="1"/>
  <c r="O41" i="11"/>
  <c r="H41" i="11"/>
  <c r="P41" i="11"/>
  <c r="M41" i="11"/>
  <c r="J41" i="11"/>
  <c r="J39" i="10"/>
  <c r="M39" i="10"/>
  <c r="L39" i="10"/>
  <c r="D39" i="10"/>
  <c r="F39" i="10"/>
  <c r="S39" i="10"/>
  <c r="S41" i="10" s="1"/>
  <c r="S42" i="10" s="1"/>
  <c r="O39" i="10"/>
  <c r="H39" i="10"/>
  <c r="P39" i="10"/>
  <c r="Q39" i="10"/>
  <c r="Q41" i="10" s="1"/>
  <c r="R39" i="10"/>
  <c r="R41" i="10" s="1"/>
  <c r="R42" i="10" s="1"/>
  <c r="N39" i="10"/>
  <c r="N41" i="10" s="1"/>
  <c r="N42" i="10" s="1"/>
  <c r="K39" i="10"/>
  <c r="K41" i="10" s="1"/>
  <c r="K42" i="10" s="1"/>
  <c r="G39" i="10"/>
  <c r="G41" i="10" s="1"/>
  <c r="G42" i="10" s="1"/>
  <c r="I39" i="10"/>
  <c r="I41" i="10" s="1"/>
  <c r="I42" i="10" s="1"/>
  <c r="E39" i="10"/>
  <c r="E41" i="10" s="1"/>
  <c r="E42" i="10" s="1"/>
  <c r="C39" i="10"/>
  <c r="C41" i="10" s="1"/>
  <c r="C42" i="10" s="1"/>
  <c r="M42" i="7"/>
  <c r="D45" i="7"/>
  <c r="S41" i="7"/>
  <c r="R41" i="7"/>
  <c r="Q41" i="7"/>
  <c r="P41" i="7"/>
  <c r="P42" i="7" s="1"/>
  <c r="O41" i="7"/>
  <c r="O42" i="7" s="1"/>
  <c r="N41" i="7"/>
  <c r="L41" i="7"/>
  <c r="L42" i="7" s="1"/>
  <c r="K41" i="7"/>
  <c r="J41" i="7"/>
  <c r="J42" i="7" s="1"/>
  <c r="I41" i="7"/>
  <c r="H41" i="7"/>
  <c r="H42" i="7" s="1"/>
  <c r="G41" i="7"/>
  <c r="G42" i="7" s="1"/>
  <c r="F41" i="7"/>
  <c r="F42" i="7" s="1"/>
  <c r="E41" i="7"/>
  <c r="D41" i="7"/>
  <c r="C41" i="7"/>
  <c r="S33" i="7"/>
  <c r="R33" i="7"/>
  <c r="Q33" i="7"/>
  <c r="P33" i="7"/>
  <c r="O33" i="7"/>
  <c r="N33" i="7"/>
  <c r="L33" i="7"/>
  <c r="K33" i="7"/>
  <c r="J33" i="7"/>
  <c r="I33" i="7"/>
  <c r="H33" i="7"/>
  <c r="G33" i="7"/>
  <c r="F33" i="7"/>
  <c r="E33" i="7"/>
  <c r="D33" i="7"/>
  <c r="C33" i="7"/>
  <c r="S25" i="7"/>
  <c r="R25" i="7"/>
  <c r="Q25" i="7"/>
  <c r="P25" i="7"/>
  <c r="O25" i="7"/>
  <c r="N25" i="7"/>
  <c r="L25" i="7"/>
  <c r="K25" i="7"/>
  <c r="J25" i="7"/>
  <c r="I25" i="7"/>
  <c r="H25" i="7"/>
  <c r="G25" i="7"/>
  <c r="F25" i="7"/>
  <c r="E25" i="7"/>
  <c r="D25" i="7"/>
  <c r="C25" i="7"/>
  <c r="S17" i="7"/>
  <c r="R17" i="7"/>
  <c r="Q17" i="7"/>
  <c r="P17" i="7"/>
  <c r="O17" i="7"/>
  <c r="N17" i="7"/>
  <c r="L17" i="7"/>
  <c r="K17" i="7"/>
  <c r="J17" i="7"/>
  <c r="I17" i="7"/>
  <c r="H17" i="7"/>
  <c r="G17" i="7"/>
  <c r="F17" i="7"/>
  <c r="E17" i="7"/>
  <c r="D17" i="7"/>
  <c r="C17" i="7"/>
  <c r="S9" i="7"/>
  <c r="R9" i="7"/>
  <c r="Q9" i="7"/>
  <c r="P9" i="7"/>
  <c r="O9" i="7"/>
  <c r="N9" i="7"/>
  <c r="L9" i="7"/>
  <c r="K9" i="7"/>
  <c r="J9" i="7"/>
  <c r="I9" i="7"/>
  <c r="H9" i="7"/>
  <c r="G9" i="7"/>
  <c r="F9" i="7"/>
  <c r="E9" i="7"/>
  <c r="D9" i="7"/>
  <c r="C9" i="7"/>
  <c r="M16" i="4"/>
  <c r="P40" i="4"/>
  <c r="N40" i="4"/>
  <c r="L40" i="4"/>
  <c r="J40" i="4"/>
  <c r="I40" i="4"/>
  <c r="H40" i="4"/>
  <c r="G40" i="4"/>
  <c r="J10" i="6"/>
  <c r="J9" i="6"/>
  <c r="J8" i="6"/>
  <c r="J7" i="6"/>
  <c r="J6" i="6"/>
  <c r="J5" i="6"/>
  <c r="J4" i="6"/>
  <c r="J26" i="6" s="1"/>
  <c r="J3" i="6"/>
  <c r="J11" i="6"/>
  <c r="J12" i="6"/>
  <c r="J13" i="6"/>
  <c r="J14" i="6"/>
  <c r="J15" i="6"/>
  <c r="J16" i="6"/>
  <c r="J17" i="6"/>
  <c r="J18" i="6"/>
  <c r="J19" i="6"/>
  <c r="J20" i="6"/>
  <c r="J21" i="6"/>
  <c r="J22" i="6"/>
  <c r="J23" i="6"/>
  <c r="J24" i="6"/>
  <c r="J25" i="6"/>
  <c r="M13" i="4"/>
  <c r="K7" i="4"/>
  <c r="T44" i="15" l="1"/>
  <c r="T45" i="15"/>
  <c r="T46" i="15" s="1"/>
  <c r="N45" i="15"/>
  <c r="N46" i="15" s="1"/>
  <c r="N44" i="15"/>
  <c r="L42" i="15"/>
  <c r="L45" i="15"/>
  <c r="L46" i="15" s="1"/>
  <c r="L44" i="15"/>
  <c r="H42" i="15"/>
  <c r="H45" i="15"/>
  <c r="H46" i="15" s="1"/>
  <c r="H44" i="15"/>
  <c r="D42" i="15"/>
  <c r="D45" i="15"/>
  <c r="D46" i="15" s="1"/>
  <c r="D44" i="15"/>
  <c r="F42" i="15"/>
  <c r="F45" i="15"/>
  <c r="F46" i="15" s="1"/>
  <c r="F44" i="15"/>
  <c r="O42" i="15"/>
  <c r="O45" i="15"/>
  <c r="O46" i="15" s="1"/>
  <c r="O44" i="15"/>
  <c r="S42" i="15"/>
  <c r="S45" i="15"/>
  <c r="S46" i="15" s="1"/>
  <c r="S44" i="15"/>
  <c r="J42" i="15"/>
  <c r="J45" i="15"/>
  <c r="J46" i="15" s="1"/>
  <c r="J44" i="15"/>
  <c r="T43" i="15"/>
  <c r="N43" i="15"/>
  <c r="N42" i="15"/>
  <c r="L43" i="15"/>
  <c r="H43" i="15"/>
  <c r="D43" i="15"/>
  <c r="J43" i="15"/>
  <c r="O43" i="15"/>
  <c r="S43" i="15"/>
  <c r="F43" i="15"/>
  <c r="T40" i="13"/>
  <c r="T42" i="13" s="1"/>
  <c r="T43" i="13" s="1"/>
  <c r="V40" i="13"/>
  <c r="U41" i="11"/>
  <c r="S41" i="11"/>
  <c r="S43" i="11" s="1"/>
  <c r="S44" i="11" s="1"/>
  <c r="D42" i="7"/>
  <c r="Q42" i="7"/>
  <c r="I42" i="7"/>
  <c r="K42" i="7"/>
  <c r="K44" i="7" s="1"/>
  <c r="K45" i="7" s="1"/>
  <c r="S42" i="7"/>
  <c r="S44" i="7" s="1"/>
  <c r="S45" i="7" s="1"/>
  <c r="R42" i="7"/>
  <c r="R44" i="7" s="1"/>
  <c r="R45" i="7" s="1"/>
  <c r="N42" i="7"/>
  <c r="N44" i="7" s="1"/>
  <c r="N45" i="7" s="1"/>
  <c r="E42" i="7"/>
  <c r="E44" i="7" s="1"/>
  <c r="E45" i="7" s="1"/>
  <c r="C42" i="7"/>
  <c r="C44" i="7" s="1"/>
  <c r="C45" i="7" s="1"/>
  <c r="Q44" i="7"/>
  <c r="G44" i="7"/>
  <c r="G45" i="7" s="1"/>
  <c r="I44" i="7"/>
  <c r="I45" i="7" s="1"/>
  <c r="M6" i="4"/>
  <c r="M11" i="4" s="1"/>
  <c r="R47" i="5"/>
  <c r="Q45" i="5"/>
  <c r="P45" i="5"/>
  <c r="O45" i="5"/>
  <c r="N45" i="5"/>
  <c r="L45" i="5"/>
  <c r="K45" i="5"/>
  <c r="J45" i="5"/>
  <c r="I45" i="5"/>
  <c r="H45" i="5"/>
  <c r="G45" i="5"/>
  <c r="F45" i="5"/>
  <c r="E45" i="5"/>
  <c r="D45" i="5"/>
  <c r="C45" i="5"/>
  <c r="D48" i="5"/>
  <c r="R46" i="5"/>
  <c r="R44" i="5"/>
  <c r="R45" i="5" s="1"/>
  <c r="Q44" i="5"/>
  <c r="P44" i="5"/>
  <c r="O44" i="5"/>
  <c r="N44" i="5"/>
  <c r="M44" i="5"/>
  <c r="M45" i="5" s="1"/>
  <c r="L44" i="5"/>
  <c r="K44" i="5"/>
  <c r="J44" i="5"/>
  <c r="I44" i="5"/>
  <c r="H44" i="5"/>
  <c r="G44" i="5"/>
  <c r="F44" i="5"/>
  <c r="E44" i="5"/>
  <c r="D44" i="5"/>
  <c r="C44" i="5"/>
  <c r="R36" i="5"/>
  <c r="Q36" i="5"/>
  <c r="P36" i="5"/>
  <c r="O36" i="5"/>
  <c r="N36" i="5"/>
  <c r="M36" i="5"/>
  <c r="L36" i="5"/>
  <c r="K36" i="5"/>
  <c r="J36" i="5"/>
  <c r="I36" i="5"/>
  <c r="H36" i="5"/>
  <c r="G36" i="5"/>
  <c r="F36" i="5"/>
  <c r="E36" i="5"/>
  <c r="D36" i="5"/>
  <c r="C36" i="5"/>
  <c r="R28" i="5"/>
  <c r="Q28" i="5"/>
  <c r="P28" i="5"/>
  <c r="O28" i="5"/>
  <c r="N28" i="5"/>
  <c r="M28" i="5"/>
  <c r="L28" i="5"/>
  <c r="K28" i="5"/>
  <c r="J28" i="5"/>
  <c r="I28" i="5"/>
  <c r="H28" i="5"/>
  <c r="G28" i="5"/>
  <c r="F28" i="5"/>
  <c r="E28" i="5"/>
  <c r="D28" i="5"/>
  <c r="C28" i="5"/>
  <c r="R20" i="5"/>
  <c r="Q20" i="5"/>
  <c r="P20" i="5"/>
  <c r="O20" i="5"/>
  <c r="N20" i="5"/>
  <c r="M20" i="5"/>
  <c r="L20" i="5"/>
  <c r="K20" i="5"/>
  <c r="J20" i="5"/>
  <c r="I20" i="5"/>
  <c r="H20" i="5"/>
  <c r="G20" i="5"/>
  <c r="F20" i="5"/>
  <c r="E20" i="5"/>
  <c r="D20" i="5"/>
  <c r="C20" i="5"/>
  <c r="R12" i="5"/>
  <c r="Q12" i="5"/>
  <c r="P12" i="5"/>
  <c r="O12" i="5"/>
  <c r="N12" i="5"/>
  <c r="M12" i="5"/>
  <c r="L12" i="5"/>
  <c r="K12" i="5"/>
  <c r="J12" i="5"/>
  <c r="H12" i="5"/>
  <c r="G12" i="5"/>
  <c r="F12" i="5"/>
  <c r="E12" i="5"/>
  <c r="D12" i="5"/>
  <c r="C12" i="5"/>
  <c r="I9" i="5"/>
  <c r="I12" i="5" s="1"/>
  <c r="I47" i="5" s="1"/>
  <c r="I48" i="5" s="1"/>
  <c r="D38" i="2"/>
  <c r="R34" i="2"/>
  <c r="Q34" i="2"/>
  <c r="P34" i="2"/>
  <c r="O34" i="2"/>
  <c r="N34" i="2"/>
  <c r="M34" i="2"/>
  <c r="L34" i="2"/>
  <c r="K34" i="2"/>
  <c r="J34" i="2"/>
  <c r="I34" i="2"/>
  <c r="H34" i="2"/>
  <c r="G34" i="2"/>
  <c r="F34" i="2"/>
  <c r="E34" i="2"/>
  <c r="D34" i="2"/>
  <c r="C34" i="2"/>
  <c r="R28" i="2"/>
  <c r="Q28" i="2"/>
  <c r="P28" i="2"/>
  <c r="O28" i="2"/>
  <c r="N28" i="2"/>
  <c r="M28" i="2"/>
  <c r="L28" i="2"/>
  <c r="K28" i="2"/>
  <c r="J28" i="2"/>
  <c r="I28" i="2"/>
  <c r="H28" i="2"/>
  <c r="G28" i="2"/>
  <c r="F28" i="2"/>
  <c r="E28" i="2"/>
  <c r="D28" i="2"/>
  <c r="C28" i="2"/>
  <c r="R20" i="2"/>
  <c r="Q20" i="2"/>
  <c r="P20" i="2"/>
  <c r="O20" i="2"/>
  <c r="N20" i="2"/>
  <c r="M20" i="2"/>
  <c r="L20" i="2"/>
  <c r="K20" i="2"/>
  <c r="J20" i="2"/>
  <c r="I20" i="2"/>
  <c r="H20" i="2"/>
  <c r="G20" i="2"/>
  <c r="F20" i="2"/>
  <c r="E20" i="2"/>
  <c r="D20" i="2"/>
  <c r="C20" i="2"/>
  <c r="R12" i="2"/>
  <c r="R35" i="2" s="1"/>
  <c r="R37" i="2" s="1"/>
  <c r="R38" i="2" s="1"/>
  <c r="Q12" i="2"/>
  <c r="Q35" i="2" s="1"/>
  <c r="Q37" i="2" s="1"/>
  <c r="Q38" i="2" s="1"/>
  <c r="P12" i="2"/>
  <c r="P35" i="2" s="1"/>
  <c r="P37" i="2" s="1"/>
  <c r="O12" i="2"/>
  <c r="O35" i="2" s="1"/>
  <c r="N12" i="2"/>
  <c r="N35" i="2" s="1"/>
  <c r="M12" i="2"/>
  <c r="M35" i="2" s="1"/>
  <c r="M37" i="2" s="1"/>
  <c r="M38" i="2" s="1"/>
  <c r="L12" i="2"/>
  <c r="L35" i="2" s="1"/>
  <c r="K12" i="2"/>
  <c r="K35" i="2" s="1"/>
  <c r="K37" i="2" s="1"/>
  <c r="K38" i="2" s="1"/>
  <c r="J12" i="2"/>
  <c r="J35" i="2" s="1"/>
  <c r="I12" i="2"/>
  <c r="I35" i="2" s="1"/>
  <c r="I37" i="2" s="1"/>
  <c r="I38" i="2" s="1"/>
  <c r="H12" i="2"/>
  <c r="H35" i="2" s="1"/>
  <c r="G12" i="2"/>
  <c r="G35" i="2" s="1"/>
  <c r="G37" i="2" s="1"/>
  <c r="G38" i="2" s="1"/>
  <c r="F12" i="2"/>
  <c r="F35" i="2" s="1"/>
  <c r="E12" i="2"/>
  <c r="E35" i="2" s="1"/>
  <c r="E37" i="2" s="1"/>
  <c r="E38" i="2" s="1"/>
  <c r="D12" i="2"/>
  <c r="D35" i="2" s="1"/>
  <c r="C12" i="2"/>
  <c r="C35" i="2" s="1"/>
  <c r="C37" i="2" s="1"/>
  <c r="C38" i="2" s="1"/>
  <c r="R39" i="4"/>
  <c r="R40" i="4" s="1"/>
  <c r="Q39" i="4"/>
  <c r="Q40" i="4" s="1"/>
  <c r="P39" i="4"/>
  <c r="O39" i="4"/>
  <c r="O40" i="4" s="1"/>
  <c r="N39" i="4"/>
  <c r="M39" i="4"/>
  <c r="M40" i="4" s="1"/>
  <c r="L39" i="4"/>
  <c r="K39" i="4"/>
  <c r="K40" i="4" s="1"/>
  <c r="J39" i="4"/>
  <c r="I39" i="4"/>
  <c r="H39" i="4"/>
  <c r="G39" i="4"/>
  <c r="F39" i="4"/>
  <c r="F40" i="4" s="1"/>
  <c r="E39" i="4"/>
  <c r="E40" i="4" s="1"/>
  <c r="D39" i="4"/>
  <c r="D40" i="4" s="1"/>
  <c r="R35" i="4"/>
  <c r="Q35" i="4"/>
  <c r="P35" i="4"/>
  <c r="O35" i="4"/>
  <c r="N35" i="4"/>
  <c r="M35" i="4"/>
  <c r="L35" i="4"/>
  <c r="K35" i="4"/>
  <c r="J35" i="4"/>
  <c r="I35" i="4"/>
  <c r="H35" i="4"/>
  <c r="G35" i="4"/>
  <c r="F35" i="4"/>
  <c r="E35" i="4"/>
  <c r="D35" i="4"/>
  <c r="C35" i="4"/>
  <c r="C39" i="4"/>
  <c r="D43" i="4"/>
  <c r="R41" i="4"/>
  <c r="R27" i="4"/>
  <c r="Q27" i="4"/>
  <c r="P27" i="4"/>
  <c r="O27" i="4"/>
  <c r="N27" i="4"/>
  <c r="M27" i="4"/>
  <c r="L27" i="4"/>
  <c r="K27" i="4"/>
  <c r="J27" i="4"/>
  <c r="I27" i="4"/>
  <c r="H27" i="4"/>
  <c r="G27" i="4"/>
  <c r="F27" i="4"/>
  <c r="E27" i="4"/>
  <c r="D27" i="4"/>
  <c r="C27" i="4"/>
  <c r="R19" i="4"/>
  <c r="Q19" i="4"/>
  <c r="P19" i="4"/>
  <c r="O19" i="4"/>
  <c r="N19" i="4"/>
  <c r="M19" i="4"/>
  <c r="L19" i="4"/>
  <c r="K19" i="4"/>
  <c r="J19" i="4"/>
  <c r="I19" i="4"/>
  <c r="H19" i="4"/>
  <c r="G19" i="4"/>
  <c r="F19" i="4"/>
  <c r="E19" i="4"/>
  <c r="D19" i="4"/>
  <c r="C19" i="4"/>
  <c r="R11" i="4"/>
  <c r="Q11" i="4"/>
  <c r="P11" i="4"/>
  <c r="O11" i="4"/>
  <c r="N11" i="4"/>
  <c r="L11" i="4"/>
  <c r="K11" i="4"/>
  <c r="J11" i="4"/>
  <c r="I11" i="4"/>
  <c r="H11" i="4"/>
  <c r="G11" i="4"/>
  <c r="F11" i="4"/>
  <c r="E11" i="4"/>
  <c r="D11" i="4"/>
  <c r="C11" i="4"/>
  <c r="R40" i="1"/>
  <c r="Q40" i="1"/>
  <c r="P40" i="1"/>
  <c r="O40" i="1"/>
  <c r="N40" i="1"/>
  <c r="M40" i="1"/>
  <c r="L40" i="1"/>
  <c r="K40" i="1"/>
  <c r="J40" i="1"/>
  <c r="I40" i="1"/>
  <c r="H40" i="1"/>
  <c r="G40" i="1"/>
  <c r="F40" i="1"/>
  <c r="E40" i="1"/>
  <c r="D40" i="1"/>
  <c r="C40" i="1"/>
  <c r="R42" i="1"/>
  <c r="R34" i="1"/>
  <c r="Q34" i="1"/>
  <c r="P34" i="1"/>
  <c r="O34" i="1"/>
  <c r="N34" i="1"/>
  <c r="M34" i="1"/>
  <c r="L34" i="1"/>
  <c r="K34" i="1"/>
  <c r="J34" i="1"/>
  <c r="I34" i="1"/>
  <c r="H34" i="1"/>
  <c r="G34" i="1"/>
  <c r="F34" i="1"/>
  <c r="E34" i="1"/>
  <c r="D34" i="1"/>
  <c r="C34" i="1"/>
  <c r="R26" i="1"/>
  <c r="Q26" i="1"/>
  <c r="P26" i="1"/>
  <c r="O26" i="1"/>
  <c r="N26" i="1"/>
  <c r="M26" i="1"/>
  <c r="K26" i="1"/>
  <c r="J26" i="1"/>
  <c r="I26" i="1"/>
  <c r="H26" i="1"/>
  <c r="G26" i="1"/>
  <c r="F26" i="1"/>
  <c r="E26" i="1"/>
  <c r="D26" i="1"/>
  <c r="C26" i="1"/>
  <c r="L26" i="1"/>
  <c r="R18" i="1"/>
  <c r="Q18" i="1"/>
  <c r="P18" i="1"/>
  <c r="O18" i="1"/>
  <c r="N18" i="1"/>
  <c r="M18" i="1"/>
  <c r="K18" i="1"/>
  <c r="J18" i="1"/>
  <c r="I18" i="1"/>
  <c r="H18" i="1"/>
  <c r="G18" i="1"/>
  <c r="F18" i="1"/>
  <c r="E18" i="1"/>
  <c r="D18" i="1"/>
  <c r="C18" i="1"/>
  <c r="L18" i="1"/>
  <c r="R10" i="1"/>
  <c r="Q10" i="1"/>
  <c r="N10" i="1"/>
  <c r="M10" i="1"/>
  <c r="L10" i="1"/>
  <c r="K10" i="1"/>
  <c r="J10" i="1"/>
  <c r="J41" i="1" s="1"/>
  <c r="I10" i="1"/>
  <c r="H10" i="1"/>
  <c r="G10" i="1"/>
  <c r="F10" i="1"/>
  <c r="E10" i="1"/>
  <c r="D10" i="1"/>
  <c r="C10" i="1"/>
  <c r="Q4" i="1"/>
  <c r="N4" i="1"/>
  <c r="L4" i="1"/>
  <c r="J4" i="1"/>
  <c r="H4" i="1"/>
  <c r="F4" i="1"/>
  <c r="D4" i="1"/>
  <c r="C40" i="4" l="1"/>
  <c r="Q47" i="5"/>
  <c r="Q48" i="5" s="1"/>
  <c r="P47" i="5"/>
  <c r="M47" i="5"/>
  <c r="M48" i="5" s="1"/>
  <c r="K47" i="5"/>
  <c r="K48" i="5" s="1"/>
  <c r="G47" i="5"/>
  <c r="G48" i="5" s="1"/>
  <c r="E47" i="5"/>
  <c r="E48" i="5" s="1"/>
  <c r="C47" i="5"/>
  <c r="C48" i="5" s="1"/>
  <c r="R48" i="5"/>
  <c r="G42" i="4"/>
  <c r="G43" i="4" s="1"/>
  <c r="I42" i="4"/>
  <c r="I43" i="4" s="1"/>
  <c r="E42" i="4"/>
  <c r="E43" i="4" s="1"/>
  <c r="P42" i="4"/>
  <c r="M42" i="4"/>
  <c r="M43" i="4" s="1"/>
  <c r="K42" i="4"/>
  <c r="K43" i="4" s="1"/>
  <c r="C42" i="4"/>
  <c r="C43" i="4" s="1"/>
  <c r="Q42" i="4"/>
  <c r="Q43" i="4" s="1"/>
  <c r="P41" i="1"/>
  <c r="P43" i="1" s="1"/>
  <c r="O41" i="1"/>
  <c r="R41" i="1"/>
  <c r="R43" i="1" s="1"/>
  <c r="R44" i="1" s="1"/>
  <c r="Q41" i="1"/>
  <c r="Q43" i="1" s="1"/>
  <c r="Q44" i="1" s="1"/>
  <c r="I41" i="1"/>
  <c r="I43" i="1" s="1"/>
  <c r="I44" i="1" s="1"/>
  <c r="G41" i="1"/>
  <c r="G43" i="1" s="1"/>
  <c r="G44" i="1" s="1"/>
  <c r="L41" i="1"/>
  <c r="H41" i="1"/>
  <c r="C41" i="1"/>
  <c r="C43" i="1" s="1"/>
  <c r="C44" i="1" s="1"/>
  <c r="M41" i="1"/>
  <c r="M43" i="1" s="1"/>
  <c r="M44" i="1" s="1"/>
  <c r="F41" i="1"/>
  <c r="N41" i="1"/>
  <c r="K41" i="1"/>
  <c r="K43" i="1" s="1"/>
  <c r="K44" i="1" s="1"/>
  <c r="D41" i="1"/>
  <c r="D44" i="1" s="1"/>
  <c r="E41" i="1"/>
  <c r="E43" i="1" s="1"/>
  <c r="E44" i="1" s="1"/>
  <c r="R42" i="4" l="1"/>
  <c r="R43" i="4" s="1"/>
  <c r="E41" i="11"/>
  <c r="E43" i="11" s="1"/>
  <c r="E44" i="11" s="1"/>
  <c r="E41" i="14"/>
  <c r="E40" i="12"/>
  <c r="E41" i="12"/>
  <c r="E40" i="13"/>
  <c r="E39"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Angelica Gonzalez</author>
  </authors>
  <commentList>
    <comment ref="R14" authorId="0" shapeId="0" xr:uid="{AE52895C-6CB2-4E4B-8B3A-9C0D28894272}">
      <text>
        <r>
          <rPr>
            <b/>
            <sz val="9"/>
            <color indexed="81"/>
            <rFont val="Tahoma"/>
            <family val="2"/>
          </rPr>
          <t>$473.068 Devoluciones de Dolly (16) y Gladys Valdivia Pérez (3)
$299.867 Descuentos por acuerdo comercial</t>
        </r>
        <r>
          <rPr>
            <sz val="9"/>
            <color indexed="81"/>
            <rFont val="Tahoma"/>
            <family val="2"/>
          </rPr>
          <t xml:space="preserve">
</t>
        </r>
      </text>
    </comment>
    <comment ref="K19" authorId="0" shapeId="0" xr:uid="{86603DA6-3C26-4F8D-90AE-549CD4BD4ED3}">
      <text>
        <r>
          <rPr>
            <b/>
            <sz val="9"/>
            <color indexed="81"/>
            <rFont val="Tahoma"/>
            <family val="2"/>
          </rPr>
          <t>Art. 3882
Art. 3865</t>
        </r>
        <r>
          <rPr>
            <sz val="9"/>
            <color indexed="81"/>
            <rFont val="Tahoma"/>
            <family val="2"/>
          </rPr>
          <t xml:space="preserve">
</t>
        </r>
      </text>
    </comment>
    <comment ref="L19" authorId="0" shapeId="0" xr:uid="{2FB2F144-BC3D-4590-8261-E72FF2FBA2F9}">
      <text>
        <r>
          <rPr>
            <b/>
            <sz val="9"/>
            <color indexed="81"/>
            <rFont val="Tahoma"/>
            <family val="2"/>
          </rPr>
          <t>Reproceso Art. 3757</t>
        </r>
        <r>
          <rPr>
            <sz val="9"/>
            <color indexed="81"/>
            <rFont val="Tahoma"/>
            <family val="2"/>
          </rPr>
          <t xml:space="preserve">
</t>
        </r>
      </text>
    </comment>
    <comment ref="R19" authorId="0" shapeId="0" xr:uid="{DF956E98-DDBD-4334-8C93-87134A303BF6}">
      <text>
        <r>
          <rPr>
            <b/>
            <sz val="9"/>
            <color indexed="81"/>
            <rFont val="Tahoma"/>
            <family val="2"/>
          </rPr>
          <t>Descuento por acuerdo comercial</t>
        </r>
        <r>
          <rPr>
            <sz val="9"/>
            <color indexed="81"/>
            <rFont val="Tahoma"/>
            <family val="2"/>
          </rPr>
          <t xml:space="preserve">
</t>
        </r>
      </text>
    </comment>
    <comment ref="R28" authorId="0" shapeId="0" xr:uid="{E84ED2A7-9BE5-4EFE-8672-CADF0DEA7696}">
      <text>
        <r>
          <rPr>
            <b/>
            <sz val="9"/>
            <color indexed="81"/>
            <rFont val="Tahoma"/>
            <family val="2"/>
          </rPr>
          <t xml:space="preserve">Descuento AC
</t>
        </r>
        <r>
          <rPr>
            <sz val="9"/>
            <color indexed="81"/>
            <rFont val="Tahoma"/>
            <family val="2"/>
          </rPr>
          <t xml:space="preserve">
</t>
        </r>
      </text>
    </comment>
    <comment ref="R31" authorId="0" shapeId="0" xr:uid="{8C6D6410-89B9-4813-A9B4-22736711A673}">
      <text>
        <r>
          <rPr>
            <sz val="9"/>
            <color indexed="81"/>
            <rFont val="Tahoma"/>
            <family val="2"/>
          </rPr>
          <t xml:space="preserve">DC
</t>
        </r>
      </text>
    </comment>
    <comment ref="R37" authorId="0" shapeId="0" xr:uid="{93925535-AF76-4446-8B50-EA479B0BB366}">
      <text>
        <r>
          <rPr>
            <b/>
            <sz val="9"/>
            <color indexed="81"/>
            <rFont val="Tahoma"/>
            <family val="2"/>
          </rPr>
          <t>Devolución Multicentro</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Angelica Gonzalez</author>
  </authors>
  <commentList>
    <comment ref="K13" authorId="0" shapeId="0" xr:uid="{4126B8D2-4381-4EDA-A647-30A6BA3A1B15}">
      <text>
        <r>
          <rPr>
            <b/>
            <sz val="9"/>
            <color indexed="81"/>
            <rFont val="Tahoma"/>
            <family val="2"/>
          </rPr>
          <t>Art. 3882
Art. 3865</t>
        </r>
        <r>
          <rPr>
            <sz val="9"/>
            <color indexed="81"/>
            <rFont val="Tahoma"/>
            <family val="2"/>
          </rPr>
          <t xml:space="preserve">
</t>
        </r>
      </text>
    </comment>
    <comment ref="L13" authorId="0" shapeId="0" xr:uid="{67DD549B-2FAA-4EB4-BF4C-CCFA28F89C66}">
      <text>
        <r>
          <rPr>
            <b/>
            <sz val="9"/>
            <color indexed="81"/>
            <rFont val="Tahoma"/>
            <family val="2"/>
          </rPr>
          <t>Reproceso Art. 3757</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Angelica Gonzalez</author>
    <author>Angie</author>
  </authors>
  <commentList>
    <comment ref="D5" authorId="0" shapeId="0" xr:uid="{2AD389EA-5680-436B-9359-616FFEFDC031}">
      <text>
        <r>
          <rPr>
            <sz val="9"/>
            <color indexed="81"/>
            <rFont val="Tahoma"/>
            <family val="2"/>
          </rPr>
          <t xml:space="preserve">960537   1
960540   1
960541   1
960542   1
960545   1
960547   1
960548   1
</t>
        </r>
      </text>
    </comment>
    <comment ref="E5" authorId="0" shapeId="0" xr:uid="{02954A34-05EF-441D-A607-CA95A6554380}">
      <text>
        <r>
          <rPr>
            <b/>
            <sz val="9"/>
            <color indexed="81"/>
            <rFont val="Tahoma"/>
            <family val="2"/>
          </rPr>
          <t>11337000   200</t>
        </r>
        <r>
          <rPr>
            <sz val="9"/>
            <color indexed="81"/>
            <rFont val="Tahoma"/>
            <family val="2"/>
          </rPr>
          <t xml:space="preserve">
</t>
        </r>
      </text>
    </comment>
    <comment ref="F5" authorId="0" shapeId="0" xr:uid="{2E152A37-9569-4EF3-BA50-683BADFFEA75}">
      <text>
        <r>
          <rPr>
            <b/>
            <sz val="9"/>
            <color indexed="81"/>
            <rFont val="Tahoma"/>
            <family val="2"/>
          </rPr>
          <t>96052801   1</t>
        </r>
        <r>
          <rPr>
            <sz val="9"/>
            <color indexed="81"/>
            <rFont val="Tahoma"/>
            <family val="2"/>
          </rPr>
          <t xml:space="preserve">
</t>
        </r>
        <r>
          <rPr>
            <b/>
            <sz val="9"/>
            <color indexed="81"/>
            <rFont val="Tahoma"/>
            <family val="2"/>
          </rPr>
          <t>96051901   1
96052001   1
96049601   1</t>
        </r>
      </text>
    </comment>
    <comment ref="C6" authorId="0" shapeId="0" xr:uid="{595B4E62-FDC4-4A03-A8BB-8DD4279F14A1}">
      <text>
        <r>
          <rPr>
            <b/>
            <sz val="9"/>
            <color indexed="81"/>
            <rFont val="Tahoma"/>
            <family val="2"/>
          </rPr>
          <t>11347  468</t>
        </r>
        <r>
          <rPr>
            <sz val="9"/>
            <color indexed="81"/>
            <rFont val="Tahoma"/>
            <family val="2"/>
          </rPr>
          <t xml:space="preserve">
</t>
        </r>
      </text>
    </comment>
    <comment ref="D6" authorId="0" shapeId="0" xr:uid="{1F09AAE8-D953-44E9-9F46-26E7BE637440}">
      <text>
        <r>
          <rPr>
            <b/>
            <sz val="9"/>
            <color indexed="81"/>
            <rFont val="Tahoma"/>
            <family val="2"/>
          </rPr>
          <t>960543  1</t>
        </r>
        <r>
          <rPr>
            <sz val="9"/>
            <color indexed="81"/>
            <rFont val="Tahoma"/>
            <family val="2"/>
          </rPr>
          <t xml:space="preserve">
</t>
        </r>
        <r>
          <rPr>
            <b/>
            <sz val="9"/>
            <color indexed="81"/>
            <rFont val="Tahoma"/>
            <family val="2"/>
          </rPr>
          <t>960544   1</t>
        </r>
        <r>
          <rPr>
            <sz val="9"/>
            <color indexed="81"/>
            <rFont val="Tahoma"/>
            <family val="2"/>
          </rPr>
          <t xml:space="preserve">
</t>
        </r>
      </text>
    </comment>
    <comment ref="E6" authorId="0" shapeId="0" xr:uid="{D9B85D02-96B4-4013-905D-A386D661B0CF}">
      <text>
        <r>
          <rPr>
            <b/>
            <sz val="9"/>
            <color indexed="81"/>
            <rFont val="Tahoma"/>
            <family val="2"/>
          </rPr>
          <t>01133701  300</t>
        </r>
        <r>
          <rPr>
            <sz val="9"/>
            <color indexed="81"/>
            <rFont val="Tahoma"/>
            <family val="2"/>
          </rPr>
          <t xml:space="preserve">
</t>
        </r>
      </text>
    </comment>
    <comment ref="F6" authorId="0" shapeId="0" xr:uid="{1BC2F6F2-0D25-415E-BECA-68EF9043369B}">
      <text>
        <r>
          <rPr>
            <b/>
            <sz val="9"/>
            <color indexed="81"/>
            <rFont val="Tahoma"/>
            <family val="2"/>
          </rPr>
          <t>96053001  1</t>
        </r>
        <r>
          <rPr>
            <sz val="9"/>
            <color indexed="81"/>
            <rFont val="Tahoma"/>
            <family val="2"/>
          </rPr>
          <t xml:space="preserve">
</t>
        </r>
        <r>
          <rPr>
            <b/>
            <sz val="9"/>
            <color indexed="81"/>
            <rFont val="Tahoma"/>
            <family val="2"/>
          </rPr>
          <t>96053101  1</t>
        </r>
      </text>
    </comment>
    <comment ref="C7" authorId="0" shapeId="0" xr:uid="{78587FBE-EC2F-471C-A717-57A690BEE02B}">
      <text>
        <r>
          <rPr>
            <b/>
            <sz val="9"/>
            <color indexed="81"/>
            <rFont val="Tahoma"/>
            <family val="2"/>
          </rPr>
          <t xml:space="preserve">11339  700
11354  378
</t>
        </r>
        <r>
          <rPr>
            <sz val="9"/>
            <color indexed="81"/>
            <rFont val="Tahoma"/>
            <family val="2"/>
          </rPr>
          <t xml:space="preserve">
</t>
        </r>
      </text>
    </comment>
    <comment ref="D7" authorId="0" shapeId="0" xr:uid="{FAF34D37-0459-4784-B91E-71D74227B8F0}">
      <text>
        <r>
          <rPr>
            <b/>
            <sz val="9"/>
            <color indexed="81"/>
            <rFont val="Tahoma"/>
            <family val="2"/>
          </rPr>
          <t xml:space="preserve">113541      5
960550      1
960551      1
</t>
        </r>
        <r>
          <rPr>
            <sz val="9"/>
            <color indexed="81"/>
            <rFont val="Tahoma"/>
            <family val="2"/>
          </rPr>
          <t xml:space="preserve">
</t>
        </r>
      </text>
    </comment>
    <comment ref="E7" authorId="0" shapeId="0" xr:uid="{DBA3786B-4998-47AA-AC9B-770386E56FD2}">
      <text>
        <r>
          <rPr>
            <b/>
            <sz val="9"/>
            <color indexed="81"/>
            <rFont val="Tahoma"/>
            <family val="2"/>
          </rPr>
          <t>01133702   300</t>
        </r>
        <r>
          <rPr>
            <sz val="9"/>
            <color indexed="81"/>
            <rFont val="Tahoma"/>
            <family val="2"/>
          </rPr>
          <t xml:space="preserve">
</t>
        </r>
      </text>
    </comment>
    <comment ref="F7" authorId="0" shapeId="0" xr:uid="{648FFD0C-4DED-4BBC-9AC0-B61E6DB2A0DE}">
      <text>
        <r>
          <rPr>
            <b/>
            <sz val="9"/>
            <color indexed="81"/>
            <rFont val="Tahoma"/>
            <family val="2"/>
          </rPr>
          <t>96052901   1</t>
        </r>
        <r>
          <rPr>
            <sz val="9"/>
            <color indexed="81"/>
            <rFont val="Tahoma"/>
            <family val="2"/>
          </rPr>
          <t xml:space="preserve">
</t>
        </r>
        <r>
          <rPr>
            <b/>
            <sz val="9"/>
            <color indexed="81"/>
            <rFont val="Tahoma"/>
            <family val="2"/>
          </rPr>
          <t>96053301   1
96053601   1
96053801   1</t>
        </r>
      </text>
    </comment>
    <comment ref="C8" authorId="0" shapeId="0" xr:uid="{309C3E16-9FDE-4454-AEF2-7B011374A395}">
      <text>
        <r>
          <rPr>
            <b/>
            <sz val="9"/>
            <color indexed="81"/>
            <rFont val="Tahoma"/>
            <family val="2"/>
          </rPr>
          <t xml:space="preserve">1133901 420
11348     446
</t>
        </r>
        <r>
          <rPr>
            <sz val="9"/>
            <color indexed="81"/>
            <rFont val="Tahoma"/>
            <family val="2"/>
          </rPr>
          <t xml:space="preserve">
</t>
        </r>
      </text>
    </comment>
    <comment ref="E8" authorId="0" shapeId="0" xr:uid="{BB21058B-B1AF-409D-A05A-8DCFABB0A7F1}">
      <text>
        <r>
          <rPr>
            <b/>
            <sz val="9"/>
            <color indexed="81"/>
            <rFont val="Tahoma"/>
            <family val="2"/>
          </rPr>
          <t>01133703  300</t>
        </r>
        <r>
          <rPr>
            <sz val="9"/>
            <color indexed="81"/>
            <rFont val="Tahoma"/>
            <family val="2"/>
          </rPr>
          <t xml:space="preserve">
</t>
        </r>
      </text>
    </comment>
    <comment ref="G8" authorId="1" shapeId="0" xr:uid="{57B5C5DF-7F61-4D1E-9AD5-C27AAD96B295}">
      <text>
        <r>
          <rPr>
            <b/>
            <sz val="9"/>
            <color indexed="81"/>
            <rFont val="Tahoma"/>
            <family val="2"/>
          </rPr>
          <t>Revisar Dato</t>
        </r>
        <r>
          <rPr>
            <sz val="9"/>
            <color indexed="81"/>
            <rFont val="Tahoma"/>
            <family val="2"/>
          </rPr>
          <t xml:space="preserve">
</t>
        </r>
      </text>
    </comment>
    <comment ref="F9" authorId="0" shapeId="0" xr:uid="{C042F276-0073-4CF5-9E78-3D0E3A39786C}">
      <text>
        <r>
          <rPr>
            <b/>
            <sz val="9"/>
            <color indexed="81"/>
            <rFont val="Tahoma"/>
            <family val="2"/>
          </rPr>
          <t>96055001   1</t>
        </r>
        <r>
          <rPr>
            <sz val="9"/>
            <color indexed="81"/>
            <rFont val="Tahoma"/>
            <family val="2"/>
          </rPr>
          <t xml:space="preserve">
</t>
        </r>
        <r>
          <rPr>
            <b/>
            <sz val="9"/>
            <color indexed="81"/>
            <rFont val="Tahoma"/>
            <family val="2"/>
          </rPr>
          <t>96053201   1
96053401   1</t>
        </r>
      </text>
    </comment>
    <comment ref="C10" authorId="0" shapeId="0" xr:uid="{729BB86D-5C29-4483-B1D6-066E9710DFDA}">
      <text>
        <r>
          <rPr>
            <b/>
            <sz val="9"/>
            <color indexed="81"/>
            <rFont val="Tahoma"/>
            <family val="2"/>
          </rPr>
          <t xml:space="preserve">11351     348
</t>
        </r>
        <r>
          <rPr>
            <sz val="9"/>
            <color indexed="81"/>
            <rFont val="Tahoma"/>
            <family val="2"/>
          </rPr>
          <t xml:space="preserve">
</t>
        </r>
      </text>
    </comment>
    <comment ref="L10" authorId="1" shapeId="0" xr:uid="{431FF64E-9E50-41AA-922F-19786BDFB519}">
      <text>
        <r>
          <rPr>
            <b/>
            <sz val="9"/>
            <color indexed="81"/>
            <rFont val="Tahoma"/>
            <family val="2"/>
          </rPr>
          <t>Revisar Dato</t>
        </r>
      </text>
    </comment>
    <comment ref="D13" authorId="0" shapeId="0" xr:uid="{355929D7-029C-4943-9DEC-1414416FED5E}">
      <text>
        <r>
          <rPr>
            <b/>
            <sz val="9"/>
            <color indexed="81"/>
            <rFont val="Tahoma"/>
            <family val="2"/>
          </rPr>
          <t>960552   1
960553   1</t>
        </r>
        <r>
          <rPr>
            <sz val="9"/>
            <color indexed="81"/>
            <rFont val="Tahoma"/>
            <family val="2"/>
          </rPr>
          <t xml:space="preserve">
</t>
        </r>
        <r>
          <rPr>
            <b/>
            <sz val="9"/>
            <color indexed="81"/>
            <rFont val="Tahoma"/>
            <family val="2"/>
          </rPr>
          <t xml:space="preserve">960554   1
960556   1
960557   1
960558   1
960563   1
</t>
        </r>
      </text>
    </comment>
    <comment ref="E13" authorId="0" shapeId="0" xr:uid="{3DF5B5D1-948A-40CC-94CA-CC5AE04610EE}">
      <text>
        <r>
          <rPr>
            <b/>
            <sz val="9"/>
            <color indexed="81"/>
            <rFont val="Tahoma"/>
            <family val="2"/>
          </rPr>
          <t>1134000   250</t>
        </r>
        <r>
          <rPr>
            <sz val="9"/>
            <color indexed="81"/>
            <rFont val="Tahoma"/>
            <family val="2"/>
          </rPr>
          <t xml:space="preserve">
</t>
        </r>
      </text>
    </comment>
    <comment ref="C14" authorId="0" shapeId="0" xr:uid="{A66DA314-5C38-43D6-A7D0-29807C6F36FF}">
      <text>
        <r>
          <rPr>
            <b/>
            <sz val="9"/>
            <color indexed="81"/>
            <rFont val="Tahoma"/>
            <family val="2"/>
          </rPr>
          <t xml:space="preserve">11335     507
11341  1095
</t>
        </r>
        <r>
          <rPr>
            <sz val="9"/>
            <color indexed="81"/>
            <rFont val="Tahoma"/>
            <family val="2"/>
          </rPr>
          <t xml:space="preserve">
</t>
        </r>
      </text>
    </comment>
    <comment ref="D14" authorId="0" shapeId="0" xr:uid="{8BC4BA01-5A4A-443E-9D41-1E66D0E4C9BF}">
      <text>
        <r>
          <rPr>
            <b/>
            <sz val="9"/>
            <color indexed="81"/>
            <rFont val="Tahoma"/>
            <family val="2"/>
          </rPr>
          <t>960549  1</t>
        </r>
        <r>
          <rPr>
            <sz val="9"/>
            <color indexed="81"/>
            <rFont val="Tahoma"/>
            <family val="2"/>
          </rPr>
          <t xml:space="preserve">
960559   1
960560   1
960561   1
960562   1
960564   1</t>
        </r>
      </text>
    </comment>
    <comment ref="E14" authorId="0" shapeId="0" xr:uid="{31796560-218F-4C4C-8F52-0AFDB4519569}">
      <text>
        <r>
          <rPr>
            <b/>
            <sz val="9"/>
            <color indexed="81"/>
            <rFont val="Tahoma"/>
            <family val="2"/>
          </rPr>
          <t>11340001  350</t>
        </r>
        <r>
          <rPr>
            <sz val="9"/>
            <color indexed="81"/>
            <rFont val="Tahoma"/>
            <family val="2"/>
          </rPr>
          <t xml:space="preserve">
</t>
        </r>
        <r>
          <rPr>
            <b/>
            <sz val="9"/>
            <color indexed="81"/>
            <rFont val="Tahoma"/>
            <family val="2"/>
          </rPr>
          <t>11337009  111</t>
        </r>
      </text>
    </comment>
    <comment ref="F14" authorId="0" shapeId="0" xr:uid="{9062A7A6-D8FF-497E-9E25-5B73C8EE58D9}">
      <text>
        <r>
          <rPr>
            <b/>
            <sz val="9"/>
            <color indexed="81"/>
            <rFont val="Tahoma"/>
            <family val="2"/>
          </rPr>
          <t>96054101  1</t>
        </r>
        <r>
          <rPr>
            <sz val="9"/>
            <color indexed="81"/>
            <rFont val="Tahoma"/>
            <family val="2"/>
          </rPr>
          <t xml:space="preserve">
</t>
        </r>
        <r>
          <rPr>
            <b/>
            <sz val="9"/>
            <color indexed="81"/>
            <rFont val="Tahoma"/>
            <family val="2"/>
          </rPr>
          <t>96054401  1
96055101  1
96053501  1</t>
        </r>
      </text>
    </comment>
    <comment ref="C15" authorId="0" shapeId="0" xr:uid="{54F013A0-03D8-4F62-91B5-87BEA9D223BC}">
      <text>
        <r>
          <rPr>
            <b/>
            <sz val="9"/>
            <color indexed="81"/>
            <rFont val="Tahoma"/>
            <family val="2"/>
          </rPr>
          <t xml:space="preserve">11356  337
</t>
        </r>
        <r>
          <rPr>
            <sz val="9"/>
            <color indexed="81"/>
            <rFont val="Tahoma"/>
            <family val="2"/>
          </rPr>
          <t xml:space="preserve">
</t>
        </r>
      </text>
    </comment>
    <comment ref="E15" authorId="0" shapeId="0" xr:uid="{2FBB299E-0593-40ED-BC6F-87719B886D16}">
      <text>
        <r>
          <rPr>
            <b/>
            <sz val="9"/>
            <color indexed="81"/>
            <rFont val="Tahoma"/>
            <family val="2"/>
          </rPr>
          <t>11340002  300</t>
        </r>
        <r>
          <rPr>
            <sz val="9"/>
            <color indexed="81"/>
            <rFont val="Tahoma"/>
            <family val="2"/>
          </rPr>
          <t xml:space="preserve">
</t>
        </r>
      </text>
    </comment>
    <comment ref="F15" authorId="0" shapeId="0" xr:uid="{18461C10-B480-4301-B6F0-24FF0C94B3E6}">
      <text>
        <r>
          <rPr>
            <b/>
            <sz val="9"/>
            <color indexed="81"/>
            <rFont val="Tahoma"/>
            <family val="2"/>
          </rPr>
          <t xml:space="preserve">96054801  1
</t>
        </r>
        <r>
          <rPr>
            <sz val="9"/>
            <color indexed="81"/>
            <rFont val="Tahoma"/>
            <family val="2"/>
          </rPr>
          <t xml:space="preserve">
</t>
        </r>
      </text>
    </comment>
    <comment ref="S15" authorId="1" shapeId="0" xr:uid="{D48F13A2-DD7D-49C8-BE32-DDB9755FD625}">
      <text>
        <r>
          <rPr>
            <sz val="9"/>
            <color indexed="81"/>
            <rFont val="Tahoma"/>
            <family val="2"/>
          </rPr>
          <t>La producción esperada para este día no se alcanzó debido a Fallo en Máquina Tonello G1-420, al parecer problema en sensores detiene su funcionamiento, jueves 13 debieran asistir a revisar. La producción en proceso debió ser trasladada a otra máquina.  Por espacio de 1 hora y media aprox. la caldera quedó sin agua por problemas de baja presión, hubo que parar la bomba que surte la piscina para poder abastecer la Caldera y continuar operaciones.</t>
        </r>
      </text>
    </comment>
    <comment ref="C16" authorId="0" shapeId="0" xr:uid="{2F8F4A0D-5DCE-4142-95E3-D7FFED5DA60A}">
      <text>
        <r>
          <rPr>
            <b/>
            <sz val="9"/>
            <color indexed="81"/>
            <rFont val="Tahoma"/>
            <family val="2"/>
          </rPr>
          <t>11349  479</t>
        </r>
        <r>
          <rPr>
            <sz val="9"/>
            <color indexed="81"/>
            <rFont val="Tahoma"/>
            <family val="2"/>
          </rPr>
          <t xml:space="preserve">
</t>
        </r>
        <r>
          <rPr>
            <b/>
            <sz val="9"/>
            <color indexed="81"/>
            <rFont val="Tahoma"/>
            <family val="2"/>
          </rPr>
          <t>11355  360</t>
        </r>
      </text>
    </comment>
    <comment ref="D16" authorId="0" shapeId="0" xr:uid="{F79DB19E-D2A2-4DFF-A5F6-1A3FA1CE59E6}">
      <text>
        <r>
          <rPr>
            <b/>
            <sz val="9"/>
            <color indexed="81"/>
            <rFont val="Tahoma"/>
            <family val="2"/>
          </rPr>
          <t>960565  1
960566  1
960567  1
960567  1</t>
        </r>
        <r>
          <rPr>
            <sz val="9"/>
            <color indexed="81"/>
            <rFont val="Tahoma"/>
            <family val="2"/>
          </rPr>
          <t xml:space="preserve">
</t>
        </r>
      </text>
    </comment>
    <comment ref="E16" authorId="0" shapeId="0" xr:uid="{E91A489F-604B-4F99-867C-A1AF34B430C8}">
      <text>
        <r>
          <rPr>
            <b/>
            <sz val="9"/>
            <color indexed="81"/>
            <rFont val="Tahoma"/>
            <family val="2"/>
          </rPr>
          <t>11340003  300</t>
        </r>
        <r>
          <rPr>
            <sz val="9"/>
            <color indexed="81"/>
            <rFont val="Tahoma"/>
            <family val="2"/>
          </rPr>
          <t xml:space="preserve">
</t>
        </r>
        <r>
          <rPr>
            <b/>
            <sz val="9"/>
            <color indexed="81"/>
            <rFont val="Tahoma"/>
            <family val="2"/>
          </rPr>
          <t>11340004  070
11349003  474</t>
        </r>
      </text>
    </comment>
    <comment ref="F16" authorId="0" shapeId="0" xr:uid="{115AE276-FC35-474F-97B5-18D5552C3AFF}">
      <text>
        <r>
          <rPr>
            <b/>
            <sz val="9"/>
            <color indexed="81"/>
            <rFont val="Tahoma"/>
            <family val="2"/>
          </rPr>
          <t>96054201  1</t>
        </r>
        <r>
          <rPr>
            <sz val="9"/>
            <color indexed="81"/>
            <rFont val="Tahoma"/>
            <family val="2"/>
          </rPr>
          <t xml:space="preserve">
</t>
        </r>
        <r>
          <rPr>
            <b/>
            <sz val="9"/>
            <color indexed="81"/>
            <rFont val="Tahoma"/>
            <family val="2"/>
          </rPr>
          <t>96054701  1
96054301  1</t>
        </r>
      </text>
    </comment>
    <comment ref="C17" authorId="0" shapeId="0" xr:uid="{1B0C30C7-3EB1-447A-AB9A-4579F2AE6116}">
      <text>
        <r>
          <rPr>
            <b/>
            <sz val="9"/>
            <color indexed="81"/>
            <rFont val="Tahoma"/>
            <family val="2"/>
          </rPr>
          <t>11346  488</t>
        </r>
        <r>
          <rPr>
            <sz val="9"/>
            <color indexed="81"/>
            <rFont val="Tahoma"/>
            <family val="2"/>
          </rPr>
          <t xml:space="preserve">
</t>
        </r>
      </text>
    </comment>
    <comment ref="F17" authorId="0" shapeId="0" xr:uid="{071CAD3D-D57F-40F2-B7C3-4CBF5F328A2E}">
      <text>
        <r>
          <rPr>
            <b/>
            <sz val="9"/>
            <color indexed="81"/>
            <rFont val="Tahoma"/>
            <family val="2"/>
          </rPr>
          <t>96054501  1
96055401  1</t>
        </r>
        <r>
          <rPr>
            <sz val="9"/>
            <color indexed="81"/>
            <rFont val="Tahoma"/>
            <family val="2"/>
          </rPr>
          <t xml:space="preserve">
</t>
        </r>
        <r>
          <rPr>
            <b/>
            <sz val="9"/>
            <color indexed="81"/>
            <rFont val="Tahoma"/>
            <family val="2"/>
          </rPr>
          <t>96056301  1
96056101  1
96056201  1
96056401  1</t>
        </r>
      </text>
    </comment>
    <comment ref="C18" authorId="0" shapeId="0" xr:uid="{3B8DD8CF-0B22-4C00-8FF6-3AF20534DC10}">
      <text>
        <r>
          <rPr>
            <b/>
            <sz val="9"/>
            <color indexed="81"/>
            <rFont val="Tahoma"/>
            <family val="2"/>
          </rPr>
          <t>11350  376</t>
        </r>
        <r>
          <rPr>
            <sz val="9"/>
            <color indexed="81"/>
            <rFont val="Tahoma"/>
            <family val="2"/>
          </rPr>
          <t xml:space="preserve">
</t>
        </r>
      </text>
    </comment>
    <comment ref="C21" authorId="1" shapeId="0" xr:uid="{4ADA12EE-8D66-4A60-BA87-3210BECCECE8}">
      <text>
        <r>
          <rPr>
            <b/>
            <sz val="9"/>
            <color indexed="81"/>
            <rFont val="Tahoma"/>
            <family val="2"/>
          </rPr>
          <t>11344  450</t>
        </r>
        <r>
          <rPr>
            <sz val="9"/>
            <color indexed="81"/>
            <rFont val="Tahoma"/>
            <family val="2"/>
          </rPr>
          <t xml:space="preserve">
</t>
        </r>
      </text>
    </comment>
    <comment ref="D21" authorId="0" shapeId="0" xr:uid="{4F551417-34FF-4D3A-B374-B9AC630BAB39}">
      <text>
        <r>
          <rPr>
            <b/>
            <sz val="9"/>
            <color indexed="81"/>
            <rFont val="Tahoma"/>
            <family val="2"/>
          </rPr>
          <t>960569  1</t>
        </r>
        <r>
          <rPr>
            <sz val="9"/>
            <color indexed="81"/>
            <rFont val="Tahoma"/>
            <family val="2"/>
          </rPr>
          <t xml:space="preserve">
</t>
        </r>
        <r>
          <rPr>
            <b/>
            <sz val="9"/>
            <color indexed="81"/>
            <rFont val="Tahoma"/>
            <family val="2"/>
          </rPr>
          <t xml:space="preserve">960570  1
960571  1
960574  1
960572  4
960573  4
960575  5
960576  1
960577  1
960578  1
</t>
        </r>
      </text>
    </comment>
    <comment ref="E21" authorId="0" shapeId="0" xr:uid="{BADD1E27-5133-4645-A19F-B6F476711FDF}">
      <text>
        <r>
          <rPr>
            <b/>
            <sz val="9"/>
            <color indexed="81"/>
            <rFont val="Tahoma"/>
            <family val="2"/>
          </rPr>
          <t>00113390  200</t>
        </r>
        <r>
          <rPr>
            <sz val="9"/>
            <color indexed="81"/>
            <rFont val="Tahoma"/>
            <family val="2"/>
          </rPr>
          <t xml:space="preserve">
</t>
        </r>
      </text>
    </comment>
    <comment ref="M21" authorId="1" shapeId="0" xr:uid="{021629BF-25F0-466B-A066-2BCDA01E3DBC}">
      <text>
        <r>
          <rPr>
            <b/>
            <sz val="9"/>
            <color indexed="81"/>
            <rFont val="Tahoma"/>
            <family val="2"/>
          </rPr>
          <t>Sistema indicaba 213</t>
        </r>
        <r>
          <rPr>
            <sz val="9"/>
            <color indexed="81"/>
            <rFont val="Tahoma"/>
            <family val="2"/>
          </rPr>
          <t xml:space="preserve">
</t>
        </r>
      </text>
    </comment>
    <comment ref="C22" authorId="0" shapeId="0" xr:uid="{654781D1-5C50-491F-A52B-221C1242038D}">
      <text>
        <r>
          <rPr>
            <b/>
            <sz val="9"/>
            <color indexed="81"/>
            <rFont val="Tahoma"/>
            <family val="2"/>
          </rPr>
          <t xml:space="preserve">11357  332
</t>
        </r>
        <r>
          <rPr>
            <sz val="9"/>
            <color indexed="81"/>
            <rFont val="Tahoma"/>
            <family val="2"/>
          </rPr>
          <t xml:space="preserve">
</t>
        </r>
      </text>
    </comment>
    <comment ref="E22" authorId="0" shapeId="0" xr:uid="{F467622F-9024-4BEC-9220-F9EC6BC1B1DB}">
      <text>
        <r>
          <rPr>
            <b/>
            <sz val="9"/>
            <color indexed="81"/>
            <rFont val="Tahoma"/>
            <family val="2"/>
          </rPr>
          <t xml:space="preserve">01133900   300
</t>
        </r>
        <r>
          <rPr>
            <sz val="9"/>
            <color indexed="81"/>
            <rFont val="Tahoma"/>
            <family val="2"/>
          </rPr>
          <t xml:space="preserve">
</t>
        </r>
      </text>
    </comment>
    <comment ref="F22" authorId="0" shapeId="0" xr:uid="{D2997EBF-F450-448F-AF33-6D06299BD676}">
      <text>
        <r>
          <rPr>
            <b/>
            <sz val="9"/>
            <color indexed="81"/>
            <rFont val="Tahoma"/>
            <family val="2"/>
          </rPr>
          <t>96054401   1</t>
        </r>
        <r>
          <rPr>
            <sz val="9"/>
            <color indexed="81"/>
            <rFont val="Tahoma"/>
            <family val="2"/>
          </rPr>
          <t xml:space="preserve">
</t>
        </r>
        <r>
          <rPr>
            <b/>
            <sz val="9"/>
            <color indexed="81"/>
            <rFont val="Tahoma"/>
            <family val="2"/>
          </rPr>
          <t>96056501   1
96056601   1
96056701   1
96056901   1
96057001   1</t>
        </r>
      </text>
    </comment>
    <comment ref="C23" authorId="0" shapeId="0" xr:uid="{0215617F-013E-4140-BFE8-5DE1B8A36A1F}">
      <text>
        <r>
          <rPr>
            <b/>
            <sz val="9"/>
            <color indexed="81"/>
            <rFont val="Tahoma"/>
            <family val="2"/>
          </rPr>
          <t xml:space="preserve">11359  698
</t>
        </r>
        <r>
          <rPr>
            <sz val="9"/>
            <color indexed="81"/>
            <rFont val="Tahoma"/>
            <family val="2"/>
          </rPr>
          <t xml:space="preserve">
</t>
        </r>
      </text>
    </comment>
    <comment ref="D23" authorId="0" shapeId="0" xr:uid="{DDE7618A-9A7C-4578-BF56-A6E5050F50BC}">
      <text>
        <r>
          <rPr>
            <b/>
            <sz val="9"/>
            <color indexed="81"/>
            <rFont val="Tahoma"/>
            <family val="2"/>
          </rPr>
          <t>960579   1
960580   1</t>
        </r>
      </text>
    </comment>
    <comment ref="E23" authorId="0" shapeId="0" xr:uid="{85FA6947-F6B7-4AA0-96D1-2243050EC6F2}">
      <text>
        <r>
          <rPr>
            <b/>
            <sz val="9"/>
            <color indexed="81"/>
            <rFont val="Tahoma"/>
            <family val="2"/>
          </rPr>
          <t xml:space="preserve">11339000  300
</t>
        </r>
        <r>
          <rPr>
            <sz val="9"/>
            <color indexed="81"/>
            <rFont val="Tahoma"/>
            <family val="2"/>
          </rPr>
          <t xml:space="preserve">
</t>
        </r>
      </text>
    </comment>
    <comment ref="C24" authorId="0" shapeId="0" xr:uid="{FF26331A-016E-4B9B-9829-A43B8C894001}">
      <text>
        <r>
          <rPr>
            <b/>
            <sz val="9"/>
            <color indexed="81"/>
            <rFont val="Tahoma"/>
            <family val="2"/>
          </rPr>
          <t xml:space="preserve">11363  718
</t>
        </r>
        <r>
          <rPr>
            <sz val="9"/>
            <color indexed="81"/>
            <rFont val="Tahoma"/>
            <family val="2"/>
          </rPr>
          <t xml:space="preserve">
</t>
        </r>
      </text>
    </comment>
    <comment ref="C25" authorId="0" shapeId="0" xr:uid="{F978F8CE-A7E8-401E-9807-E1662558911E}">
      <text>
        <r>
          <rPr>
            <b/>
            <sz val="9"/>
            <color indexed="81"/>
            <rFont val="Tahoma"/>
            <family val="2"/>
          </rPr>
          <t>11342   446</t>
        </r>
        <r>
          <rPr>
            <sz val="9"/>
            <color indexed="81"/>
            <rFont val="Tahoma"/>
            <family val="2"/>
          </rPr>
          <t xml:space="preserve">
</t>
        </r>
      </text>
    </comment>
    <comment ref="E25" authorId="0" shapeId="0" xr:uid="{551864EF-67D7-42B0-990F-37027C07673C}">
      <text>
        <r>
          <rPr>
            <b/>
            <sz val="9"/>
            <color indexed="81"/>
            <rFont val="Tahoma"/>
            <family val="2"/>
          </rPr>
          <t>01133903  320</t>
        </r>
        <r>
          <rPr>
            <sz val="9"/>
            <color indexed="81"/>
            <rFont val="Tahoma"/>
            <family val="2"/>
          </rPr>
          <t xml:space="preserve">
</t>
        </r>
        <r>
          <rPr>
            <b/>
            <sz val="9"/>
            <color indexed="81"/>
            <rFont val="Tahoma"/>
            <family val="2"/>
          </rPr>
          <t>01134701  468 NO
00113460  200
01133602  508</t>
        </r>
      </text>
    </comment>
    <comment ref="F25" authorId="0" shapeId="0" xr:uid="{17C78309-BDCC-4911-858D-1BAFF5239FD4}">
      <text>
        <r>
          <rPr>
            <b/>
            <sz val="9"/>
            <color indexed="81"/>
            <rFont val="Tahoma"/>
            <family val="2"/>
          </rPr>
          <t>96054001  1</t>
        </r>
        <r>
          <rPr>
            <sz val="9"/>
            <color indexed="81"/>
            <rFont val="Tahoma"/>
            <family val="2"/>
          </rPr>
          <t xml:space="preserve">
</t>
        </r>
        <r>
          <rPr>
            <b/>
            <sz val="9"/>
            <color indexed="81"/>
            <rFont val="Tahoma"/>
            <family val="2"/>
          </rPr>
          <t>96055301  1
96055601  1
96055701  1
96056801  1</t>
        </r>
      </text>
    </comment>
    <comment ref="C29" authorId="0" shapeId="0" xr:uid="{473D7AC9-1EB0-4599-BDEE-7DE1206A5F76}">
      <text>
        <r>
          <rPr>
            <b/>
            <sz val="9"/>
            <color indexed="81"/>
            <rFont val="Tahoma"/>
            <family val="2"/>
          </rPr>
          <t xml:space="preserve">11364   718
</t>
        </r>
        <r>
          <rPr>
            <sz val="9"/>
            <color indexed="81"/>
            <rFont val="Tahoma"/>
            <family val="2"/>
          </rPr>
          <t xml:space="preserve">
</t>
        </r>
      </text>
    </comment>
    <comment ref="D29" authorId="0" shapeId="0" xr:uid="{2F8C54A6-7174-4850-A547-1E995F5048AF}">
      <text>
        <r>
          <rPr>
            <b/>
            <sz val="9"/>
            <color indexed="81"/>
            <rFont val="Tahoma"/>
            <family val="2"/>
          </rPr>
          <t>960581   4
960582   4
960583   1
960584   1
960585   4
960586   1</t>
        </r>
        <r>
          <rPr>
            <sz val="9"/>
            <color indexed="81"/>
            <rFont val="Tahoma"/>
            <family val="2"/>
          </rPr>
          <t xml:space="preserve">
</t>
        </r>
      </text>
    </comment>
    <comment ref="E29" authorId="0" shapeId="0" xr:uid="{84AEAC93-81CB-4835-B7E7-A109C30E8828}">
      <text>
        <r>
          <rPr>
            <b/>
            <sz val="9"/>
            <color indexed="81"/>
            <rFont val="Tahoma"/>
            <family val="2"/>
          </rPr>
          <t>01134600 288</t>
        </r>
        <r>
          <rPr>
            <sz val="9"/>
            <color indexed="81"/>
            <rFont val="Tahoma"/>
            <family val="2"/>
          </rPr>
          <t xml:space="preserve">
</t>
        </r>
      </text>
    </comment>
    <comment ref="F29" authorId="0" shapeId="0" xr:uid="{7F4F52AD-2F77-4400-9D16-EDF72D41CCD4}">
      <text>
        <r>
          <rPr>
            <b/>
            <sz val="9"/>
            <color indexed="81"/>
            <rFont val="Tahoma"/>
            <family val="2"/>
          </rPr>
          <t>96055801  1</t>
        </r>
        <r>
          <rPr>
            <sz val="9"/>
            <color indexed="81"/>
            <rFont val="Tahoma"/>
            <family val="2"/>
          </rPr>
          <t xml:space="preserve">
</t>
        </r>
        <r>
          <rPr>
            <b/>
            <sz val="9"/>
            <color indexed="81"/>
            <rFont val="Tahoma"/>
            <family val="2"/>
          </rPr>
          <t>96055901  1
96056001  1
96057601  1</t>
        </r>
      </text>
    </comment>
    <comment ref="E30" authorId="0" shapeId="0" xr:uid="{FD83276D-7987-4FD0-8A2A-6D0DBEC332DE}">
      <text>
        <r>
          <rPr>
            <b/>
            <sz val="9"/>
            <color indexed="81"/>
            <rFont val="Tahoma"/>
            <family val="2"/>
          </rPr>
          <t xml:space="preserve">00113560  337
</t>
        </r>
        <r>
          <rPr>
            <sz val="9"/>
            <color indexed="81"/>
            <rFont val="Tahoma"/>
            <family val="2"/>
          </rPr>
          <t xml:space="preserve">
</t>
        </r>
      </text>
    </comment>
    <comment ref="C31" authorId="0" shapeId="0" xr:uid="{14C739F0-0621-468F-8AB1-179A33C7C216}">
      <text>
        <r>
          <rPr>
            <b/>
            <sz val="9"/>
            <color indexed="81"/>
            <rFont val="Tahoma"/>
            <family val="2"/>
          </rPr>
          <t xml:space="preserve">11345  590
</t>
        </r>
        <r>
          <rPr>
            <sz val="9"/>
            <color indexed="81"/>
            <rFont val="Tahoma"/>
            <family val="2"/>
          </rPr>
          <t xml:space="preserve">
</t>
        </r>
      </text>
    </comment>
    <comment ref="D31" authorId="0" shapeId="0" xr:uid="{3F8DB288-E6D1-4A69-8950-72E944EF4026}">
      <text>
        <r>
          <rPr>
            <b/>
            <sz val="9"/>
            <color indexed="81"/>
            <rFont val="Tahoma"/>
            <family val="2"/>
          </rPr>
          <t>960588  1
960587  1</t>
        </r>
        <r>
          <rPr>
            <sz val="9"/>
            <color indexed="81"/>
            <rFont val="Tahoma"/>
            <family val="2"/>
          </rPr>
          <t xml:space="preserve">
</t>
        </r>
      </text>
    </comment>
    <comment ref="E31" authorId="0" shapeId="0" xr:uid="{262FDDBC-01B2-408D-ACEF-F327192F75A2}">
      <text>
        <r>
          <rPr>
            <b/>
            <sz val="9"/>
            <color indexed="81"/>
            <rFont val="Tahoma"/>
            <family val="2"/>
          </rPr>
          <t>00113550  360</t>
        </r>
        <r>
          <rPr>
            <sz val="9"/>
            <color indexed="81"/>
            <rFont val="Tahoma"/>
            <family val="2"/>
          </rPr>
          <t xml:space="preserve">
</t>
        </r>
      </text>
    </comment>
    <comment ref="F31" authorId="0" shapeId="0" xr:uid="{19A95026-E569-4DE5-9E34-1C0264A4C00A}">
      <text>
        <r>
          <rPr>
            <b/>
            <sz val="9"/>
            <color indexed="81"/>
            <rFont val="Tahoma"/>
            <family val="2"/>
          </rPr>
          <t>96055201   1</t>
        </r>
        <r>
          <rPr>
            <sz val="9"/>
            <color indexed="81"/>
            <rFont val="Tahoma"/>
            <family val="2"/>
          </rPr>
          <t xml:space="preserve">
</t>
        </r>
        <r>
          <rPr>
            <b/>
            <sz val="9"/>
            <color indexed="81"/>
            <rFont val="Tahoma"/>
            <family val="2"/>
          </rPr>
          <t xml:space="preserve">96057101   1
96057801   1
96057901   1
96058001   1
</t>
        </r>
      </text>
    </comment>
    <comment ref="C32" authorId="0" shapeId="0" xr:uid="{31A812DA-EBE8-45E9-9F03-39173F395573}">
      <text>
        <r>
          <rPr>
            <b/>
            <sz val="9"/>
            <color indexed="81"/>
            <rFont val="Tahoma"/>
            <family val="2"/>
          </rPr>
          <t xml:space="preserve">11365  512
</t>
        </r>
        <r>
          <rPr>
            <sz val="9"/>
            <color indexed="81"/>
            <rFont val="Tahoma"/>
            <family val="2"/>
          </rPr>
          <t xml:space="preserve">
</t>
        </r>
      </text>
    </comment>
    <comment ref="E32" authorId="0" shapeId="0" xr:uid="{9102FFF7-D69D-4B7A-9399-C3653CC03E48}">
      <text>
        <r>
          <rPr>
            <b/>
            <sz val="9"/>
            <color indexed="81"/>
            <rFont val="Tahoma"/>
            <family val="2"/>
          </rPr>
          <t xml:space="preserve">00113410  200
</t>
        </r>
        <r>
          <rPr>
            <sz val="9"/>
            <color indexed="81"/>
            <rFont val="Tahoma"/>
            <family val="2"/>
          </rPr>
          <t xml:space="preserve">
</t>
        </r>
      </text>
    </comment>
    <comment ref="F32" authorId="0" shapeId="0" xr:uid="{87C8E802-5EB8-4592-8E88-9099D10FD21D}">
      <text>
        <r>
          <rPr>
            <b/>
            <sz val="9"/>
            <color indexed="81"/>
            <rFont val="Tahoma"/>
            <family val="2"/>
          </rPr>
          <t>96057701   1</t>
        </r>
        <r>
          <rPr>
            <sz val="9"/>
            <color indexed="81"/>
            <rFont val="Tahoma"/>
            <family val="2"/>
          </rPr>
          <t xml:space="preserve">
</t>
        </r>
        <r>
          <rPr>
            <b/>
            <sz val="9"/>
            <color indexed="81"/>
            <rFont val="Tahoma"/>
            <family val="2"/>
          </rPr>
          <t>96058301   1
96058601   1  NO</t>
        </r>
      </text>
    </comment>
    <comment ref="C33" authorId="0" shapeId="0" xr:uid="{B8C24560-1B86-4493-B3ED-E84F3C13FDDD}">
      <text>
        <r>
          <rPr>
            <b/>
            <sz val="9"/>
            <color indexed="81"/>
            <rFont val="Tahoma"/>
            <family val="2"/>
          </rPr>
          <t xml:space="preserve">11362  718
</t>
        </r>
        <r>
          <rPr>
            <sz val="9"/>
            <color indexed="81"/>
            <rFont val="Tahoma"/>
            <family val="2"/>
          </rPr>
          <t xml:space="preserve">
</t>
        </r>
      </text>
    </comment>
    <comment ref="D33" authorId="0" shapeId="0" xr:uid="{D277F171-0DFE-45CD-B5A9-A7EBEAB1F442}">
      <text>
        <r>
          <rPr>
            <b/>
            <sz val="9"/>
            <color indexed="81"/>
            <rFont val="Tahoma"/>
            <family val="2"/>
          </rPr>
          <t xml:space="preserve">960546  2
960590  1
960591  1
</t>
        </r>
        <r>
          <rPr>
            <sz val="9"/>
            <color indexed="81"/>
            <rFont val="Tahoma"/>
            <family val="2"/>
          </rPr>
          <t xml:space="preserve">
</t>
        </r>
      </text>
    </comment>
    <comment ref="E33" authorId="0" shapeId="0" xr:uid="{B44A3E58-2666-4A21-B038-D446DE18770D}">
      <text>
        <r>
          <rPr>
            <b/>
            <sz val="9"/>
            <color indexed="81"/>
            <rFont val="Tahoma"/>
            <family val="2"/>
          </rPr>
          <t xml:space="preserve">01134100   343
</t>
        </r>
        <r>
          <rPr>
            <sz val="9"/>
            <color indexed="81"/>
            <rFont val="Tahoma"/>
            <family val="2"/>
          </rPr>
          <t xml:space="preserve">
</t>
        </r>
      </text>
    </comment>
    <comment ref="C37" authorId="0" shapeId="0" xr:uid="{30F92403-E9AA-4CC6-9241-136CD434E688}">
      <text>
        <r>
          <rPr>
            <b/>
            <sz val="9"/>
            <color indexed="81"/>
            <rFont val="Tahoma"/>
            <family val="2"/>
          </rPr>
          <t>11343   416</t>
        </r>
        <r>
          <rPr>
            <sz val="9"/>
            <color indexed="81"/>
            <rFont val="Tahoma"/>
            <family val="2"/>
          </rPr>
          <t xml:space="preserve">
</t>
        </r>
      </text>
    </comment>
    <comment ref="E37" authorId="0" shapeId="0" xr:uid="{EA3E6239-67FA-4562-8C3B-5C282E1F1F22}">
      <text>
        <r>
          <rPr>
            <b/>
            <sz val="9"/>
            <color indexed="81"/>
            <rFont val="Tahoma"/>
            <family val="2"/>
          </rPr>
          <t>11341000   345</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Angelica Gonzalez</author>
  </authors>
  <commentList>
    <comment ref="E5" authorId="0" shapeId="0" xr:uid="{3EF8121D-00EB-453A-9A85-3C458C97087A}">
      <text>
        <r>
          <rPr>
            <b/>
            <sz val="9"/>
            <color indexed="81"/>
            <rFont val="Tahoma"/>
            <family val="2"/>
          </rPr>
          <t>11331   100
11341   123</t>
        </r>
        <r>
          <rPr>
            <sz val="9"/>
            <color indexed="81"/>
            <rFont val="Tahoma"/>
            <family val="2"/>
          </rPr>
          <t xml:space="preserve">
</t>
        </r>
      </text>
    </comment>
    <comment ref="C6" authorId="0" shapeId="0" xr:uid="{8634534B-E08A-4187-A215-DEE2010B17D6}">
      <text>
        <r>
          <rPr>
            <b/>
            <sz val="9"/>
            <color indexed="81"/>
            <rFont val="Tahoma"/>
            <family val="2"/>
          </rPr>
          <t>11353  442
11361  506</t>
        </r>
        <r>
          <rPr>
            <sz val="9"/>
            <color indexed="81"/>
            <rFont val="Tahoma"/>
            <family val="2"/>
          </rPr>
          <t xml:space="preserve">
</t>
        </r>
      </text>
    </comment>
    <comment ref="D6" authorId="0" shapeId="0" xr:uid="{1041A4B9-0746-4924-8671-F96F8A53F912}">
      <text>
        <r>
          <rPr>
            <b/>
            <sz val="9"/>
            <color indexed="81"/>
            <rFont val="Tahoma"/>
            <family val="2"/>
          </rPr>
          <t>960596   1</t>
        </r>
        <r>
          <rPr>
            <sz val="9"/>
            <color indexed="81"/>
            <rFont val="Tahoma"/>
            <family val="2"/>
          </rPr>
          <t xml:space="preserve">
</t>
        </r>
      </text>
    </comment>
    <comment ref="E6" authorId="0" shapeId="0" xr:uid="{676CEAF2-1776-4493-BBB3-257C3F0B1FF3}">
      <text>
        <r>
          <rPr>
            <b/>
            <sz val="9"/>
            <color indexed="81"/>
            <rFont val="Tahoma"/>
            <family val="2"/>
          </rPr>
          <t>11331 200</t>
        </r>
        <r>
          <rPr>
            <sz val="9"/>
            <color indexed="81"/>
            <rFont val="Tahoma"/>
            <family val="2"/>
          </rPr>
          <t xml:space="preserve">
</t>
        </r>
      </text>
    </comment>
    <comment ref="F6" authorId="0" shapeId="0" xr:uid="{29EB3873-A26A-40EE-B891-C5588106BDCD}">
      <text>
        <r>
          <rPr>
            <b/>
            <sz val="9"/>
            <color indexed="81"/>
            <rFont val="Tahoma"/>
            <family val="2"/>
          </rPr>
          <t>960588    1
960575    5</t>
        </r>
        <r>
          <rPr>
            <sz val="9"/>
            <color indexed="81"/>
            <rFont val="Tahoma"/>
            <family val="2"/>
          </rPr>
          <t xml:space="preserve">
</t>
        </r>
        <r>
          <rPr>
            <b/>
            <sz val="9"/>
            <color indexed="81"/>
            <rFont val="Tahoma"/>
            <family val="2"/>
          </rPr>
          <t>960594    1
960592    5
960591    1
960546    2</t>
        </r>
      </text>
    </comment>
    <comment ref="C7" authorId="0" shapeId="0" xr:uid="{FE13FF02-9068-4453-9F5F-165BC72EEB95}">
      <text>
        <r>
          <rPr>
            <b/>
            <sz val="9"/>
            <color indexed="81"/>
            <rFont val="Tahoma"/>
            <family val="2"/>
          </rPr>
          <t>11352   66</t>
        </r>
        <r>
          <rPr>
            <sz val="9"/>
            <color indexed="81"/>
            <rFont val="Tahoma"/>
            <family val="2"/>
          </rPr>
          <t xml:space="preserve">
</t>
        </r>
      </text>
    </comment>
    <comment ref="D7" authorId="0" shapeId="0" xr:uid="{084FE30F-47D6-4C0B-8462-8849A09805E3}">
      <text>
        <r>
          <rPr>
            <b/>
            <sz val="9"/>
            <color indexed="81"/>
            <rFont val="Tahoma"/>
            <family val="2"/>
          </rPr>
          <t>960597   1
960598   2
960599   4
960600   4</t>
        </r>
        <r>
          <rPr>
            <sz val="9"/>
            <color indexed="81"/>
            <rFont val="Tahoma"/>
            <family val="2"/>
          </rPr>
          <t xml:space="preserve">
</t>
        </r>
      </text>
    </comment>
    <comment ref="E7" authorId="0" shapeId="0" xr:uid="{577C6355-7063-4216-AEDC-B5A85E06C0D0}">
      <text>
        <r>
          <rPr>
            <b/>
            <sz val="9"/>
            <color indexed="81"/>
            <rFont val="Tahoma"/>
            <family val="2"/>
          </rPr>
          <t>11331    210</t>
        </r>
        <r>
          <rPr>
            <sz val="9"/>
            <color indexed="81"/>
            <rFont val="Tahoma"/>
            <family val="2"/>
          </rPr>
          <t xml:space="preserve">
</t>
        </r>
      </text>
    </comment>
    <comment ref="C8" authorId="0" shapeId="0" xr:uid="{4487926C-5041-4712-BA39-A6AF525970A3}">
      <text>
        <r>
          <rPr>
            <b/>
            <sz val="9"/>
            <color indexed="81"/>
            <rFont val="Tahoma"/>
            <family val="2"/>
          </rPr>
          <t>11366  714
11367  506</t>
        </r>
        <r>
          <rPr>
            <sz val="9"/>
            <color indexed="81"/>
            <rFont val="Tahoma"/>
            <family val="2"/>
          </rPr>
          <t xml:space="preserve">
</t>
        </r>
      </text>
    </comment>
    <comment ref="E8" authorId="0" shapeId="0" xr:uid="{5DC5B84C-81F4-416F-A37F-5E4DACE8C6A2}">
      <text>
        <r>
          <rPr>
            <b/>
            <sz val="9"/>
            <color indexed="81"/>
            <rFont val="Tahoma"/>
            <family val="2"/>
          </rPr>
          <t>11344   200
11361   506</t>
        </r>
        <r>
          <rPr>
            <sz val="9"/>
            <color indexed="81"/>
            <rFont val="Tahoma"/>
            <family val="2"/>
          </rPr>
          <t xml:space="preserve">
</t>
        </r>
      </text>
    </comment>
    <comment ref="F8" authorId="0" shapeId="0" xr:uid="{0BBADFB6-EC57-4544-A477-9603DA36B56C}">
      <text>
        <r>
          <rPr>
            <b/>
            <sz val="9"/>
            <color indexed="81"/>
            <rFont val="Tahoma"/>
            <family val="2"/>
          </rPr>
          <t>960601   1
960602   1</t>
        </r>
        <r>
          <rPr>
            <sz val="9"/>
            <color indexed="81"/>
            <rFont val="Tahoma"/>
            <family val="2"/>
          </rPr>
          <t xml:space="preserve">
</t>
        </r>
      </text>
    </comment>
    <comment ref="C12" authorId="0" shapeId="0" xr:uid="{8202B8E9-CE19-457E-8B07-6B250C2A637D}">
      <text>
        <r>
          <rPr>
            <b/>
            <sz val="9"/>
            <color indexed="81"/>
            <rFont val="Tahoma"/>
            <family val="2"/>
          </rPr>
          <t>11367   506</t>
        </r>
        <r>
          <rPr>
            <sz val="9"/>
            <color indexed="81"/>
            <rFont val="Tahoma"/>
            <family val="2"/>
          </rPr>
          <t xml:space="preserve">
</t>
        </r>
      </text>
    </comment>
    <comment ref="D12" authorId="0" shapeId="0" xr:uid="{B57EFF45-7A20-4B87-B417-F6ED11CC8FEC}">
      <text>
        <r>
          <rPr>
            <b/>
            <sz val="9"/>
            <color indexed="81"/>
            <rFont val="Tahoma"/>
            <family val="2"/>
          </rPr>
          <t>960604    4
960606    5</t>
        </r>
      </text>
    </comment>
    <comment ref="E12" authorId="0" shapeId="0" xr:uid="{B9AC530B-D63E-4768-92A9-5D8735FEE606}">
      <text>
        <r>
          <rPr>
            <b/>
            <sz val="9"/>
            <color indexed="81"/>
            <rFont val="Tahoma"/>
            <family val="2"/>
          </rPr>
          <t>11344   290
11349   343</t>
        </r>
        <r>
          <rPr>
            <sz val="9"/>
            <color indexed="81"/>
            <rFont val="Tahoma"/>
            <family val="2"/>
          </rPr>
          <t xml:space="preserve">
</t>
        </r>
      </text>
    </comment>
    <comment ref="G12" authorId="0" shapeId="0" xr:uid="{23BFF089-8436-4E40-91A0-53D709FA975B}">
      <text>
        <r>
          <rPr>
            <b/>
            <sz val="9"/>
            <color indexed="81"/>
            <rFont val="Tahoma"/>
            <family val="2"/>
          </rPr>
          <t>11349   343</t>
        </r>
        <r>
          <rPr>
            <sz val="9"/>
            <color indexed="81"/>
            <rFont val="Tahoma"/>
            <family val="2"/>
          </rPr>
          <t xml:space="preserve">
</t>
        </r>
        <r>
          <rPr>
            <b/>
            <sz val="9"/>
            <color indexed="81"/>
            <rFont val="Tahoma"/>
            <family val="2"/>
          </rPr>
          <t>11357   150   TE
11367   150   TE
11367   356   ??</t>
        </r>
      </text>
    </comment>
    <comment ref="K12" authorId="0" shapeId="0" xr:uid="{6303534C-3BDA-4097-BC68-D6C3713C77BD}">
      <text>
        <r>
          <rPr>
            <b/>
            <sz val="9"/>
            <color indexed="81"/>
            <rFont val="Tahoma"/>
            <family val="2"/>
          </rPr>
          <t>11347   117</t>
        </r>
        <r>
          <rPr>
            <sz val="9"/>
            <color indexed="81"/>
            <rFont val="Tahoma"/>
            <family val="2"/>
          </rPr>
          <t xml:space="preserve">
</t>
        </r>
        <r>
          <rPr>
            <b/>
            <sz val="9"/>
            <color indexed="81"/>
            <rFont val="Tahoma"/>
            <family val="2"/>
          </rPr>
          <t>11341   257
11367   506</t>
        </r>
      </text>
    </comment>
    <comment ref="C13" authorId="0" shapeId="0" xr:uid="{9FC6A4DB-2FC5-43FC-AAEE-C3FB8661FFFB}">
      <text>
        <r>
          <rPr>
            <b/>
            <sz val="9"/>
            <color indexed="81"/>
            <rFont val="Tahoma"/>
            <family val="2"/>
          </rPr>
          <t>11370  320  TE
11371  920  Symbol</t>
        </r>
        <r>
          <rPr>
            <sz val="9"/>
            <color indexed="81"/>
            <rFont val="Tahoma"/>
            <family val="2"/>
          </rPr>
          <t xml:space="preserve">
</t>
        </r>
      </text>
    </comment>
    <comment ref="E13" authorId="0" shapeId="0" xr:uid="{C404B556-02EC-41A2-80EE-D2A0B7FD1F7B}">
      <text>
        <r>
          <rPr>
            <b/>
            <sz val="9"/>
            <color indexed="81"/>
            <rFont val="Tahoma"/>
            <family val="2"/>
          </rPr>
          <t>11344    250</t>
        </r>
        <r>
          <rPr>
            <sz val="9"/>
            <color indexed="81"/>
            <rFont val="Tahoma"/>
            <family val="2"/>
          </rPr>
          <t xml:space="preserve">
</t>
        </r>
      </text>
    </comment>
    <comment ref="F13" authorId="0" shapeId="0" xr:uid="{A2AD478F-0532-45BF-9F62-EFD332B703A4}">
      <text>
        <r>
          <rPr>
            <b/>
            <sz val="9"/>
            <color indexed="81"/>
            <rFont val="Tahoma"/>
            <family val="2"/>
          </rPr>
          <t xml:space="preserve">960606     5
960604     4
960601     1
960602     1
960600     4
960599     4
960598     2
960597     1
960597     1
</t>
        </r>
        <r>
          <rPr>
            <sz val="9"/>
            <color indexed="81"/>
            <rFont val="Tahoma"/>
            <family val="2"/>
          </rPr>
          <t xml:space="preserve">
</t>
        </r>
      </text>
    </comment>
    <comment ref="G13" authorId="0" shapeId="0" xr:uid="{2AAD7C46-6CBE-456F-95D1-8AC25A026BDC}">
      <text>
        <r>
          <rPr>
            <b/>
            <sz val="9"/>
            <color indexed="81"/>
            <rFont val="Tahoma"/>
            <family val="2"/>
          </rPr>
          <t>11348    446
11351    348</t>
        </r>
      </text>
    </comment>
    <comment ref="K13" authorId="0" shapeId="0" xr:uid="{025EF102-F10A-495C-BF5E-5624D3DA58D6}">
      <text>
        <r>
          <rPr>
            <b/>
            <sz val="9"/>
            <color indexed="81"/>
            <rFont val="Tahoma"/>
            <family val="2"/>
          </rPr>
          <t xml:space="preserve">11341   257
11341     93
</t>
        </r>
        <r>
          <rPr>
            <sz val="9"/>
            <color indexed="81"/>
            <rFont val="Tahoma"/>
            <family val="2"/>
          </rPr>
          <t xml:space="preserve">
</t>
        </r>
      </text>
    </comment>
    <comment ref="D14" authorId="0" shapeId="0" xr:uid="{971A92A8-0CC3-46A2-B52A-D413C8E868B5}">
      <text>
        <r>
          <rPr>
            <b/>
            <sz val="9"/>
            <color indexed="81"/>
            <rFont val="Tahoma"/>
            <family val="2"/>
          </rPr>
          <t>960603   4
960605   4
960607   1</t>
        </r>
        <r>
          <rPr>
            <sz val="9"/>
            <color indexed="81"/>
            <rFont val="Tahoma"/>
            <family val="2"/>
          </rPr>
          <t xml:space="preserve">
</t>
        </r>
      </text>
    </comment>
    <comment ref="E14" authorId="0" shapeId="0" xr:uid="{78FD7C81-80C1-4051-A7DD-B88674FCFD4B}">
      <text>
        <r>
          <rPr>
            <b/>
            <sz val="9"/>
            <color indexed="81"/>
            <rFont val="Tahoma"/>
            <family val="2"/>
          </rPr>
          <t>11344    264</t>
        </r>
        <r>
          <rPr>
            <sz val="9"/>
            <color indexed="81"/>
            <rFont val="Tahoma"/>
            <family val="2"/>
          </rPr>
          <t xml:space="preserve">
</t>
        </r>
      </text>
    </comment>
    <comment ref="G14" authorId="0" shapeId="0" xr:uid="{5AF12057-C623-462C-8B40-EAEBF9139FE0}">
      <text>
        <r>
          <rPr>
            <b/>
            <sz val="9"/>
            <color indexed="81"/>
            <rFont val="Tahoma"/>
            <family val="2"/>
          </rPr>
          <t>11354  383</t>
        </r>
        <r>
          <rPr>
            <sz val="9"/>
            <color indexed="81"/>
            <rFont val="Tahoma"/>
            <family val="2"/>
          </rPr>
          <t xml:space="preserve">
</t>
        </r>
      </text>
    </comment>
    <comment ref="C15" authorId="0" shapeId="0" xr:uid="{EBF53ABF-BF1A-427C-A508-1F1F1D922CA8}">
      <text>
        <r>
          <rPr>
            <b/>
            <sz val="9"/>
            <color indexed="81"/>
            <rFont val="Tahoma"/>
            <family val="2"/>
          </rPr>
          <t>11368  506</t>
        </r>
        <r>
          <rPr>
            <sz val="9"/>
            <color indexed="81"/>
            <rFont val="Tahoma"/>
            <family val="2"/>
          </rPr>
          <t xml:space="preserve">
</t>
        </r>
      </text>
    </comment>
    <comment ref="E15" authorId="0" shapeId="0" xr:uid="{78A7AF0D-CCBD-42BD-838E-1ACB49072723}">
      <text>
        <r>
          <rPr>
            <b/>
            <sz val="9"/>
            <color indexed="81"/>
            <rFont val="Tahoma"/>
            <family val="2"/>
          </rPr>
          <t>11353  200</t>
        </r>
        <r>
          <rPr>
            <sz val="9"/>
            <color indexed="81"/>
            <rFont val="Tahoma"/>
            <family val="2"/>
          </rPr>
          <t xml:space="preserve">
</t>
        </r>
      </text>
    </comment>
    <comment ref="F15" authorId="0" shapeId="0" xr:uid="{6D5FEDA2-3E69-4336-8D28-272F78BAD42C}">
      <text>
        <r>
          <rPr>
            <b/>
            <sz val="9"/>
            <color indexed="81"/>
            <rFont val="Tahoma"/>
            <family val="2"/>
          </rPr>
          <t>960605   4</t>
        </r>
        <r>
          <rPr>
            <sz val="9"/>
            <color indexed="81"/>
            <rFont val="Tahoma"/>
            <family val="2"/>
          </rPr>
          <t xml:space="preserve">
</t>
        </r>
      </text>
    </comment>
    <comment ref="I15" authorId="0" shapeId="0" xr:uid="{0B8408D2-C706-4CC9-89D3-17D400423610}">
      <text>
        <r>
          <rPr>
            <b/>
            <sz val="9"/>
            <color indexed="81"/>
            <rFont val="Tahoma"/>
            <family val="2"/>
          </rPr>
          <t>11331    90
11334  265</t>
        </r>
        <r>
          <rPr>
            <sz val="9"/>
            <color indexed="81"/>
            <rFont val="Tahoma"/>
            <family val="2"/>
          </rPr>
          <t xml:space="preserve">
</t>
        </r>
        <r>
          <rPr>
            <b/>
            <sz val="9"/>
            <color indexed="81"/>
            <rFont val="Tahoma"/>
            <family val="2"/>
          </rPr>
          <t>11348  446</t>
        </r>
      </text>
    </comment>
    <comment ref="K15" authorId="0" shapeId="0" xr:uid="{CD80FD95-7245-46AE-9451-8E0749AE3CD6}">
      <text>
        <r>
          <rPr>
            <b/>
            <sz val="9"/>
            <color indexed="81"/>
            <rFont val="Tahoma"/>
            <family val="2"/>
          </rPr>
          <t>11331   300
11348   446</t>
        </r>
        <r>
          <rPr>
            <sz val="9"/>
            <color indexed="81"/>
            <rFont val="Tahoma"/>
            <family val="2"/>
          </rPr>
          <t xml:space="preserve">
</t>
        </r>
      </text>
    </comment>
    <comment ref="C16" authorId="0" shapeId="0" xr:uid="{4C4CFB87-28D0-4DAF-B397-1FF98EF5BEBE}">
      <text>
        <r>
          <rPr>
            <sz val="9"/>
            <color indexed="81"/>
            <rFont val="Tahoma"/>
            <family val="2"/>
          </rPr>
          <t xml:space="preserve">11369  506
</t>
        </r>
      </text>
    </comment>
    <comment ref="E16" authorId="0" shapeId="0" xr:uid="{94054BB6-6A24-42B5-9093-AC2043845AE7}">
      <text>
        <r>
          <rPr>
            <b/>
            <sz val="9"/>
            <color indexed="81"/>
            <rFont val="Tahoma"/>
            <family val="2"/>
          </rPr>
          <t>11353    242</t>
        </r>
        <r>
          <rPr>
            <sz val="9"/>
            <color indexed="81"/>
            <rFont val="Tahoma"/>
            <family val="2"/>
          </rPr>
          <t xml:space="preserve">
</t>
        </r>
      </text>
    </comment>
    <comment ref="F16" authorId="0" shapeId="0" xr:uid="{88173236-A483-4451-BFF4-6701FF172777}">
      <text>
        <r>
          <rPr>
            <b/>
            <sz val="9"/>
            <color indexed="81"/>
            <rFont val="Tahoma"/>
            <family val="2"/>
          </rPr>
          <t>960603    1</t>
        </r>
        <r>
          <rPr>
            <sz val="9"/>
            <color indexed="81"/>
            <rFont val="Tahoma"/>
            <family val="2"/>
          </rPr>
          <t xml:space="preserve">
</t>
        </r>
      </text>
    </comment>
    <comment ref="K16" authorId="0" shapeId="0" xr:uid="{045BFA80-092C-4735-B9B2-889F19EAAA1A}">
      <text>
        <r>
          <rPr>
            <b/>
            <sz val="9"/>
            <color indexed="81"/>
            <rFont val="Tahoma"/>
            <family val="2"/>
          </rPr>
          <t>11331    100
11334    145
11339    343</t>
        </r>
        <r>
          <rPr>
            <sz val="9"/>
            <color indexed="81"/>
            <rFont val="Tahoma"/>
            <family val="2"/>
          </rPr>
          <t xml:space="preserve">
</t>
        </r>
      </text>
    </comment>
    <comment ref="K17" authorId="0" shapeId="0" xr:uid="{2C1AE02D-4D4E-42AB-8CE8-F42C4BFFE51C}">
      <text>
        <r>
          <rPr>
            <b/>
            <sz val="9"/>
            <color indexed="81"/>
            <rFont val="Tahoma"/>
            <family val="2"/>
          </rPr>
          <t xml:space="preserve">11331    110
11357    186
</t>
        </r>
        <r>
          <rPr>
            <sz val="9"/>
            <color indexed="81"/>
            <rFont val="Tahoma"/>
            <family val="2"/>
          </rPr>
          <t xml:space="preserve">
</t>
        </r>
      </text>
    </comment>
    <comment ref="D20" authorId="0" shapeId="0" xr:uid="{ADEF89F7-BFB4-4533-8E87-7FBA48A9B8EA}">
      <text>
        <r>
          <rPr>
            <b/>
            <sz val="9"/>
            <color indexed="81"/>
            <rFont val="Tahoma"/>
            <family val="2"/>
          </rPr>
          <t xml:space="preserve">960608   1
960609   1
960610   1
960611   1
960612   3
960613   1
960614   10
960615   10
 </t>
        </r>
        <r>
          <rPr>
            <sz val="9"/>
            <color indexed="81"/>
            <rFont val="Tahoma"/>
            <family val="2"/>
          </rPr>
          <t xml:space="preserve">
</t>
        </r>
      </text>
    </comment>
    <comment ref="E20" authorId="0" shapeId="0" xr:uid="{F980914A-493D-4441-B740-A6AD92A92EFB}">
      <text>
        <r>
          <rPr>
            <b/>
            <sz val="9"/>
            <color indexed="81"/>
            <rFont val="Tahoma"/>
            <family val="2"/>
          </rPr>
          <t>11343  300</t>
        </r>
        <r>
          <rPr>
            <sz val="9"/>
            <color indexed="81"/>
            <rFont val="Tahoma"/>
            <family val="2"/>
          </rPr>
          <t xml:space="preserve">
</t>
        </r>
      </text>
    </comment>
    <comment ref="E21" authorId="0" shapeId="0" xr:uid="{7209C8D3-40E7-483A-8ED6-35D988DE323F}">
      <text>
        <r>
          <rPr>
            <b/>
            <sz val="9"/>
            <color indexed="81"/>
            <rFont val="Tahoma"/>
            <family val="2"/>
          </rPr>
          <t>11434   125
11341   100</t>
        </r>
        <r>
          <rPr>
            <sz val="9"/>
            <color indexed="81"/>
            <rFont val="Tahoma"/>
            <family val="2"/>
          </rPr>
          <t xml:space="preserve">
</t>
        </r>
      </text>
    </comment>
    <comment ref="K21" authorId="0" shapeId="0" xr:uid="{968BD0DB-E5A7-47EC-823F-4DBCB042A04B}">
      <text>
        <r>
          <rPr>
            <b/>
            <sz val="9"/>
            <color indexed="81"/>
            <rFont val="Tahoma"/>
            <family val="2"/>
          </rPr>
          <t xml:space="preserve">11344   218    3846
11351   174    3886
11354   100    3892
11357   146    3893
</t>
        </r>
        <r>
          <rPr>
            <sz val="9"/>
            <color indexed="81"/>
            <rFont val="Tahoma"/>
            <family val="2"/>
          </rPr>
          <t xml:space="preserve">
</t>
        </r>
      </text>
    </comment>
    <comment ref="M21" authorId="0" shapeId="0" xr:uid="{22A4D51F-8AC2-48C8-9DB5-EA9BBB3264C9}">
      <text>
        <r>
          <rPr>
            <b/>
            <sz val="9"/>
            <color indexed="81"/>
            <rFont val="Tahoma"/>
            <family val="2"/>
          </rPr>
          <t>11331   178
11341   101
11341   130</t>
        </r>
        <r>
          <rPr>
            <sz val="9"/>
            <color indexed="81"/>
            <rFont val="Tahoma"/>
            <family val="2"/>
          </rPr>
          <t xml:space="preserve">
</t>
        </r>
      </text>
    </comment>
    <comment ref="D22" authorId="0" shapeId="0" xr:uid="{259A2CC8-A7EF-42F8-9E8B-0369BA50D314}">
      <text>
        <r>
          <rPr>
            <b/>
            <sz val="9"/>
            <color indexed="81"/>
            <rFont val="Tahoma"/>
            <family val="2"/>
          </rPr>
          <t xml:space="preserve">960616    4
</t>
        </r>
        <r>
          <rPr>
            <sz val="9"/>
            <color indexed="81"/>
            <rFont val="Tahoma"/>
            <family val="2"/>
          </rPr>
          <t xml:space="preserve">
</t>
        </r>
      </text>
    </comment>
    <comment ref="E22" authorId="0" shapeId="0" xr:uid="{B18F39E5-037F-44C5-A365-57FDD75A4713}">
      <text>
        <r>
          <rPr>
            <b/>
            <sz val="9"/>
            <color indexed="81"/>
            <rFont val="Tahoma"/>
            <family val="2"/>
          </rPr>
          <t>11371   400</t>
        </r>
        <r>
          <rPr>
            <sz val="9"/>
            <color indexed="81"/>
            <rFont val="Tahoma"/>
            <family val="2"/>
          </rPr>
          <t xml:space="preserve">
</t>
        </r>
      </text>
    </comment>
    <comment ref="F22" authorId="0" shapeId="0" xr:uid="{E5915C92-FCEB-4F37-A9C9-F830828A5193}">
      <text>
        <r>
          <rPr>
            <b/>
            <sz val="9"/>
            <color indexed="81"/>
            <rFont val="Tahoma"/>
            <family val="2"/>
          </rPr>
          <t>960607   1
960614   10
960615   10</t>
        </r>
        <r>
          <rPr>
            <sz val="9"/>
            <color indexed="81"/>
            <rFont val="Tahoma"/>
            <family val="2"/>
          </rPr>
          <t xml:space="preserve">
</t>
        </r>
      </text>
    </comment>
    <comment ref="I22" authorId="0" shapeId="0" xr:uid="{AAA88B31-B4F6-437B-93B5-F788CB40EF6A}">
      <text>
        <r>
          <rPr>
            <b/>
            <sz val="9"/>
            <color indexed="81"/>
            <rFont val="Tahoma"/>
            <family val="2"/>
          </rPr>
          <t>11350   376
11353   442</t>
        </r>
        <r>
          <rPr>
            <sz val="9"/>
            <color indexed="81"/>
            <rFont val="Tahoma"/>
            <family val="2"/>
          </rPr>
          <t xml:space="preserve">
</t>
        </r>
      </text>
    </comment>
    <comment ref="K22" authorId="0" shapeId="0" xr:uid="{DF2BCAD5-D153-462E-81DA-C5C4B03DAF69}">
      <text>
        <r>
          <rPr>
            <b/>
            <sz val="9"/>
            <color indexed="81"/>
            <rFont val="Tahoma"/>
            <family val="2"/>
          </rPr>
          <t>11344   102</t>
        </r>
        <r>
          <rPr>
            <sz val="9"/>
            <color indexed="81"/>
            <rFont val="Tahoma"/>
            <family val="2"/>
          </rPr>
          <t xml:space="preserve">
</t>
        </r>
      </text>
    </comment>
    <comment ref="L22" authorId="0" shapeId="0" xr:uid="{4F0512B7-48D7-4B87-95B2-2CCCEC61DC1C}">
      <text>
        <r>
          <rPr>
            <b/>
            <sz val="9"/>
            <color indexed="81"/>
            <rFont val="Tahoma"/>
            <family val="2"/>
          </rPr>
          <t>960607   1</t>
        </r>
        <r>
          <rPr>
            <sz val="9"/>
            <color indexed="81"/>
            <rFont val="Tahoma"/>
            <family val="2"/>
          </rPr>
          <t xml:space="preserve">
</t>
        </r>
      </text>
    </comment>
    <comment ref="M22" authorId="0" shapeId="0" xr:uid="{829DD631-274F-462E-BC22-4AA9E531BDF7}">
      <text>
        <r>
          <rPr>
            <b/>
            <sz val="9"/>
            <color indexed="81"/>
            <rFont val="Tahoma"/>
            <family val="2"/>
          </rPr>
          <t xml:space="preserve">11344   80
</t>
        </r>
        <r>
          <rPr>
            <sz val="9"/>
            <color indexed="81"/>
            <rFont val="Tahoma"/>
            <family val="2"/>
          </rPr>
          <t xml:space="preserve">
</t>
        </r>
      </text>
    </comment>
    <comment ref="D23" authorId="0" shapeId="0" xr:uid="{1A477B43-8278-486C-A631-C36FE10DB932}">
      <text>
        <r>
          <rPr>
            <b/>
            <sz val="9"/>
            <color indexed="81"/>
            <rFont val="Tahoma"/>
            <family val="2"/>
          </rPr>
          <t>960617     4
960619     1
960620     1
960622     4
960623     1</t>
        </r>
        <r>
          <rPr>
            <sz val="9"/>
            <color indexed="81"/>
            <rFont val="Tahoma"/>
            <family val="2"/>
          </rPr>
          <t xml:space="preserve">
 </t>
        </r>
      </text>
    </comment>
    <comment ref="I23" authorId="0" shapeId="0" xr:uid="{23D392D1-FAF3-4BCA-BAF6-1A4E37304C64}">
      <text>
        <r>
          <rPr>
            <b/>
            <sz val="9"/>
            <color indexed="81"/>
            <rFont val="Tahoma"/>
            <family val="2"/>
          </rPr>
          <t>11344    102</t>
        </r>
        <r>
          <rPr>
            <sz val="9"/>
            <color indexed="81"/>
            <rFont val="Tahoma"/>
            <family val="2"/>
          </rPr>
          <t xml:space="preserve">
</t>
        </r>
      </text>
    </comment>
    <comment ref="K23" authorId="0" shapeId="0" xr:uid="{9EF9A068-B5D3-4B0E-83D7-4A36668C31F4}">
      <text>
        <r>
          <rPr>
            <b/>
            <sz val="9"/>
            <color indexed="81"/>
            <rFont val="Tahoma"/>
            <family val="2"/>
          </rPr>
          <t>11351   174
11344   102
11349   131</t>
        </r>
        <r>
          <rPr>
            <sz val="9"/>
            <color indexed="81"/>
            <rFont val="Tahoma"/>
            <family val="2"/>
          </rPr>
          <t xml:space="preserve">
</t>
        </r>
      </text>
    </comment>
    <comment ref="M23" authorId="0" shapeId="0" xr:uid="{0A09EDC8-B89A-4AA5-80E7-912D30A5703C}">
      <text>
        <r>
          <rPr>
            <b/>
            <sz val="9"/>
            <color indexed="81"/>
            <rFont val="Tahoma"/>
            <family val="2"/>
          </rPr>
          <t>11344   207
11354     29
11357   120</t>
        </r>
        <r>
          <rPr>
            <sz val="9"/>
            <color indexed="81"/>
            <rFont val="Tahoma"/>
            <family val="2"/>
          </rPr>
          <t xml:space="preserve">
</t>
        </r>
      </text>
    </comment>
    <comment ref="C28" authorId="0" shapeId="0" xr:uid="{D9AC3CE8-DF58-458E-A653-A20ECA387A64}">
      <text>
        <r>
          <rPr>
            <b/>
            <sz val="9"/>
            <color indexed="81"/>
            <rFont val="Tahoma"/>
            <family val="2"/>
          </rPr>
          <t>11372   702</t>
        </r>
        <r>
          <rPr>
            <sz val="9"/>
            <color indexed="81"/>
            <rFont val="Tahoma"/>
            <family val="2"/>
          </rPr>
          <t xml:space="preserve">
</t>
        </r>
      </text>
    </comment>
    <comment ref="D28" authorId="0" shapeId="0" xr:uid="{7D4FF7CE-37DD-4174-BB22-B51F66566055}">
      <text>
        <r>
          <rPr>
            <b/>
            <sz val="9"/>
            <color indexed="81"/>
            <rFont val="Tahoma"/>
            <family val="2"/>
          </rPr>
          <t>960618   4
960621   4
960624   1
960621   1
960626   1</t>
        </r>
        <r>
          <rPr>
            <sz val="9"/>
            <color indexed="81"/>
            <rFont val="Tahoma"/>
            <family val="2"/>
          </rPr>
          <t xml:space="preserve">
</t>
        </r>
      </text>
    </comment>
    <comment ref="E28" authorId="0" shapeId="0" xr:uid="{78C98023-4C63-4CCB-95DE-4DDFA8E86ED8}">
      <text>
        <r>
          <rPr>
            <b/>
            <sz val="9"/>
            <color indexed="81"/>
            <rFont val="Tahoma"/>
            <family val="2"/>
          </rPr>
          <t>11371    70</t>
        </r>
        <r>
          <rPr>
            <sz val="9"/>
            <color indexed="81"/>
            <rFont val="Tahoma"/>
            <family val="2"/>
          </rPr>
          <t xml:space="preserve">
</t>
        </r>
        <r>
          <rPr>
            <b/>
            <sz val="9"/>
            <color indexed="81"/>
            <rFont val="Tahoma"/>
            <family val="2"/>
          </rPr>
          <t>11361  150</t>
        </r>
      </text>
    </comment>
    <comment ref="G28" authorId="0" shapeId="0" xr:uid="{FFAF701F-1A80-4563-B132-E8528C5D0F3A}">
      <text>
        <r>
          <rPr>
            <b/>
            <sz val="9"/>
            <color indexed="81"/>
            <rFont val="Tahoma"/>
            <family val="2"/>
          </rPr>
          <t>11357   127
11357     61</t>
        </r>
        <r>
          <rPr>
            <sz val="9"/>
            <color indexed="81"/>
            <rFont val="Tahoma"/>
            <family val="2"/>
          </rPr>
          <t xml:space="preserve">
</t>
        </r>
      </text>
    </comment>
    <comment ref="I28" authorId="0" shapeId="0" xr:uid="{0DC5C67D-210F-409B-929A-E9C48C262A76}">
      <text>
        <r>
          <rPr>
            <b/>
            <sz val="9"/>
            <color indexed="81"/>
            <rFont val="Tahoma"/>
            <family val="2"/>
          </rPr>
          <t>11343  325</t>
        </r>
        <r>
          <rPr>
            <sz val="9"/>
            <color indexed="81"/>
            <rFont val="Tahoma"/>
            <family val="2"/>
          </rPr>
          <t xml:space="preserve">
</t>
        </r>
      </text>
    </comment>
    <comment ref="K28" authorId="0" shapeId="0" xr:uid="{57CFEC0B-839E-484C-B952-35F42930856A}">
      <text>
        <r>
          <rPr>
            <b/>
            <sz val="9"/>
            <color indexed="81"/>
            <rFont val="Tahoma"/>
            <family val="2"/>
          </rPr>
          <t>11344   292
11353     35
11353   150</t>
        </r>
        <r>
          <rPr>
            <sz val="9"/>
            <color indexed="81"/>
            <rFont val="Tahoma"/>
            <family val="2"/>
          </rPr>
          <t xml:space="preserve">
</t>
        </r>
      </text>
    </comment>
    <comment ref="M28" authorId="0" shapeId="0" xr:uid="{E4DA9ABA-14D1-451E-BBAD-03FEC177B611}">
      <text>
        <r>
          <rPr>
            <b/>
            <sz val="9"/>
            <color indexed="81"/>
            <rFont val="Tahoma"/>
            <family val="2"/>
          </rPr>
          <t xml:space="preserve">11357  127
11349  317
</t>
        </r>
        <r>
          <rPr>
            <sz val="9"/>
            <color indexed="81"/>
            <rFont val="Tahoma"/>
            <family val="2"/>
          </rPr>
          <t xml:space="preserve">
</t>
        </r>
      </text>
    </comment>
    <comment ref="D29" authorId="0" shapeId="0" xr:uid="{EDBC3727-22F0-4D5C-B550-74CF12D199C1}">
      <text>
        <r>
          <rPr>
            <b/>
            <sz val="9"/>
            <color indexed="81"/>
            <rFont val="Tahoma"/>
            <family val="2"/>
          </rPr>
          <t>960627   1</t>
        </r>
        <r>
          <rPr>
            <sz val="9"/>
            <color indexed="81"/>
            <rFont val="Tahoma"/>
            <family val="2"/>
          </rPr>
          <t xml:space="preserve">
</t>
        </r>
      </text>
    </comment>
    <comment ref="E29" authorId="0" shapeId="0" xr:uid="{C2B4043C-9633-484A-8294-4A67B0BF390F}">
      <text>
        <r>
          <rPr>
            <b/>
            <sz val="9"/>
            <color indexed="81"/>
            <rFont val="Tahoma"/>
            <family val="2"/>
          </rPr>
          <t>11361  150</t>
        </r>
        <r>
          <rPr>
            <sz val="9"/>
            <color indexed="81"/>
            <rFont val="Tahoma"/>
            <family val="2"/>
          </rPr>
          <t xml:space="preserve">
</t>
        </r>
      </text>
    </comment>
    <comment ref="I29" authorId="0" shapeId="0" xr:uid="{70D7E12F-593C-498D-B40D-E0C5F0DC117C}">
      <text>
        <r>
          <rPr>
            <b/>
            <sz val="9"/>
            <color indexed="81"/>
            <rFont val="Tahoma"/>
            <family val="2"/>
          </rPr>
          <t>11371 290</t>
        </r>
        <r>
          <rPr>
            <sz val="9"/>
            <color indexed="81"/>
            <rFont val="Tahoma"/>
            <family val="2"/>
          </rPr>
          <t xml:space="preserve">
</t>
        </r>
      </text>
    </comment>
    <comment ref="K29" authorId="0" shapeId="0" xr:uid="{C7907B47-4665-44DF-9530-31D51F32B731}">
      <text>
        <r>
          <rPr>
            <b/>
            <sz val="9"/>
            <color indexed="81"/>
            <rFont val="Tahoma"/>
            <family val="2"/>
          </rPr>
          <t>11350  376
11353  108</t>
        </r>
        <r>
          <rPr>
            <sz val="9"/>
            <color indexed="81"/>
            <rFont val="Tahoma"/>
            <family val="2"/>
          </rPr>
          <t xml:space="preserve">
</t>
        </r>
      </text>
    </comment>
    <comment ref="M29" authorId="0" shapeId="0" xr:uid="{A090C2FE-97B7-4DCA-BCAA-2C7161C1AB6F}">
      <text>
        <r>
          <rPr>
            <b/>
            <sz val="9"/>
            <color indexed="81"/>
            <rFont val="Tahoma"/>
            <family val="2"/>
          </rPr>
          <t>11349   156</t>
        </r>
        <r>
          <rPr>
            <sz val="9"/>
            <color indexed="81"/>
            <rFont val="Tahoma"/>
            <family val="2"/>
          </rPr>
          <t xml:space="preserve">
</t>
        </r>
      </text>
    </comment>
    <comment ref="C30" authorId="0" shapeId="0" xr:uid="{7DFE5BAF-DC3B-488B-A61F-FD1B4FBC6C02}">
      <text>
        <r>
          <rPr>
            <b/>
            <sz val="9"/>
            <color indexed="81"/>
            <rFont val="Tahoma"/>
            <family val="2"/>
          </rPr>
          <t>11373   714</t>
        </r>
        <r>
          <rPr>
            <sz val="9"/>
            <color indexed="81"/>
            <rFont val="Tahoma"/>
            <family val="2"/>
          </rPr>
          <t xml:space="preserve">
</t>
        </r>
      </text>
    </comment>
    <comment ref="E30" authorId="0" shapeId="0" xr:uid="{A27330C9-F76F-4B8E-9728-7CBFCC3A4EEF}">
      <text>
        <r>
          <rPr>
            <b/>
            <sz val="9"/>
            <color indexed="81"/>
            <rFont val="Tahoma"/>
            <family val="2"/>
          </rPr>
          <t>11345    297</t>
        </r>
        <r>
          <rPr>
            <sz val="9"/>
            <color indexed="81"/>
            <rFont val="Tahoma"/>
            <family val="2"/>
          </rPr>
          <t xml:space="preserve">
</t>
        </r>
      </text>
    </comment>
    <comment ref="F30" authorId="0" shapeId="0" xr:uid="{A5277BF5-331B-4A00-A05D-8F376D20438F}">
      <text>
        <r>
          <rPr>
            <b/>
            <sz val="9"/>
            <color indexed="81"/>
            <rFont val="Tahoma"/>
            <family val="2"/>
          </rPr>
          <t>960610   1
960612   3
960613   1
960616   4
960619   1
960622   4</t>
        </r>
        <r>
          <rPr>
            <sz val="9"/>
            <color indexed="81"/>
            <rFont val="Tahoma"/>
            <family val="2"/>
          </rPr>
          <t xml:space="preserve">
</t>
        </r>
      </text>
    </comment>
    <comment ref="G30" authorId="0" shapeId="0" xr:uid="{D9BA2762-9BB7-44F3-888B-C9928A309337}">
      <text>
        <r>
          <rPr>
            <b/>
            <sz val="9"/>
            <color indexed="81"/>
            <rFont val="Tahoma"/>
            <family val="2"/>
          </rPr>
          <t xml:space="preserve">11342   70
</t>
        </r>
      </text>
    </comment>
    <comment ref="I30" authorId="0" shapeId="0" xr:uid="{43B11B1E-6C6E-44BD-9642-BD9269AF9AE9}">
      <text>
        <r>
          <rPr>
            <sz val="9"/>
            <color indexed="81"/>
            <rFont val="Tahoma"/>
            <family val="2"/>
          </rPr>
          <t xml:space="preserve">11371   220
</t>
        </r>
      </text>
    </comment>
    <comment ref="K30" authorId="0" shapeId="0" xr:uid="{A38B1C20-1747-4D0F-9CDD-DC798ED0AF86}">
      <text>
        <r>
          <rPr>
            <b/>
            <sz val="9"/>
            <color indexed="81"/>
            <rFont val="Tahoma"/>
            <family val="2"/>
          </rPr>
          <t>11248    70
11343  248</t>
        </r>
        <r>
          <rPr>
            <sz val="9"/>
            <color indexed="81"/>
            <rFont val="Tahoma"/>
            <family val="2"/>
          </rPr>
          <t xml:space="preserve">
</t>
        </r>
      </text>
    </comment>
    <comment ref="M30" authorId="0" shapeId="0" xr:uid="{1D50D55C-33FD-4C5D-97DC-ACA891EE563B}">
      <text>
        <r>
          <rPr>
            <b/>
            <sz val="9"/>
            <color indexed="81"/>
            <rFont val="Tahoma"/>
            <family val="2"/>
          </rPr>
          <t>11344  192
11344  290</t>
        </r>
        <r>
          <rPr>
            <sz val="9"/>
            <color indexed="81"/>
            <rFont val="Tahoma"/>
            <family val="2"/>
          </rPr>
          <t xml:space="preserve">
</t>
        </r>
      </text>
    </comment>
    <comment ref="C31" authorId="0" shapeId="0" xr:uid="{82487410-A69A-4EAF-BFEB-C7006D4EBB25}">
      <text>
        <r>
          <rPr>
            <b/>
            <sz val="9"/>
            <color indexed="81"/>
            <rFont val="Tahoma"/>
            <family val="2"/>
          </rPr>
          <t>11375   850</t>
        </r>
        <r>
          <rPr>
            <sz val="9"/>
            <color indexed="81"/>
            <rFont val="Tahoma"/>
            <family val="2"/>
          </rPr>
          <t xml:space="preserve">
</t>
        </r>
      </text>
    </comment>
    <comment ref="E31" authorId="0" shapeId="0" xr:uid="{7AA50179-C6B2-425D-BE56-6C29B0A15825}">
      <text>
        <r>
          <rPr>
            <b/>
            <sz val="9"/>
            <color indexed="81"/>
            <rFont val="Tahoma"/>
            <family val="2"/>
          </rPr>
          <t>11345    293</t>
        </r>
        <r>
          <rPr>
            <sz val="9"/>
            <color indexed="81"/>
            <rFont val="Tahoma"/>
            <family val="2"/>
          </rPr>
          <t xml:space="preserve">
</t>
        </r>
      </text>
    </comment>
    <comment ref="G31" authorId="0" shapeId="0" xr:uid="{26EDC73F-AF4D-4B0E-8E8B-BCA9EEAE27DA}">
      <text>
        <r>
          <rPr>
            <b/>
            <sz val="9"/>
            <color indexed="81"/>
            <rFont val="Tahoma"/>
            <family val="2"/>
          </rPr>
          <t>11342    27</t>
        </r>
        <r>
          <rPr>
            <sz val="9"/>
            <color indexed="81"/>
            <rFont val="Tahoma"/>
            <family val="2"/>
          </rPr>
          <t xml:space="preserve">
</t>
        </r>
      </text>
    </comment>
    <comment ref="I31" authorId="0" shapeId="0" xr:uid="{6C7F9ED1-21E9-4EC1-BBC3-830F62B4FDCD}">
      <text>
        <r>
          <rPr>
            <b/>
            <sz val="9"/>
            <color indexed="81"/>
            <rFont val="Tahoma"/>
            <family val="2"/>
          </rPr>
          <t>11371    350</t>
        </r>
        <r>
          <rPr>
            <sz val="9"/>
            <color indexed="81"/>
            <rFont val="Tahoma"/>
            <family val="2"/>
          </rPr>
          <t xml:space="preserve">
</t>
        </r>
      </text>
    </comment>
    <comment ref="K31" authorId="0" shapeId="0" xr:uid="{E67780F1-6086-48E6-A2C2-6AFB4C185496}">
      <text>
        <r>
          <rPr>
            <b/>
            <sz val="9"/>
            <color indexed="81"/>
            <rFont val="Tahoma"/>
            <family val="2"/>
          </rPr>
          <t>11343    141</t>
        </r>
        <r>
          <rPr>
            <sz val="9"/>
            <color indexed="81"/>
            <rFont val="Tahoma"/>
            <family val="2"/>
          </rPr>
          <t xml:space="preserve">
</t>
        </r>
      </text>
    </comment>
    <comment ref="M31" authorId="0" shapeId="0" xr:uid="{95509729-6028-410F-BB90-23170C049FE6}">
      <text>
        <r>
          <rPr>
            <b/>
            <sz val="9"/>
            <color indexed="81"/>
            <rFont val="Tahoma"/>
            <family val="2"/>
          </rPr>
          <t>11354    342
11353    200</t>
        </r>
        <r>
          <rPr>
            <sz val="9"/>
            <color indexed="81"/>
            <rFont val="Tahoma"/>
            <family val="2"/>
          </rPr>
          <t xml:space="preserve">
</t>
        </r>
      </text>
    </comment>
    <comment ref="C32" authorId="0" shapeId="0" xr:uid="{8EF2F748-9B91-4A29-AB78-430ADA3B6A6B}">
      <text>
        <r>
          <rPr>
            <b/>
            <sz val="9"/>
            <color indexed="81"/>
            <rFont val="Tahoma"/>
            <family val="2"/>
          </rPr>
          <t>11375    152</t>
        </r>
        <r>
          <rPr>
            <sz val="9"/>
            <color indexed="81"/>
            <rFont val="Tahoma"/>
            <family val="2"/>
          </rPr>
          <t xml:space="preserve">
</t>
        </r>
      </text>
    </comment>
    <comment ref="E32" authorId="0" shapeId="0" xr:uid="{6618073C-FD33-4289-943F-D3204BCA0ED3}">
      <text>
        <r>
          <rPr>
            <b/>
            <sz val="9"/>
            <color indexed="81"/>
            <rFont val="Tahoma"/>
            <family val="2"/>
          </rPr>
          <t>11367     400</t>
        </r>
        <r>
          <rPr>
            <sz val="9"/>
            <color indexed="81"/>
            <rFont val="Tahoma"/>
            <family val="2"/>
          </rPr>
          <t xml:space="preserve">
</t>
        </r>
      </text>
    </comment>
    <comment ref="F32" authorId="0" shapeId="0" xr:uid="{6F85D089-3734-49C8-8A4F-4193CFAEC98A}">
      <text>
        <r>
          <rPr>
            <b/>
            <sz val="9"/>
            <color indexed="81"/>
            <rFont val="Tahoma"/>
            <family val="2"/>
          </rPr>
          <t>960620     1
960623     1
960624     1
960625     1
960626     1
960627     1</t>
        </r>
      </text>
    </comment>
    <comment ref="I32" authorId="0" shapeId="0" xr:uid="{404D7468-B56B-4D71-91F9-E5B96783CBF1}">
      <text>
        <r>
          <rPr>
            <b/>
            <sz val="9"/>
            <color indexed="81"/>
            <rFont val="Tahoma"/>
            <family val="2"/>
          </rPr>
          <t xml:space="preserve">11352    66
11371    60
</t>
        </r>
        <r>
          <rPr>
            <sz val="9"/>
            <color indexed="81"/>
            <rFont val="Tahoma"/>
            <family val="2"/>
          </rPr>
          <t xml:space="preserve">
</t>
        </r>
      </text>
    </comment>
    <comment ref="K32" authorId="0" shapeId="0" xr:uid="{F347B267-7263-405F-B7EB-32CFE3337DBF}">
      <text>
        <r>
          <rPr>
            <b/>
            <sz val="9"/>
            <color indexed="81"/>
            <rFont val="Tahoma"/>
            <family val="2"/>
          </rPr>
          <t>11342      28
11371    200</t>
        </r>
        <r>
          <rPr>
            <sz val="9"/>
            <color indexed="81"/>
            <rFont val="Tahoma"/>
            <family val="2"/>
          </rPr>
          <t xml:space="preserve">
</t>
        </r>
      </text>
    </comment>
    <comment ref="M32" authorId="0" shapeId="0" xr:uid="{67D961A9-0331-4E5B-831F-66AC38EA5C36}">
      <text>
        <r>
          <rPr>
            <b/>
            <sz val="9"/>
            <color indexed="81"/>
            <rFont val="Tahoma"/>
            <family val="2"/>
          </rPr>
          <t>11342    98
11343  120
11350  122</t>
        </r>
        <r>
          <rPr>
            <sz val="9"/>
            <color indexed="81"/>
            <rFont val="Tahoma"/>
            <family val="2"/>
          </rPr>
          <t xml:space="preserve">
</t>
        </r>
      </text>
    </comment>
    <comment ref="K33" authorId="0" shapeId="0" xr:uid="{002381D7-3280-403B-809E-9FDB18CC37CF}">
      <text>
        <r>
          <rPr>
            <b/>
            <sz val="9"/>
            <color indexed="81"/>
            <rFont val="Tahoma"/>
            <family val="2"/>
          </rPr>
          <t>11371    200</t>
        </r>
        <r>
          <rPr>
            <sz val="9"/>
            <color indexed="81"/>
            <rFont val="Tahoma"/>
            <family val="2"/>
          </rPr>
          <t xml:space="preserve">
</t>
        </r>
      </text>
    </comment>
    <comment ref="C36" authorId="0" shapeId="0" xr:uid="{3BF605E0-849B-49FB-AC91-C377E258C9E6}">
      <text>
        <r>
          <rPr>
            <b/>
            <sz val="9"/>
            <color indexed="81"/>
            <rFont val="Tahoma"/>
            <family val="2"/>
          </rPr>
          <t>11376   574</t>
        </r>
        <r>
          <rPr>
            <sz val="9"/>
            <color indexed="81"/>
            <rFont val="Tahoma"/>
            <family val="2"/>
          </rPr>
          <t xml:space="preserve">
</t>
        </r>
      </text>
    </comment>
    <comment ref="E36" authorId="0" shapeId="0" xr:uid="{0AD05576-60EA-4588-A937-ACC00CA34470}">
      <text>
        <r>
          <rPr>
            <b/>
            <sz val="9"/>
            <color indexed="81"/>
            <rFont val="Tahoma"/>
            <family val="2"/>
          </rPr>
          <t>11366   300
11367   106</t>
        </r>
        <r>
          <rPr>
            <sz val="9"/>
            <color indexed="81"/>
            <rFont val="Tahoma"/>
            <family val="2"/>
          </rPr>
          <t xml:space="preserve">
</t>
        </r>
      </text>
    </comment>
    <comment ref="I36" authorId="0" shapeId="0" xr:uid="{6D6C6742-6BA5-4893-A915-418871F2C9FB}">
      <text>
        <r>
          <rPr>
            <b/>
            <sz val="9"/>
            <color indexed="81"/>
            <rFont val="Tahoma"/>
            <family val="2"/>
          </rPr>
          <t>11345    444</t>
        </r>
        <r>
          <rPr>
            <sz val="9"/>
            <color indexed="81"/>
            <rFont val="Tahoma"/>
            <family val="2"/>
          </rPr>
          <t xml:space="preserve">
</t>
        </r>
      </text>
    </comment>
    <comment ref="K36" authorId="0" shapeId="0" xr:uid="{9A932FAE-FA0C-4E3F-9C44-D6F4D8519020}">
      <text>
        <r>
          <rPr>
            <b/>
            <sz val="9"/>
            <color indexed="81"/>
            <rFont val="Tahoma"/>
            <family val="2"/>
          </rPr>
          <t>11343   177
11345     31
11371   400</t>
        </r>
        <r>
          <rPr>
            <sz val="9"/>
            <color indexed="81"/>
            <rFont val="Tahoma"/>
            <family val="2"/>
          </rPr>
          <t xml:space="preserve">
</t>
        </r>
      </text>
    </comment>
    <comment ref="M36" authorId="0" shapeId="0" xr:uid="{5999D9CC-63C7-4477-8C6B-94E8B71CA0A0}">
      <text>
        <r>
          <rPr>
            <b/>
            <sz val="9"/>
            <color indexed="81"/>
            <rFont val="Tahoma"/>
            <family val="2"/>
          </rPr>
          <t>11354     12
11350   254
11343   304</t>
        </r>
        <r>
          <rPr>
            <sz val="9"/>
            <color indexed="81"/>
            <rFont val="Tahoma"/>
            <family val="2"/>
          </rPr>
          <t xml:space="preserve">
</t>
        </r>
      </text>
    </comment>
    <comment ref="C37" authorId="0" shapeId="0" xr:uid="{3CEF6D8E-7674-4237-ABC0-A7CACCA97588}">
      <text>
        <r>
          <rPr>
            <b/>
            <sz val="9"/>
            <color indexed="81"/>
            <rFont val="Tahoma"/>
            <family val="2"/>
          </rPr>
          <t>11374    700</t>
        </r>
        <r>
          <rPr>
            <sz val="9"/>
            <color indexed="81"/>
            <rFont val="Tahoma"/>
            <family val="2"/>
          </rPr>
          <t xml:space="preserve">
</t>
        </r>
      </text>
    </comment>
    <comment ref="E37" authorId="0" shapeId="0" xr:uid="{EFFDF85A-0E0D-478C-A0B8-AF8E18964C8C}">
      <text>
        <r>
          <rPr>
            <b/>
            <sz val="9"/>
            <color indexed="81"/>
            <rFont val="Tahoma"/>
            <family val="2"/>
          </rPr>
          <t>11362    100
11366    314</t>
        </r>
        <r>
          <rPr>
            <sz val="9"/>
            <color indexed="81"/>
            <rFont val="Tahoma"/>
            <family val="2"/>
          </rPr>
          <t xml:space="preserve">
</t>
        </r>
      </text>
    </comment>
    <comment ref="K37" authorId="0" shapeId="0" xr:uid="{C7945BB6-7F2C-46F3-84B2-E9DD225FA6CF}">
      <text>
        <r>
          <rPr>
            <b/>
            <sz val="9"/>
            <color indexed="81"/>
            <rFont val="Tahoma"/>
            <family val="2"/>
          </rPr>
          <t>11352    66
11345  106
11348  148
11371  120</t>
        </r>
        <r>
          <rPr>
            <sz val="9"/>
            <color indexed="81"/>
            <rFont val="Tahoma"/>
            <family val="2"/>
          </rPr>
          <t xml:space="preserve">
</t>
        </r>
      </text>
    </comment>
    <comment ref="M37" authorId="0" shapeId="0" xr:uid="{47FDC6CD-8AA4-4609-84A0-94537D3148AB}">
      <text>
        <r>
          <rPr>
            <b/>
            <sz val="9"/>
            <color indexed="81"/>
            <rFont val="Tahoma"/>
            <family val="2"/>
          </rPr>
          <t>11331    88
11371  430</t>
        </r>
        <r>
          <rPr>
            <sz val="9"/>
            <color indexed="81"/>
            <rFont val="Tahoma"/>
            <family val="2"/>
          </rPr>
          <t xml:space="preserve">
</t>
        </r>
        <r>
          <rPr>
            <b/>
            <sz val="9"/>
            <color indexed="81"/>
            <rFont val="Tahoma"/>
            <family val="2"/>
          </rPr>
          <t>11371</t>
        </r>
        <r>
          <rPr>
            <sz val="9"/>
            <color indexed="81"/>
            <rFont val="Tahoma"/>
            <family val="2"/>
          </rPr>
          <t xml:space="preserve">  </t>
        </r>
        <r>
          <rPr>
            <b/>
            <sz val="9"/>
            <color indexed="81"/>
            <rFont val="Tahoma"/>
            <family val="2"/>
          </rPr>
          <t>150</t>
        </r>
      </text>
    </comment>
    <comment ref="D38" authorId="0" shapeId="0" xr:uid="{28CE3E3A-B360-4171-AAB7-90FFAFF17849}">
      <text>
        <r>
          <rPr>
            <b/>
            <sz val="9"/>
            <color indexed="81"/>
            <rFont val="Tahoma"/>
            <family val="2"/>
          </rPr>
          <t>960630   1</t>
        </r>
        <r>
          <rPr>
            <sz val="9"/>
            <color indexed="81"/>
            <rFont val="Tahoma"/>
            <family val="2"/>
          </rPr>
          <t xml:space="preserve">
</t>
        </r>
      </text>
    </comment>
    <comment ref="E38" authorId="0" shapeId="0" xr:uid="{688B11F1-169A-4593-9AAD-44E39398FBD9}">
      <text>
        <r>
          <rPr>
            <b/>
            <sz val="9"/>
            <color indexed="81"/>
            <rFont val="Tahoma"/>
            <family val="2"/>
          </rPr>
          <t>11362   400</t>
        </r>
        <r>
          <rPr>
            <sz val="9"/>
            <color indexed="81"/>
            <rFont val="Tahoma"/>
            <family val="2"/>
          </rPr>
          <t xml:space="preserve">
</t>
        </r>
      </text>
    </comment>
    <comment ref="F38" authorId="0" shapeId="0" xr:uid="{4663806D-5086-4B14-A44F-0F28621759ED}">
      <text>
        <r>
          <rPr>
            <b/>
            <sz val="9"/>
            <color indexed="81"/>
            <rFont val="Tahoma"/>
            <family val="2"/>
          </rPr>
          <t xml:space="preserve">960617    4
960618    4
960630    1
</t>
        </r>
        <r>
          <rPr>
            <sz val="9"/>
            <color indexed="81"/>
            <rFont val="Tahoma"/>
            <family val="2"/>
          </rPr>
          <t xml:space="preserve">
</t>
        </r>
      </text>
    </comment>
    <comment ref="K38" authorId="0" shapeId="0" xr:uid="{DF4CA0AD-0261-45D7-AC73-C51B5779C287}">
      <text>
        <r>
          <rPr>
            <b/>
            <sz val="9"/>
            <color indexed="81"/>
            <rFont val="Tahoma"/>
            <family val="2"/>
          </rPr>
          <t>11353    149
11345    305</t>
        </r>
        <r>
          <rPr>
            <sz val="9"/>
            <color indexed="81"/>
            <rFont val="Tahoma"/>
            <family val="2"/>
          </rPr>
          <t xml:space="preserve">
</t>
        </r>
      </text>
    </comment>
    <comment ref="M38" authorId="0" shapeId="0" xr:uid="{47DA7011-ED88-4266-96CB-4F6FC6076B2D}">
      <text>
        <r>
          <rPr>
            <b/>
            <sz val="9"/>
            <color indexed="81"/>
            <rFont val="Tahoma"/>
            <family val="2"/>
          </rPr>
          <t>11344     12
11371   338
11331   142
11331     27</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Angelica Gonzalez</author>
  </authors>
  <commentList>
    <comment ref="C6" authorId="0" shapeId="0" xr:uid="{0929D14B-ECA7-4AB1-88B3-AD57D3864BED}">
      <text>
        <r>
          <rPr>
            <b/>
            <sz val="9"/>
            <color indexed="81"/>
            <rFont val="Tahoma"/>
            <family val="2"/>
          </rPr>
          <t>11374   92</t>
        </r>
        <r>
          <rPr>
            <sz val="9"/>
            <color indexed="81"/>
            <rFont val="Tahoma"/>
            <family val="2"/>
          </rPr>
          <t xml:space="preserve">
</t>
        </r>
      </text>
    </comment>
    <comment ref="E6" authorId="0" shapeId="0" xr:uid="{175D9124-3807-489B-B44C-0B5D4BFB8AFB}">
      <text>
        <r>
          <rPr>
            <b/>
            <sz val="9"/>
            <color indexed="81"/>
            <rFont val="Tahoma"/>
            <family val="2"/>
          </rPr>
          <t>11376     100
11362     218</t>
        </r>
        <r>
          <rPr>
            <sz val="9"/>
            <color indexed="81"/>
            <rFont val="Tahoma"/>
            <family val="2"/>
          </rPr>
          <t xml:space="preserve">
</t>
        </r>
      </text>
    </comment>
    <comment ref="I6" authorId="0" shapeId="0" xr:uid="{499987BA-1720-443F-8F74-542F27CB9096}">
      <text>
        <r>
          <rPr>
            <b/>
            <sz val="9"/>
            <color indexed="81"/>
            <rFont val="Tahoma"/>
            <family val="2"/>
          </rPr>
          <t>11370   320
11335   507</t>
        </r>
        <r>
          <rPr>
            <sz val="9"/>
            <color indexed="81"/>
            <rFont val="Tahoma"/>
            <family val="2"/>
          </rPr>
          <t xml:space="preserve">
</t>
        </r>
        <r>
          <rPr>
            <b/>
            <sz val="9"/>
            <color indexed="81"/>
            <rFont val="Tahoma"/>
            <family val="2"/>
          </rPr>
          <t>11363   160</t>
        </r>
      </text>
    </comment>
    <comment ref="N6" authorId="0" shapeId="0" xr:uid="{627F0EFB-2EA7-4089-AD57-BA2F6F967D36}">
      <text>
        <r>
          <rPr>
            <b/>
            <sz val="9"/>
            <color indexed="81"/>
            <rFont val="Tahoma"/>
            <family val="2"/>
          </rPr>
          <t>11352   66
11297   69</t>
        </r>
        <r>
          <rPr>
            <sz val="9"/>
            <color indexed="81"/>
            <rFont val="Tahoma"/>
            <family val="2"/>
          </rPr>
          <t xml:space="preserve">
</t>
        </r>
        <r>
          <rPr>
            <b/>
            <sz val="9"/>
            <color indexed="81"/>
            <rFont val="Tahoma"/>
            <family val="2"/>
          </rPr>
          <t>11341   20</t>
        </r>
      </text>
    </comment>
    <comment ref="C10" authorId="0" shapeId="0" xr:uid="{1DE8E03F-CF0C-4229-A75D-B9E34632AFB8}">
      <text>
        <r>
          <rPr>
            <b/>
            <sz val="9"/>
            <color indexed="81"/>
            <rFont val="Tahoma"/>
            <family val="2"/>
          </rPr>
          <t>11379    300</t>
        </r>
        <r>
          <rPr>
            <sz val="9"/>
            <color indexed="81"/>
            <rFont val="Tahoma"/>
            <family val="2"/>
          </rPr>
          <t xml:space="preserve">
</t>
        </r>
      </text>
    </comment>
    <comment ref="E10" authorId="0" shapeId="0" xr:uid="{7B9BDEDC-82D0-48BC-B13C-0DF87EB3F845}">
      <text>
        <r>
          <rPr>
            <b/>
            <sz val="9"/>
            <color indexed="81"/>
            <rFont val="Tahoma"/>
            <family val="2"/>
          </rPr>
          <t>11376    374</t>
        </r>
        <r>
          <rPr>
            <sz val="9"/>
            <color indexed="81"/>
            <rFont val="Tahoma"/>
            <family val="2"/>
          </rPr>
          <t xml:space="preserve">
</t>
        </r>
      </text>
    </comment>
    <comment ref="G10" authorId="0" shapeId="0" xr:uid="{2BEE0C9C-0345-41C0-A561-9DE4F34B7B51}">
      <text>
        <r>
          <rPr>
            <b/>
            <sz val="9"/>
            <color indexed="81"/>
            <rFont val="Tahoma"/>
            <family val="2"/>
          </rPr>
          <t>11342   348</t>
        </r>
        <r>
          <rPr>
            <sz val="9"/>
            <color indexed="81"/>
            <rFont val="Tahoma"/>
            <family val="2"/>
          </rPr>
          <t xml:space="preserve">
</t>
        </r>
      </text>
    </comment>
    <comment ref="I10" authorId="0" shapeId="0" xr:uid="{AAF6D736-0DCA-4676-BCB2-5076B172B381}">
      <text>
        <r>
          <rPr>
            <b/>
            <sz val="9"/>
            <color indexed="81"/>
            <rFont val="Tahoma"/>
            <family val="2"/>
          </rPr>
          <t xml:space="preserve">11361    506
</t>
        </r>
        <r>
          <rPr>
            <sz val="9"/>
            <color indexed="81"/>
            <rFont val="Tahoma"/>
            <family val="2"/>
          </rPr>
          <t xml:space="preserve">
</t>
        </r>
      </text>
    </comment>
    <comment ref="K10" authorId="0" shapeId="0" xr:uid="{4FBBE560-0D50-43E0-9A2B-D59CD1EDD6BA}">
      <text>
        <r>
          <rPr>
            <b/>
            <sz val="9"/>
            <color indexed="81"/>
            <rFont val="Tahoma"/>
            <family val="2"/>
          </rPr>
          <t>11342   348</t>
        </r>
        <r>
          <rPr>
            <sz val="9"/>
            <color indexed="81"/>
            <rFont val="Tahoma"/>
            <family val="2"/>
          </rPr>
          <t xml:space="preserve">
</t>
        </r>
      </text>
    </comment>
    <comment ref="N10" authorId="0" shapeId="0" xr:uid="{1459CD40-462A-4B7E-895D-B236E0411480}">
      <text>
        <r>
          <rPr>
            <b/>
            <sz val="9"/>
            <color indexed="81"/>
            <rFont val="Tahoma"/>
            <family val="2"/>
          </rPr>
          <t xml:space="preserve">11326   3
11328   1
11356   1
11322   3
11305   1
</t>
        </r>
        <r>
          <rPr>
            <sz val="9"/>
            <color indexed="81"/>
            <rFont val="Tahoma"/>
            <family val="2"/>
          </rPr>
          <t xml:space="preserve">
tenía 25</t>
        </r>
      </text>
    </comment>
    <comment ref="C11" authorId="0" shapeId="0" xr:uid="{392027A5-1F85-4A10-99BA-76161C215798}">
      <text>
        <r>
          <rPr>
            <b/>
            <sz val="9"/>
            <color indexed="81"/>
            <rFont val="Tahoma"/>
            <family val="2"/>
          </rPr>
          <t xml:space="preserve">11360    191
11379      26
</t>
        </r>
        <r>
          <rPr>
            <sz val="9"/>
            <color indexed="81"/>
            <rFont val="Tahoma"/>
            <family val="2"/>
          </rPr>
          <t xml:space="preserve">
</t>
        </r>
      </text>
    </comment>
    <comment ref="D11" authorId="0" shapeId="0" xr:uid="{C4A2D420-5689-45B5-B195-B7EAEED1DFD5}">
      <text>
        <r>
          <rPr>
            <b/>
            <sz val="9"/>
            <color indexed="81"/>
            <rFont val="Tahoma"/>
            <family val="2"/>
          </rPr>
          <t>960642    1</t>
        </r>
        <r>
          <rPr>
            <sz val="9"/>
            <color indexed="81"/>
            <rFont val="Tahoma"/>
            <family val="2"/>
          </rPr>
          <t xml:space="preserve">
</t>
        </r>
      </text>
    </comment>
    <comment ref="E11" authorId="0" shapeId="0" xr:uid="{8B9A7B09-AE63-4AB0-8D5E-7BC59F00E129}">
      <text>
        <r>
          <rPr>
            <b/>
            <sz val="9"/>
            <color indexed="81"/>
            <rFont val="Tahoma"/>
            <family val="2"/>
          </rPr>
          <t>11369   200
11376   100</t>
        </r>
        <r>
          <rPr>
            <sz val="9"/>
            <color indexed="81"/>
            <rFont val="Tahoma"/>
            <family val="2"/>
          </rPr>
          <t xml:space="preserve">
</t>
        </r>
      </text>
    </comment>
    <comment ref="F11" authorId="0" shapeId="0" xr:uid="{7AE164B1-CF3D-4BE2-A809-69501F5AC885}">
      <text>
        <r>
          <rPr>
            <b/>
            <sz val="9"/>
            <color indexed="81"/>
            <rFont val="Tahoma"/>
            <family val="2"/>
          </rPr>
          <t>95571    1</t>
        </r>
        <r>
          <rPr>
            <sz val="9"/>
            <color indexed="81"/>
            <rFont val="Tahoma"/>
            <family val="2"/>
          </rPr>
          <t xml:space="preserve">
</t>
        </r>
      </text>
    </comment>
    <comment ref="I11" authorId="0" shapeId="0" xr:uid="{37A06DC6-BE32-4935-8C4C-59FB6475C98B}">
      <text>
        <r>
          <rPr>
            <b/>
            <sz val="9"/>
            <color indexed="81"/>
            <rFont val="Tahoma"/>
            <family val="2"/>
          </rPr>
          <t>11373  558
11367  506</t>
        </r>
        <r>
          <rPr>
            <sz val="9"/>
            <color indexed="81"/>
            <rFont val="Tahoma"/>
            <family val="2"/>
          </rPr>
          <t xml:space="preserve">
</t>
        </r>
      </text>
    </comment>
    <comment ref="K11" authorId="0" shapeId="0" xr:uid="{1BA9B86E-1B41-4931-95CA-C93F91EA4E46}">
      <text>
        <r>
          <rPr>
            <b/>
            <sz val="9"/>
            <color indexed="81"/>
            <rFont val="Tahoma"/>
            <family val="2"/>
          </rPr>
          <t>11370   320</t>
        </r>
        <r>
          <rPr>
            <sz val="9"/>
            <color indexed="81"/>
            <rFont val="Tahoma"/>
            <family val="2"/>
          </rPr>
          <t xml:space="preserve">
</t>
        </r>
      </text>
    </comment>
    <comment ref="N11" authorId="0" shapeId="0" xr:uid="{441D18FF-6A18-4412-8537-217198A00AD6}">
      <text>
        <r>
          <rPr>
            <b/>
            <sz val="9"/>
            <color indexed="81"/>
            <rFont val="Tahoma"/>
            <family val="2"/>
          </rPr>
          <t>11327   12</t>
        </r>
        <r>
          <rPr>
            <sz val="9"/>
            <color indexed="81"/>
            <rFont val="Tahoma"/>
            <family val="2"/>
          </rPr>
          <t xml:space="preserve">
</t>
        </r>
        <r>
          <rPr>
            <b/>
            <sz val="9"/>
            <color indexed="81"/>
            <rFont val="Tahoma"/>
            <family val="2"/>
          </rPr>
          <t>11342   348  (-98)</t>
        </r>
      </text>
    </comment>
    <comment ref="C12" authorId="0" shapeId="0" xr:uid="{B5323BD9-C6AC-407F-B2F5-33E593ACBC2D}">
      <text>
        <r>
          <rPr>
            <b/>
            <sz val="9"/>
            <color indexed="81"/>
            <rFont val="Tahoma"/>
            <family val="2"/>
          </rPr>
          <t>11378    600</t>
        </r>
        <r>
          <rPr>
            <sz val="9"/>
            <color indexed="81"/>
            <rFont val="Tahoma"/>
            <family val="2"/>
          </rPr>
          <t xml:space="preserve">
</t>
        </r>
      </text>
    </comment>
    <comment ref="D12" authorId="0" shapeId="0" xr:uid="{8DDECE80-EB28-4418-8709-9C4C325B6833}">
      <text>
        <r>
          <rPr>
            <b/>
            <sz val="9"/>
            <color indexed="81"/>
            <rFont val="Tahoma"/>
            <family val="2"/>
          </rPr>
          <t>960647     1</t>
        </r>
        <r>
          <rPr>
            <sz val="9"/>
            <color indexed="81"/>
            <rFont val="Tahoma"/>
            <family val="2"/>
          </rPr>
          <t xml:space="preserve">
</t>
        </r>
      </text>
    </comment>
    <comment ref="E12" authorId="0" shapeId="0" xr:uid="{8CCC4428-13D8-4A2D-8FB3-F12B9DD5CB86}">
      <text>
        <r>
          <rPr>
            <b/>
            <sz val="9"/>
            <color indexed="81"/>
            <rFont val="Tahoma"/>
            <family val="2"/>
          </rPr>
          <t>11369   306
11361        4</t>
        </r>
        <r>
          <rPr>
            <sz val="9"/>
            <color indexed="81"/>
            <rFont val="Tahoma"/>
            <family val="2"/>
          </rPr>
          <t xml:space="preserve">
</t>
        </r>
      </text>
    </comment>
    <comment ref="I12" authorId="0" shapeId="0" xr:uid="{6CEE6473-F50B-460C-B99C-60A0300A88F9}">
      <text>
        <r>
          <rPr>
            <b/>
            <sz val="9"/>
            <color indexed="81"/>
            <rFont val="Tahoma"/>
            <family val="2"/>
          </rPr>
          <t xml:space="preserve">11359    270
</t>
        </r>
        <r>
          <rPr>
            <sz val="9"/>
            <color indexed="81"/>
            <rFont val="Tahoma"/>
            <family val="2"/>
          </rPr>
          <t xml:space="preserve">
</t>
        </r>
      </text>
    </comment>
    <comment ref="K12" authorId="0" shapeId="0" xr:uid="{A89BB3C6-7F11-46CD-ADE6-D21226E761A6}">
      <text>
        <r>
          <rPr>
            <b/>
            <sz val="9"/>
            <color indexed="81"/>
            <rFont val="Tahoma"/>
            <family val="2"/>
          </rPr>
          <t>11335    169
11367    506</t>
        </r>
        <r>
          <rPr>
            <sz val="9"/>
            <color indexed="81"/>
            <rFont val="Tahoma"/>
            <family val="2"/>
          </rPr>
          <t xml:space="preserve">
</t>
        </r>
      </text>
    </comment>
    <comment ref="N12" authorId="0" shapeId="0" xr:uid="{5A3C83F8-E48D-45D6-8D1F-09362845E201}">
      <text>
        <r>
          <rPr>
            <b/>
            <sz val="9"/>
            <color indexed="81"/>
            <rFont val="Tahoma"/>
            <family val="2"/>
          </rPr>
          <t>11353    142
11298      50
180 Rep Bodega /3894  Teñido aplicado por corte de Luz (180 Ibiza Blue) (B2868 Y1) Igualación de Tono</t>
        </r>
        <r>
          <rPr>
            <sz val="9"/>
            <color indexed="81"/>
            <rFont val="Tahoma"/>
            <family val="2"/>
          </rPr>
          <t xml:space="preserve">
</t>
        </r>
      </text>
    </comment>
    <comment ref="C13" authorId="0" shapeId="0" xr:uid="{4094593F-E81D-492E-8995-25C0634B7EC8}">
      <text>
        <r>
          <rPr>
            <b/>
            <sz val="9"/>
            <color indexed="81"/>
            <rFont val="Tahoma"/>
            <family val="2"/>
          </rPr>
          <t>11378   102</t>
        </r>
        <r>
          <rPr>
            <sz val="9"/>
            <color indexed="81"/>
            <rFont val="Tahoma"/>
            <family val="2"/>
          </rPr>
          <t xml:space="preserve">
</t>
        </r>
      </text>
    </comment>
    <comment ref="E13" authorId="0" shapeId="0" xr:uid="{36618BA1-9B9C-4434-BD30-4622C5D6DC4B}">
      <text>
        <r>
          <rPr>
            <b/>
            <sz val="9"/>
            <color indexed="81"/>
            <rFont val="Tahoma"/>
            <family val="2"/>
          </rPr>
          <t>11374   400</t>
        </r>
        <r>
          <rPr>
            <sz val="9"/>
            <color indexed="81"/>
            <rFont val="Tahoma"/>
            <family val="2"/>
          </rPr>
          <t xml:space="preserve">
</t>
        </r>
      </text>
    </comment>
    <comment ref="I13" authorId="0" shapeId="0" xr:uid="{BB733136-D808-48E4-98FD-8D85D987AD3B}">
      <text>
        <r>
          <rPr>
            <b/>
            <sz val="9"/>
            <color indexed="81"/>
            <rFont val="Tahoma"/>
            <family val="2"/>
          </rPr>
          <t>11366     560</t>
        </r>
        <r>
          <rPr>
            <sz val="9"/>
            <color indexed="81"/>
            <rFont val="Tahoma"/>
            <family val="2"/>
          </rPr>
          <t xml:space="preserve">
</t>
        </r>
      </text>
    </comment>
    <comment ref="K13" authorId="0" shapeId="0" xr:uid="{8485ECA1-B35C-4B55-8674-FFC0D3BE862D}">
      <text>
        <r>
          <rPr>
            <b/>
            <sz val="9"/>
            <color indexed="81"/>
            <rFont val="Tahoma"/>
            <family val="2"/>
          </rPr>
          <t>11341       4
11335  338
11361  169</t>
        </r>
        <r>
          <rPr>
            <sz val="9"/>
            <color indexed="81"/>
            <rFont val="Tahoma"/>
            <family val="2"/>
          </rPr>
          <t xml:space="preserve">
</t>
        </r>
      </text>
    </comment>
    <comment ref="N13" authorId="0" shapeId="0" xr:uid="{4D5BB333-2853-4C99-AB28-0D2DCACAECB5}">
      <text>
        <r>
          <rPr>
            <b/>
            <sz val="9"/>
            <color indexed="81"/>
            <rFont val="Tahoma"/>
            <family val="2"/>
          </rPr>
          <t xml:space="preserve">11348       1
11367  200
11335  150
</t>
        </r>
        <r>
          <rPr>
            <sz val="9"/>
            <color indexed="81"/>
            <rFont val="Tahoma"/>
            <family val="2"/>
          </rPr>
          <t xml:space="preserve">
</t>
        </r>
      </text>
    </comment>
    <comment ref="C14" authorId="0" shapeId="0" xr:uid="{543A659A-EDC2-47BE-8E35-0BD8E636B563}">
      <text>
        <r>
          <rPr>
            <b/>
            <sz val="9"/>
            <color indexed="81"/>
            <rFont val="Tahoma"/>
            <family val="2"/>
          </rPr>
          <t xml:space="preserve">11337    702
</t>
        </r>
        <r>
          <rPr>
            <sz val="9"/>
            <color indexed="81"/>
            <rFont val="Tahoma"/>
            <family val="2"/>
          </rPr>
          <t xml:space="preserve">
</t>
        </r>
      </text>
    </comment>
    <comment ref="E14" authorId="0" shapeId="0" xr:uid="{07BC4344-CEA2-41CB-807A-E94054AAF0D9}">
      <text>
        <r>
          <rPr>
            <b/>
            <sz val="9"/>
            <color indexed="81"/>
            <rFont val="Tahoma"/>
            <family val="2"/>
          </rPr>
          <t>11374   350</t>
        </r>
        <r>
          <rPr>
            <sz val="9"/>
            <color indexed="81"/>
            <rFont val="Tahoma"/>
            <family val="2"/>
          </rPr>
          <t xml:space="preserve">
</t>
        </r>
        <r>
          <rPr>
            <b/>
            <sz val="9"/>
            <color indexed="81"/>
            <rFont val="Tahoma"/>
            <family val="2"/>
          </rPr>
          <t>11360   191</t>
        </r>
      </text>
    </comment>
    <comment ref="I14" authorId="0" shapeId="0" xr:uid="{84579A1A-0FD4-440F-8ECE-7A5076355A9E}">
      <text>
        <r>
          <rPr>
            <b/>
            <sz val="9"/>
            <color indexed="81"/>
            <rFont val="Tahoma"/>
            <family val="2"/>
          </rPr>
          <t>11366    154</t>
        </r>
        <r>
          <rPr>
            <sz val="9"/>
            <color indexed="81"/>
            <rFont val="Tahoma"/>
            <family val="2"/>
          </rPr>
          <t xml:space="preserve">
</t>
        </r>
      </text>
    </comment>
    <comment ref="K14" authorId="0" shapeId="0" xr:uid="{FF7F0180-BD29-44B6-B3D9-CF5A44F46402}">
      <text>
        <r>
          <rPr>
            <b/>
            <sz val="9"/>
            <color indexed="81"/>
            <rFont val="Tahoma"/>
            <family val="2"/>
          </rPr>
          <t>11360    191
11361    337</t>
        </r>
        <r>
          <rPr>
            <sz val="9"/>
            <color indexed="81"/>
            <rFont val="Tahoma"/>
            <family val="2"/>
          </rPr>
          <t xml:space="preserve">
</t>
        </r>
      </text>
    </comment>
    <comment ref="N14" authorId="0" shapeId="0" xr:uid="{D3BAFE00-34DD-4274-AE64-A2DF73A5C561}">
      <text>
        <r>
          <rPr>
            <b/>
            <sz val="9"/>
            <color indexed="81"/>
            <rFont val="Tahoma"/>
            <family val="2"/>
          </rPr>
          <t>11341      4</t>
        </r>
        <r>
          <rPr>
            <sz val="9"/>
            <color indexed="81"/>
            <rFont val="Tahoma"/>
            <family val="2"/>
          </rPr>
          <t xml:space="preserve">
</t>
        </r>
        <r>
          <rPr>
            <b/>
            <sz val="9"/>
            <color indexed="81"/>
            <rFont val="Tahoma"/>
            <family val="2"/>
          </rPr>
          <t>11367  306
11360    40</t>
        </r>
      </text>
    </comment>
    <comment ref="D18" authorId="0" shapeId="0" xr:uid="{51558298-43D0-4192-A33B-2EF0E3854028}">
      <text>
        <r>
          <rPr>
            <b/>
            <sz val="9"/>
            <color indexed="81"/>
            <rFont val="Tahoma"/>
            <family val="2"/>
          </rPr>
          <t>960628   1
960636   1
960640   1
960645   4
960648   2</t>
        </r>
        <r>
          <rPr>
            <sz val="9"/>
            <color indexed="81"/>
            <rFont val="Tahoma"/>
            <family val="2"/>
          </rPr>
          <t xml:space="preserve">
</t>
        </r>
      </text>
    </comment>
    <comment ref="E18" authorId="0" shapeId="0" xr:uid="{968C5012-055C-45FB-84E3-6814847D41E0}">
      <text>
        <r>
          <rPr>
            <b/>
            <sz val="9"/>
            <color indexed="81"/>
            <rFont val="Tahoma"/>
            <family val="2"/>
          </rPr>
          <t xml:space="preserve">11374   252
11379     80
</t>
        </r>
        <r>
          <rPr>
            <sz val="9"/>
            <color indexed="81"/>
            <rFont val="Tahoma"/>
            <family val="2"/>
          </rPr>
          <t xml:space="preserve">
</t>
        </r>
      </text>
    </comment>
    <comment ref="I18" authorId="0" shapeId="0" xr:uid="{0FFED956-4F09-4F42-802E-BBB7B1FE5646}">
      <text>
        <r>
          <rPr>
            <b/>
            <sz val="9"/>
            <color indexed="81"/>
            <rFont val="Tahoma"/>
            <family val="2"/>
          </rPr>
          <t>11362   718</t>
        </r>
        <r>
          <rPr>
            <sz val="9"/>
            <color indexed="81"/>
            <rFont val="Tahoma"/>
            <family val="2"/>
          </rPr>
          <t xml:space="preserve">
</t>
        </r>
      </text>
    </comment>
    <comment ref="K18" authorId="0" shapeId="0" xr:uid="{22432E81-94D8-4807-A35A-078DEBE3CA32}">
      <text>
        <r>
          <rPr>
            <b/>
            <sz val="9"/>
            <color indexed="81"/>
            <rFont val="Tahoma"/>
            <family val="2"/>
          </rPr>
          <t>11336   508</t>
        </r>
        <r>
          <rPr>
            <sz val="9"/>
            <color indexed="81"/>
            <rFont val="Tahoma"/>
            <family val="2"/>
          </rPr>
          <t xml:space="preserve">
</t>
        </r>
      </text>
    </comment>
    <comment ref="N18" authorId="0" shapeId="0" xr:uid="{7F32498F-6897-471A-8566-7B021E3CB797}">
      <text>
        <r>
          <rPr>
            <b/>
            <sz val="9"/>
            <color indexed="81"/>
            <rFont val="Tahoma"/>
            <family val="2"/>
          </rPr>
          <t>11370    136
11335    210
11335    147</t>
        </r>
        <r>
          <rPr>
            <sz val="9"/>
            <color indexed="81"/>
            <rFont val="Tahoma"/>
            <family val="2"/>
          </rPr>
          <t xml:space="preserve">
</t>
        </r>
      </text>
    </comment>
    <comment ref="C19" authorId="0" shapeId="0" xr:uid="{A9AD68EF-B8F9-4B55-BF13-3C329258E735}">
      <text>
        <r>
          <rPr>
            <b/>
            <sz val="9"/>
            <color indexed="81"/>
            <rFont val="Tahoma"/>
            <family val="2"/>
          </rPr>
          <t xml:space="preserve">11380    290
</t>
        </r>
        <r>
          <rPr>
            <sz val="9"/>
            <color indexed="81"/>
            <rFont val="Tahoma"/>
            <family val="2"/>
          </rPr>
          <t xml:space="preserve">
</t>
        </r>
      </text>
    </comment>
    <comment ref="E19" authorId="0" shapeId="0" xr:uid="{C96123CE-936B-4561-8E9A-3D2C9D602F4F}">
      <text>
        <r>
          <rPr>
            <b/>
            <sz val="9"/>
            <color indexed="81"/>
            <rFont val="Tahoma"/>
            <family val="2"/>
          </rPr>
          <t>11379    350</t>
        </r>
        <r>
          <rPr>
            <sz val="9"/>
            <color indexed="81"/>
            <rFont val="Tahoma"/>
            <family val="2"/>
          </rPr>
          <t xml:space="preserve">
</t>
        </r>
      </text>
    </comment>
    <comment ref="K19" authorId="0" shapeId="0" xr:uid="{F2D45C19-5A28-4284-90A6-BFDD265FE25A}">
      <text>
        <r>
          <rPr>
            <b/>
            <sz val="9"/>
            <color indexed="81"/>
            <rFont val="Tahoma"/>
            <family val="2"/>
          </rPr>
          <t>11363   182
11632   360</t>
        </r>
        <r>
          <rPr>
            <sz val="9"/>
            <color indexed="81"/>
            <rFont val="Tahoma"/>
            <family val="2"/>
          </rPr>
          <t xml:space="preserve">
</t>
        </r>
      </text>
    </comment>
    <comment ref="N19" authorId="0" shapeId="0" xr:uid="{F943AA62-D4E5-423F-B8F4-597DB730213D}">
      <text>
        <r>
          <rPr>
            <b/>
            <sz val="9"/>
            <color indexed="81"/>
            <rFont val="Tahoma"/>
            <family val="2"/>
          </rPr>
          <t>11361   506
11360     40
11370     47</t>
        </r>
        <r>
          <rPr>
            <sz val="9"/>
            <color indexed="81"/>
            <rFont val="Tahoma"/>
            <family val="2"/>
          </rPr>
          <t xml:space="preserve">
</t>
        </r>
      </text>
    </comment>
    <comment ref="C20" authorId="0" shapeId="0" xr:uid="{09043DD6-99D2-4BCA-91D3-95EDB7141EA4}">
      <text>
        <r>
          <rPr>
            <b/>
            <sz val="9"/>
            <color indexed="81"/>
            <rFont val="Tahoma"/>
            <family val="2"/>
          </rPr>
          <t xml:space="preserve">11382    412
</t>
        </r>
        <r>
          <rPr>
            <sz val="9"/>
            <color indexed="81"/>
            <rFont val="Tahoma"/>
            <family val="2"/>
          </rPr>
          <t xml:space="preserve">
</t>
        </r>
      </text>
    </comment>
    <comment ref="E20" authorId="0" shapeId="0" xr:uid="{56B431D7-2E18-4A26-BCD4-7334197BB367}">
      <text>
        <r>
          <rPr>
            <b/>
            <sz val="9"/>
            <color indexed="81"/>
            <rFont val="Tahoma"/>
            <family val="2"/>
          </rPr>
          <t>11377      80
11379   272</t>
        </r>
        <r>
          <rPr>
            <sz val="9"/>
            <color indexed="81"/>
            <rFont val="Tahoma"/>
            <family val="2"/>
          </rPr>
          <t xml:space="preserve">
</t>
        </r>
      </text>
    </comment>
    <comment ref="K20" authorId="0" shapeId="0" xr:uid="{DBAC7B29-B6E1-4BE1-B872-6E80E7157D99}">
      <text>
        <r>
          <rPr>
            <sz val="9"/>
            <color indexed="81"/>
            <rFont val="Tahoma"/>
            <family val="2"/>
          </rPr>
          <t xml:space="preserve">11362  3906  358
11363  3921  133
11359  3937  170
reprocesos 111
</t>
        </r>
      </text>
    </comment>
    <comment ref="M20" authorId="0" shapeId="0" xr:uid="{F906F1E8-95E3-4E84-8B54-F61348C386E8}">
      <text>
        <r>
          <rPr>
            <b/>
            <sz val="9"/>
            <color indexed="81"/>
            <rFont val="Tahoma"/>
            <family val="2"/>
          </rPr>
          <t>Artículos de Segunda manchados</t>
        </r>
        <r>
          <rPr>
            <sz val="9"/>
            <color indexed="81"/>
            <rFont val="Tahoma"/>
            <family val="2"/>
          </rPr>
          <t xml:space="preserve">
</t>
        </r>
      </text>
    </comment>
    <comment ref="N20" authorId="0" shapeId="0" xr:uid="{632862C3-7F76-4AEA-AE11-09C82575510F}">
      <text>
        <r>
          <rPr>
            <b/>
            <sz val="9"/>
            <color indexed="81"/>
            <rFont val="Tahoma"/>
            <family val="2"/>
          </rPr>
          <t xml:space="preserve">11370        8
11370   118
11336   374
11336   131
</t>
        </r>
        <r>
          <rPr>
            <sz val="9"/>
            <color indexed="81"/>
            <rFont val="Tahoma"/>
            <family val="2"/>
          </rPr>
          <t xml:space="preserve">
</t>
        </r>
      </text>
    </comment>
    <comment ref="D21" authorId="0" shapeId="0" xr:uid="{B0027C52-12F7-4D50-9A3D-45F6D254F28C}">
      <text>
        <r>
          <rPr>
            <b/>
            <sz val="9"/>
            <color indexed="81"/>
            <rFont val="Tahoma"/>
            <family val="2"/>
          </rPr>
          <t>960649      1</t>
        </r>
        <r>
          <rPr>
            <sz val="9"/>
            <color indexed="81"/>
            <rFont val="Tahoma"/>
            <family val="2"/>
          </rPr>
          <t xml:space="preserve">
</t>
        </r>
      </text>
    </comment>
    <comment ref="E21" authorId="0" shapeId="0" xr:uid="{52F63CB1-3722-4E38-9A85-9ED396879A96}">
      <text>
        <r>
          <rPr>
            <b/>
            <sz val="9"/>
            <color indexed="81"/>
            <rFont val="Tahoma"/>
            <family val="2"/>
          </rPr>
          <t>11377   400</t>
        </r>
        <r>
          <rPr>
            <sz val="9"/>
            <color indexed="81"/>
            <rFont val="Tahoma"/>
            <family val="2"/>
          </rPr>
          <t xml:space="preserve">
</t>
        </r>
      </text>
    </comment>
    <comment ref="G21" authorId="0" shapeId="0" xr:uid="{6CF42C68-752D-417B-8651-0D9EC92AD478}">
      <text>
        <r>
          <rPr>
            <b/>
            <sz val="9"/>
            <color indexed="81"/>
            <rFont val="Tahoma"/>
            <family val="2"/>
          </rPr>
          <t>11634   718</t>
        </r>
        <r>
          <rPr>
            <sz val="9"/>
            <color indexed="81"/>
            <rFont val="Tahoma"/>
            <family val="2"/>
          </rPr>
          <t xml:space="preserve">
</t>
        </r>
      </text>
    </comment>
    <comment ref="I21" authorId="0" shapeId="0" xr:uid="{5F8504DE-C7CC-43CC-9DE0-2212A3D0A577}">
      <text>
        <r>
          <rPr>
            <b/>
            <sz val="9"/>
            <color indexed="81"/>
            <rFont val="Tahoma"/>
            <family val="2"/>
          </rPr>
          <t>11376   574</t>
        </r>
        <r>
          <rPr>
            <sz val="9"/>
            <color indexed="81"/>
            <rFont val="Tahoma"/>
            <family val="2"/>
          </rPr>
          <t xml:space="preserve">
</t>
        </r>
      </text>
    </comment>
    <comment ref="K21" authorId="0" shapeId="0" xr:uid="{F8EDEC3E-1428-4095-94A8-F0DBD70C7A90}">
      <text>
        <r>
          <rPr>
            <b/>
            <sz val="9"/>
            <color indexed="81"/>
            <rFont val="Tahoma"/>
            <family val="2"/>
          </rPr>
          <t>11359   528
11376     97</t>
        </r>
        <r>
          <rPr>
            <sz val="9"/>
            <color indexed="81"/>
            <rFont val="Tahoma"/>
            <family val="2"/>
          </rPr>
          <t xml:space="preserve">
</t>
        </r>
      </text>
    </comment>
    <comment ref="N21" authorId="0" shapeId="0" xr:uid="{1C566BA3-BF67-47CB-9D8A-5C80C4923A4A}">
      <text>
        <r>
          <rPr>
            <b/>
            <sz val="9"/>
            <color indexed="81"/>
            <rFont val="Tahoma"/>
            <family val="2"/>
          </rPr>
          <t xml:space="preserve">11363   315
</t>
        </r>
      </text>
    </comment>
    <comment ref="C22" authorId="0" shapeId="0" xr:uid="{2079F300-6DF9-498F-BDE2-0155496839A8}">
      <text>
        <r>
          <rPr>
            <b/>
            <sz val="9"/>
            <color indexed="81"/>
            <rFont val="Tahoma"/>
            <family val="2"/>
          </rPr>
          <t xml:space="preserve">11385   256
</t>
        </r>
        <r>
          <rPr>
            <sz val="9"/>
            <color indexed="81"/>
            <rFont val="Tahoma"/>
            <family val="2"/>
          </rPr>
          <t xml:space="preserve">
</t>
        </r>
      </text>
    </comment>
    <comment ref="E22" authorId="0" shapeId="0" xr:uid="{ADC19A99-3C6B-4040-950A-1428F0848B03}">
      <text>
        <r>
          <rPr>
            <b/>
            <sz val="9"/>
            <color indexed="81"/>
            <rFont val="Tahoma"/>
            <family val="2"/>
          </rPr>
          <t>11380   100
11377   222</t>
        </r>
        <r>
          <rPr>
            <sz val="9"/>
            <color indexed="81"/>
            <rFont val="Tahoma"/>
            <family val="2"/>
          </rPr>
          <t xml:space="preserve">
</t>
        </r>
      </text>
    </comment>
    <comment ref="G22" authorId="0" shapeId="0" xr:uid="{38682F62-7EA5-4CA5-8642-CC75516B9763}">
      <text>
        <r>
          <rPr>
            <b/>
            <sz val="9"/>
            <color indexed="81"/>
            <rFont val="Tahoma"/>
            <family val="2"/>
          </rPr>
          <t>11365    512</t>
        </r>
        <r>
          <rPr>
            <sz val="9"/>
            <color indexed="81"/>
            <rFont val="Tahoma"/>
            <family val="2"/>
          </rPr>
          <t xml:space="preserve">
</t>
        </r>
      </text>
    </comment>
    <comment ref="I22" authorId="0" shapeId="0" xr:uid="{2EF16E83-EF6A-411E-A38A-6CCE4BCECD1F}">
      <text>
        <r>
          <rPr>
            <b/>
            <sz val="9"/>
            <color indexed="81"/>
            <rFont val="Tahoma"/>
            <family val="2"/>
          </rPr>
          <t>11369   506</t>
        </r>
        <r>
          <rPr>
            <sz val="9"/>
            <color indexed="81"/>
            <rFont val="Tahoma"/>
            <family val="2"/>
          </rPr>
          <t xml:space="preserve">
</t>
        </r>
      </text>
    </comment>
    <comment ref="K22" authorId="0" shapeId="0" xr:uid="{8AB74BF9-D9A4-475C-A10B-9B8487FFF9BD}">
      <text>
        <r>
          <rPr>
            <b/>
            <sz val="9"/>
            <color indexed="81"/>
            <rFont val="Tahoma"/>
            <family val="2"/>
          </rPr>
          <t>11363   718</t>
        </r>
        <r>
          <rPr>
            <sz val="9"/>
            <color indexed="81"/>
            <rFont val="Tahoma"/>
            <family val="2"/>
          </rPr>
          <t xml:space="preserve">
</t>
        </r>
      </text>
    </comment>
    <comment ref="N22" authorId="0" shapeId="0" xr:uid="{E6669691-07EF-42F6-8981-EF2E4B232FA8}">
      <text>
        <r>
          <rPr>
            <b/>
            <sz val="9"/>
            <color indexed="81"/>
            <rFont val="Tahoma"/>
            <family val="2"/>
          </rPr>
          <t>11362        2
11362   716</t>
        </r>
        <r>
          <rPr>
            <sz val="9"/>
            <color indexed="81"/>
            <rFont val="Tahoma"/>
            <family val="2"/>
          </rPr>
          <t xml:space="preserve">
</t>
        </r>
        <r>
          <rPr>
            <b/>
            <sz val="9"/>
            <color indexed="81"/>
            <rFont val="Tahoma"/>
            <family val="2"/>
          </rPr>
          <t>11359   200</t>
        </r>
      </text>
    </comment>
    <comment ref="C26" authorId="0" shapeId="0" xr:uid="{9518C705-7F5E-4605-981F-9EAC65337418}">
      <text>
        <r>
          <rPr>
            <b/>
            <sz val="9"/>
            <color indexed="81"/>
            <rFont val="Tahoma"/>
            <family val="2"/>
          </rPr>
          <t>11384     300</t>
        </r>
        <r>
          <rPr>
            <sz val="9"/>
            <color indexed="81"/>
            <rFont val="Tahoma"/>
            <family val="2"/>
          </rPr>
          <t xml:space="preserve">
</t>
        </r>
      </text>
    </comment>
    <comment ref="D26" authorId="0" shapeId="0" xr:uid="{F1C37AEC-3C52-443B-AFA3-3061D962B567}">
      <text>
        <r>
          <rPr>
            <b/>
            <sz val="9"/>
            <color indexed="81"/>
            <rFont val="Tahoma"/>
            <family val="2"/>
          </rPr>
          <t xml:space="preserve">960650     1
960652     1
960653     1
</t>
        </r>
        <r>
          <rPr>
            <sz val="9"/>
            <color indexed="81"/>
            <rFont val="Tahoma"/>
            <family val="2"/>
          </rPr>
          <t xml:space="preserve">
</t>
        </r>
      </text>
    </comment>
    <comment ref="E26" authorId="0" shapeId="0" xr:uid="{683A3845-2532-4F77-9E17-BDA9A2F8A078}">
      <text>
        <r>
          <rPr>
            <b/>
            <sz val="9"/>
            <color indexed="81"/>
            <rFont val="Tahoma"/>
            <family val="2"/>
          </rPr>
          <t>11382    150
11380    190</t>
        </r>
        <r>
          <rPr>
            <sz val="9"/>
            <color indexed="81"/>
            <rFont val="Tahoma"/>
            <family val="2"/>
          </rPr>
          <t xml:space="preserve">
</t>
        </r>
      </text>
    </comment>
    <comment ref="I26" authorId="0" shapeId="0" xr:uid="{B049425F-04B7-4960-A66C-D9C07549E4FE}">
      <text>
        <r>
          <rPr>
            <b/>
            <sz val="9"/>
            <color indexed="81"/>
            <rFont val="Tahoma"/>
            <family val="2"/>
          </rPr>
          <t xml:space="preserve">11364    718
</t>
        </r>
        <r>
          <rPr>
            <sz val="9"/>
            <color indexed="81"/>
            <rFont val="Tahoma"/>
            <family val="2"/>
          </rPr>
          <t xml:space="preserve">
</t>
        </r>
      </text>
    </comment>
    <comment ref="K26" authorId="0" shapeId="0" xr:uid="{C468B423-16C8-49A5-BB82-B12560482D8B}">
      <text>
        <r>
          <rPr>
            <b/>
            <sz val="9"/>
            <color indexed="81"/>
            <rFont val="Tahoma"/>
            <family val="2"/>
          </rPr>
          <t>11366   360</t>
        </r>
        <r>
          <rPr>
            <sz val="9"/>
            <color indexed="81"/>
            <rFont val="Tahoma"/>
            <family val="2"/>
          </rPr>
          <t xml:space="preserve">
</t>
        </r>
      </text>
    </comment>
    <comment ref="N26" authorId="0" shapeId="0" xr:uid="{8E587530-A2CA-4D5B-8663-C8432FBE3049}">
      <text>
        <r>
          <rPr>
            <b/>
            <sz val="9"/>
            <color indexed="81"/>
            <rFont val="Tahoma"/>
            <family val="2"/>
          </rPr>
          <t xml:space="preserve">11359    400
11363   250
</t>
        </r>
        <r>
          <rPr>
            <sz val="9"/>
            <color indexed="81"/>
            <rFont val="Tahoma"/>
            <family val="2"/>
          </rPr>
          <t xml:space="preserve">
</t>
        </r>
      </text>
    </comment>
    <comment ref="C27" authorId="0" shapeId="0" xr:uid="{DF76D09D-9038-4CA2-8988-C4300ED43336}">
      <text>
        <r>
          <rPr>
            <b/>
            <sz val="9"/>
            <color indexed="81"/>
            <rFont val="Tahoma"/>
            <family val="2"/>
          </rPr>
          <t>11384    200</t>
        </r>
        <r>
          <rPr>
            <sz val="9"/>
            <color indexed="81"/>
            <rFont val="Tahoma"/>
            <family val="2"/>
          </rPr>
          <t xml:space="preserve">
</t>
        </r>
      </text>
    </comment>
    <comment ref="D27" authorId="0" shapeId="0" xr:uid="{9990E268-8EE0-4E29-8BB7-DC901DC0AB69}">
      <text>
        <r>
          <rPr>
            <b/>
            <sz val="9"/>
            <color indexed="81"/>
            <rFont val="Tahoma"/>
            <family val="2"/>
          </rPr>
          <t>960646     1</t>
        </r>
        <r>
          <rPr>
            <sz val="9"/>
            <color indexed="81"/>
            <rFont val="Tahoma"/>
            <family val="2"/>
          </rPr>
          <t xml:space="preserve">
</t>
        </r>
      </text>
    </comment>
    <comment ref="E27" authorId="0" shapeId="0" xr:uid="{3A7C214D-AC56-42B7-ABEE-17096C67519D}">
      <text>
        <r>
          <rPr>
            <b/>
            <sz val="9"/>
            <color indexed="81"/>
            <rFont val="Tahoma"/>
            <family val="2"/>
          </rPr>
          <t>11385     100
11382     262</t>
        </r>
        <r>
          <rPr>
            <sz val="9"/>
            <color indexed="81"/>
            <rFont val="Tahoma"/>
            <family val="2"/>
          </rPr>
          <t xml:space="preserve">
</t>
        </r>
      </text>
    </comment>
    <comment ref="I27" authorId="0" shapeId="0" xr:uid="{7AD27465-6062-402D-9BC0-4158E931D26F}">
      <text>
        <r>
          <rPr>
            <b/>
            <sz val="9"/>
            <color indexed="81"/>
            <rFont val="Tahoma"/>
            <family val="2"/>
          </rPr>
          <t>11374    1002</t>
        </r>
        <r>
          <rPr>
            <sz val="9"/>
            <color indexed="81"/>
            <rFont val="Tahoma"/>
            <family val="2"/>
          </rPr>
          <t xml:space="preserve">
</t>
        </r>
      </text>
    </comment>
    <comment ref="K27" authorId="0" shapeId="0" xr:uid="{C329D1D5-11F3-4386-BCA5-17D2FA5FD289}">
      <text>
        <r>
          <rPr>
            <b/>
            <sz val="9"/>
            <color indexed="81"/>
            <rFont val="Tahoma"/>
            <family val="2"/>
          </rPr>
          <t>11366   354</t>
        </r>
        <r>
          <rPr>
            <sz val="9"/>
            <color indexed="81"/>
            <rFont val="Tahoma"/>
            <family val="2"/>
          </rPr>
          <t xml:space="preserve">
</t>
        </r>
      </text>
    </comment>
    <comment ref="N27" authorId="0" shapeId="0" xr:uid="{67017944-AA2C-468C-BACC-23DE88F68B8E}">
      <text>
        <r>
          <rPr>
            <b/>
            <sz val="9"/>
            <color indexed="81"/>
            <rFont val="Tahoma"/>
            <family val="2"/>
          </rPr>
          <t>11359     98
11363   468
11370     11
11360     40</t>
        </r>
        <r>
          <rPr>
            <sz val="9"/>
            <color indexed="81"/>
            <rFont val="Tahoma"/>
            <family val="2"/>
          </rPr>
          <t xml:space="preserve">
</t>
        </r>
      </text>
    </comment>
    <comment ref="C29" authorId="0" shapeId="0" xr:uid="{6CAC721D-3CC4-4F6D-8C98-A04A8D361AC1}">
      <text>
        <r>
          <rPr>
            <b/>
            <sz val="9"/>
            <color indexed="81"/>
            <rFont val="Tahoma"/>
            <family val="2"/>
          </rPr>
          <t>11383    484</t>
        </r>
        <r>
          <rPr>
            <sz val="9"/>
            <color indexed="81"/>
            <rFont val="Tahoma"/>
            <family val="2"/>
          </rPr>
          <t xml:space="preserve">
</t>
        </r>
      </text>
    </comment>
    <comment ref="D29" authorId="0" shapeId="0" xr:uid="{EFDC7416-8A50-457D-87F2-8BFDDA75FF14}">
      <text>
        <r>
          <rPr>
            <b/>
            <sz val="9"/>
            <color indexed="81"/>
            <rFont val="Tahoma"/>
            <family val="2"/>
          </rPr>
          <t xml:space="preserve">960655    1
</t>
        </r>
        <r>
          <rPr>
            <sz val="9"/>
            <color indexed="81"/>
            <rFont val="Tahoma"/>
            <family val="2"/>
          </rPr>
          <t xml:space="preserve">
</t>
        </r>
      </text>
    </comment>
    <comment ref="E29" authorId="0" shapeId="0" xr:uid="{EE85988A-4C21-47EA-AF9A-A1597AC75EC7}">
      <text>
        <r>
          <rPr>
            <b/>
            <sz val="9"/>
            <color indexed="81"/>
            <rFont val="Tahoma"/>
            <family val="2"/>
          </rPr>
          <t>11384    100
11385    156</t>
        </r>
        <r>
          <rPr>
            <sz val="9"/>
            <color indexed="81"/>
            <rFont val="Tahoma"/>
            <family val="2"/>
          </rPr>
          <t xml:space="preserve">
</t>
        </r>
      </text>
    </comment>
    <comment ref="I29" authorId="0" shapeId="0" xr:uid="{0A914BD5-BE70-4D80-855D-6C8838EFCA64}">
      <text>
        <r>
          <rPr>
            <b/>
            <sz val="9"/>
            <color indexed="81"/>
            <rFont val="Tahoma"/>
            <family val="2"/>
          </rPr>
          <t>11365   512</t>
        </r>
        <r>
          <rPr>
            <sz val="9"/>
            <color indexed="81"/>
            <rFont val="Tahoma"/>
            <family val="2"/>
          </rPr>
          <t xml:space="preserve">
</t>
        </r>
      </text>
    </comment>
    <comment ref="K29" authorId="0" shapeId="0" xr:uid="{5BAB378B-F8E6-4D87-B594-603932203B19}">
      <text>
        <r>
          <rPr>
            <b/>
            <sz val="9"/>
            <color indexed="81"/>
            <rFont val="Tahoma"/>
            <family val="2"/>
          </rPr>
          <t>11374   477
11376   204</t>
        </r>
        <r>
          <rPr>
            <sz val="9"/>
            <color indexed="81"/>
            <rFont val="Tahoma"/>
            <family val="2"/>
          </rPr>
          <t xml:space="preserve">
</t>
        </r>
      </text>
    </comment>
    <comment ref="N29" authorId="0" shapeId="0" xr:uid="{2F9003A8-2400-4277-A2BD-5E1D4F1D1573}">
      <text>
        <r>
          <rPr>
            <b/>
            <sz val="9"/>
            <color indexed="81"/>
            <rFont val="Tahoma"/>
            <family val="2"/>
          </rPr>
          <t>11376    97
11366  420</t>
        </r>
      </text>
    </comment>
    <comment ref="C30" authorId="0" shapeId="0" xr:uid="{EC79A203-252D-4001-9DE4-04EDBC015CD6}">
      <text>
        <r>
          <rPr>
            <b/>
            <sz val="9"/>
            <color indexed="81"/>
            <rFont val="Tahoma"/>
            <family val="2"/>
          </rPr>
          <t>11388   386</t>
        </r>
        <r>
          <rPr>
            <sz val="9"/>
            <color indexed="81"/>
            <rFont val="Tahoma"/>
            <family val="2"/>
          </rPr>
          <t xml:space="preserve">
</t>
        </r>
      </text>
    </comment>
    <comment ref="E30" authorId="0" shapeId="0" xr:uid="{7040782C-EA85-47B2-8827-CCA3AD373C5C}">
      <text>
        <r>
          <rPr>
            <b/>
            <sz val="9"/>
            <color indexed="81"/>
            <rFont val="Tahoma"/>
            <family val="2"/>
          </rPr>
          <t>11384    250</t>
        </r>
        <r>
          <rPr>
            <sz val="9"/>
            <color indexed="81"/>
            <rFont val="Tahoma"/>
            <family val="2"/>
          </rPr>
          <t xml:space="preserve">
</t>
        </r>
      </text>
    </comment>
    <comment ref="K30" authorId="0" shapeId="0" xr:uid="{54C777C3-AF77-4ED4-96BA-4359D5384DC1}">
      <text>
        <r>
          <rPr>
            <b/>
            <sz val="9"/>
            <color indexed="81"/>
            <rFont val="Tahoma"/>
            <family val="2"/>
          </rPr>
          <t>11368    177
11376    273</t>
        </r>
        <r>
          <rPr>
            <sz val="9"/>
            <color indexed="81"/>
            <rFont val="Tahoma"/>
            <family val="2"/>
          </rPr>
          <t xml:space="preserve">
</t>
        </r>
      </text>
    </comment>
    <comment ref="N30" authorId="0" shapeId="0" xr:uid="{6BDD71A8-B852-4594-AA8D-DAEEB2C35B55}">
      <text>
        <r>
          <rPr>
            <b/>
            <sz val="9"/>
            <color indexed="81"/>
            <rFont val="Tahoma"/>
            <family val="2"/>
          </rPr>
          <t>11366    294
11345    106</t>
        </r>
        <r>
          <rPr>
            <sz val="9"/>
            <color indexed="81"/>
            <rFont val="Tahoma"/>
            <family val="2"/>
          </rPr>
          <t xml:space="preserve">
</t>
        </r>
      </text>
    </comment>
    <comment ref="C34" authorId="0" shapeId="0" xr:uid="{8C867572-73A0-4E17-832A-5C5FF73D5DFF}">
      <text>
        <r>
          <rPr>
            <b/>
            <sz val="9"/>
            <color indexed="81"/>
            <rFont val="Tahoma"/>
            <family val="2"/>
          </rPr>
          <t>11389    496</t>
        </r>
        <r>
          <rPr>
            <sz val="9"/>
            <color indexed="81"/>
            <rFont val="Tahoma"/>
            <family val="2"/>
          </rPr>
          <t xml:space="preserve">
</t>
        </r>
      </text>
    </comment>
    <comment ref="D34" authorId="0" shapeId="0" xr:uid="{46F18C0C-0F5F-4118-B6F1-9DA925553001}">
      <text>
        <r>
          <rPr>
            <b/>
            <sz val="9"/>
            <color indexed="81"/>
            <rFont val="Tahoma"/>
            <family val="2"/>
          </rPr>
          <t>960656    1
960657    5
960658    5
960659    5
960660    5</t>
        </r>
        <r>
          <rPr>
            <sz val="9"/>
            <color indexed="81"/>
            <rFont val="Tahoma"/>
            <family val="2"/>
          </rPr>
          <t xml:space="preserve">
</t>
        </r>
      </text>
    </comment>
    <comment ref="E34" authorId="0" shapeId="0" xr:uid="{719EB409-7B12-4B4B-9F0B-D9BA40B8AEC2}">
      <text>
        <r>
          <rPr>
            <b/>
            <sz val="9"/>
            <color indexed="81"/>
            <rFont val="Tahoma"/>
            <family val="2"/>
          </rPr>
          <t>11384   150</t>
        </r>
        <r>
          <rPr>
            <sz val="9"/>
            <color indexed="81"/>
            <rFont val="Tahoma"/>
            <family val="2"/>
          </rPr>
          <t xml:space="preserve">
</t>
        </r>
      </text>
    </comment>
    <comment ref="I34" authorId="0" shapeId="0" xr:uid="{D3500E01-844C-40B1-B823-B058C537C126}">
      <text>
        <r>
          <rPr>
            <b/>
            <sz val="9"/>
            <color indexed="81"/>
            <rFont val="Tahoma"/>
            <family val="2"/>
          </rPr>
          <t>11379   702</t>
        </r>
        <r>
          <rPr>
            <sz val="9"/>
            <color indexed="81"/>
            <rFont val="Tahoma"/>
            <family val="2"/>
          </rPr>
          <t xml:space="preserve">
</t>
        </r>
      </text>
    </comment>
    <comment ref="K34" authorId="0" shapeId="0" xr:uid="{59D2F603-237D-4D2A-BBE2-5DE3E5B04FD1}">
      <text>
        <r>
          <rPr>
            <b/>
            <sz val="9"/>
            <color indexed="81"/>
            <rFont val="Tahoma"/>
            <family val="2"/>
          </rPr>
          <t>11365    170
11368    312
11374    156</t>
        </r>
        <r>
          <rPr>
            <sz val="9"/>
            <color indexed="81"/>
            <rFont val="Tahoma"/>
            <family val="2"/>
          </rPr>
          <t xml:space="preserve">
</t>
        </r>
      </text>
    </comment>
    <comment ref="N34" authorId="0" shapeId="0" xr:uid="{B541A9D2-F044-485C-AD64-94C9E702C910}">
      <text>
        <r>
          <rPr>
            <b/>
            <sz val="9"/>
            <color indexed="81"/>
            <rFont val="Tahoma"/>
            <family val="2"/>
          </rPr>
          <t>11345    10
11345    31
11345  100
11374  300
Reprocesos 122</t>
        </r>
      </text>
    </comment>
    <comment ref="C35" authorId="0" shapeId="0" xr:uid="{DC119CF7-C9C4-492B-8294-8EDE71DD7096}">
      <text>
        <r>
          <rPr>
            <b/>
            <sz val="9"/>
            <color indexed="81"/>
            <rFont val="Tahoma"/>
            <family val="2"/>
          </rPr>
          <t>11390    706</t>
        </r>
        <r>
          <rPr>
            <sz val="9"/>
            <color indexed="81"/>
            <rFont val="Tahoma"/>
            <family val="2"/>
          </rPr>
          <t xml:space="preserve">
</t>
        </r>
      </text>
    </comment>
    <comment ref="E35" authorId="0" shapeId="0" xr:uid="{5A1A5352-212C-410E-9831-0FD239F3E1B2}">
      <text>
        <r>
          <rPr>
            <b/>
            <sz val="9"/>
            <color indexed="81"/>
            <rFont val="Tahoma"/>
            <family val="2"/>
          </rPr>
          <t>11388   250</t>
        </r>
        <r>
          <rPr>
            <sz val="9"/>
            <color indexed="81"/>
            <rFont val="Tahoma"/>
            <family val="2"/>
          </rPr>
          <t xml:space="preserve">
</t>
        </r>
      </text>
    </comment>
    <comment ref="I35" authorId="0" shapeId="0" xr:uid="{63EEA70C-DF15-487C-A0AD-31CFA4E48A3F}">
      <text>
        <r>
          <rPr>
            <b/>
            <sz val="9"/>
            <color indexed="81"/>
            <rFont val="Tahoma"/>
            <family val="2"/>
          </rPr>
          <t>11377   702</t>
        </r>
        <r>
          <rPr>
            <sz val="9"/>
            <color indexed="81"/>
            <rFont val="Tahoma"/>
            <family val="2"/>
          </rPr>
          <t xml:space="preserve">
</t>
        </r>
      </text>
    </comment>
    <comment ref="K35" authorId="0" shapeId="0" xr:uid="{E489CBE5-F3EE-476E-ADF9-948E68ACDCF3}">
      <text>
        <r>
          <rPr>
            <b/>
            <sz val="9"/>
            <color indexed="81"/>
            <rFont val="Tahoma"/>
            <family val="2"/>
          </rPr>
          <t>11365   171
11368     17
11374   369</t>
        </r>
        <r>
          <rPr>
            <sz val="9"/>
            <color indexed="81"/>
            <rFont val="Tahoma"/>
            <family val="2"/>
          </rPr>
          <t xml:space="preserve">
</t>
        </r>
      </text>
    </comment>
    <comment ref="N35" authorId="0" shapeId="0" xr:uid="{DEE409D4-BD19-4205-9CC1-74326231DFCF}">
      <text>
        <r>
          <rPr>
            <b/>
            <sz val="9"/>
            <color indexed="81"/>
            <rFont val="Tahoma"/>
            <family val="2"/>
          </rPr>
          <t>11374  166
11376  477</t>
        </r>
        <r>
          <rPr>
            <sz val="9"/>
            <color indexed="81"/>
            <rFont val="Tahoma"/>
            <family val="2"/>
          </rPr>
          <t xml:space="preserve">
</t>
        </r>
      </text>
    </comment>
    <comment ref="D36" authorId="0" shapeId="0" xr:uid="{DDFDCF18-E31F-4428-AA85-ED59B8DCA451}">
      <text>
        <r>
          <rPr>
            <b/>
            <sz val="9"/>
            <color indexed="81"/>
            <rFont val="Tahoma"/>
            <family val="2"/>
          </rPr>
          <t>960962      1</t>
        </r>
        <r>
          <rPr>
            <sz val="9"/>
            <color indexed="81"/>
            <rFont val="Tahoma"/>
            <family val="2"/>
          </rPr>
          <t xml:space="preserve">
</t>
        </r>
      </text>
    </comment>
    <comment ref="E36" authorId="0" shapeId="0" xr:uid="{A1A1829F-FE16-4A1C-8626-9B046AA6A464}">
      <text>
        <r>
          <rPr>
            <b/>
            <sz val="9"/>
            <color indexed="81"/>
            <rFont val="Tahoma"/>
            <family val="2"/>
          </rPr>
          <t>11389   100
11341     80
11388   136</t>
        </r>
        <r>
          <rPr>
            <sz val="9"/>
            <color indexed="81"/>
            <rFont val="Tahoma"/>
            <family val="2"/>
          </rPr>
          <t xml:space="preserve">
</t>
        </r>
      </text>
    </comment>
    <comment ref="I36" authorId="0" shapeId="0" xr:uid="{AAAF238E-0CC6-4316-A47C-B29DB212006B}">
      <text>
        <r>
          <rPr>
            <b/>
            <sz val="9"/>
            <color indexed="81"/>
            <rFont val="Tahoma"/>
            <family val="2"/>
          </rPr>
          <t>11380    290</t>
        </r>
        <r>
          <rPr>
            <sz val="9"/>
            <color indexed="81"/>
            <rFont val="Tahoma"/>
            <family val="2"/>
          </rPr>
          <t xml:space="preserve">
</t>
        </r>
      </text>
    </comment>
    <comment ref="K36" authorId="0" shapeId="0" xr:uid="{02A46EF4-1A15-457D-A5B6-5276A9F742C8}">
      <text>
        <r>
          <rPr>
            <b/>
            <sz val="9"/>
            <color indexed="81"/>
            <rFont val="Tahoma"/>
            <family val="2"/>
          </rPr>
          <t xml:space="preserve">11365  171
</t>
        </r>
      </text>
    </comment>
    <comment ref="N36" authorId="0" shapeId="0" xr:uid="{C3EA7C4A-0623-484F-98BE-52569D175BE3}">
      <text>
        <r>
          <rPr>
            <b/>
            <sz val="9"/>
            <color indexed="81"/>
            <rFont val="Tahoma"/>
            <family val="2"/>
          </rPr>
          <t>11374    418</t>
        </r>
        <r>
          <rPr>
            <sz val="9"/>
            <color indexed="81"/>
            <rFont val="Tahoma"/>
            <family val="2"/>
          </rPr>
          <t xml:space="preserve">
</t>
        </r>
      </text>
    </comment>
    <comment ref="C37" authorId="0" shapeId="0" xr:uid="{277728CA-39D5-44DD-A1D2-504F7EB18DC2}">
      <text>
        <r>
          <rPr>
            <b/>
            <sz val="9"/>
            <color indexed="81"/>
            <rFont val="Tahoma"/>
            <family val="2"/>
          </rPr>
          <t xml:space="preserve">11386     508
</t>
        </r>
        <r>
          <rPr>
            <sz val="9"/>
            <color indexed="81"/>
            <rFont val="Tahoma"/>
            <family val="2"/>
          </rPr>
          <t xml:space="preserve">
</t>
        </r>
      </text>
    </comment>
    <comment ref="E37" authorId="0" shapeId="0" xr:uid="{73EB4A82-D87E-466E-9EFB-8DE6ECEE9406}">
      <text>
        <r>
          <rPr>
            <b/>
            <sz val="9"/>
            <color indexed="81"/>
            <rFont val="Tahoma"/>
            <family val="2"/>
          </rPr>
          <t>11389   396</t>
        </r>
        <r>
          <rPr>
            <sz val="9"/>
            <color indexed="81"/>
            <rFont val="Tahoma"/>
            <family val="2"/>
          </rPr>
          <t xml:space="preserve">
</t>
        </r>
      </text>
    </comment>
    <comment ref="K37" authorId="0" shapeId="0" xr:uid="{9EE6C66F-3756-4277-AEBF-4DB8585D9ABB}">
      <text>
        <r>
          <rPr>
            <b/>
            <sz val="9"/>
            <color indexed="81"/>
            <rFont val="Tahoma"/>
            <family val="2"/>
          </rPr>
          <t xml:space="preserve">11379   350
11372   227
</t>
        </r>
        <r>
          <rPr>
            <sz val="9"/>
            <color indexed="81"/>
            <rFont val="Tahoma"/>
            <family val="2"/>
          </rPr>
          <t xml:space="preserve">
</t>
        </r>
      </text>
    </comment>
    <comment ref="N37" authorId="0" shapeId="0" xr:uid="{26E8E532-329B-45CC-A136-E2E71A1EFDAE}">
      <text>
        <r>
          <rPr>
            <b/>
            <sz val="9"/>
            <color indexed="81"/>
            <rFont val="Tahoma"/>
            <family val="2"/>
          </rPr>
          <t>11374   118
11345   103
11365   166
11368   173</t>
        </r>
        <r>
          <rPr>
            <sz val="9"/>
            <color indexed="81"/>
            <rFont val="Tahoma"/>
            <family val="2"/>
          </rPr>
          <t xml:space="preserve">
</t>
        </r>
      </text>
    </comment>
    <comment ref="C38" authorId="0" shapeId="0" xr:uid="{AEFD0585-0434-4369-A7F6-3696A6D9A67B}">
      <text>
        <r>
          <rPr>
            <b/>
            <sz val="9"/>
            <color indexed="81"/>
            <rFont val="Tahoma"/>
            <family val="2"/>
          </rPr>
          <t>11392    702</t>
        </r>
        <r>
          <rPr>
            <sz val="9"/>
            <color indexed="81"/>
            <rFont val="Tahoma"/>
            <family val="2"/>
          </rPr>
          <t xml:space="preserve">
</t>
        </r>
      </text>
    </comment>
    <comment ref="K38" authorId="0" shapeId="0" xr:uid="{229603D9-A7F8-4942-8453-CCD2D106D9F6}">
      <text>
        <r>
          <rPr>
            <b/>
            <sz val="9"/>
            <color indexed="81"/>
            <rFont val="Tahoma"/>
            <family val="2"/>
          </rPr>
          <t>11379 3802  352</t>
        </r>
        <r>
          <rPr>
            <sz val="9"/>
            <color indexed="81"/>
            <rFont val="Tahoma"/>
            <family val="2"/>
          </rPr>
          <t xml:space="preserve">
</t>
        </r>
        <r>
          <rPr>
            <b/>
            <sz val="9"/>
            <color indexed="81"/>
            <rFont val="Tahoma"/>
            <family val="2"/>
          </rPr>
          <t>11369 3924  336/506</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Angelica Gonzalez</author>
  </authors>
  <commentList>
    <comment ref="C5" authorId="0" shapeId="0" xr:uid="{CBD063FE-8B33-44AD-8ACB-F9C6EFDACC0E}">
      <text>
        <r>
          <rPr>
            <b/>
            <sz val="9"/>
            <color indexed="81"/>
            <rFont val="Tahoma"/>
            <family val="2"/>
          </rPr>
          <t>11391    500</t>
        </r>
        <r>
          <rPr>
            <sz val="9"/>
            <color indexed="81"/>
            <rFont val="Tahoma"/>
            <family val="2"/>
          </rPr>
          <t xml:space="preserve">
</t>
        </r>
      </text>
    </comment>
    <comment ref="E5" authorId="0" shapeId="0" xr:uid="{E7DB7D19-40AF-42E2-90B8-A10B33B3ED47}">
      <text>
        <r>
          <rPr>
            <b/>
            <sz val="9"/>
            <color indexed="81"/>
            <rFont val="Tahoma"/>
            <family val="2"/>
          </rPr>
          <t>11386    300</t>
        </r>
        <r>
          <rPr>
            <sz val="9"/>
            <color indexed="81"/>
            <rFont val="Tahoma"/>
            <family val="2"/>
          </rPr>
          <t xml:space="preserve">
</t>
        </r>
      </text>
    </comment>
    <comment ref="I5" authorId="0" shapeId="0" xr:uid="{F7D5C378-2090-4A32-BA44-BD96F25F95A9}">
      <text>
        <r>
          <rPr>
            <b/>
            <sz val="9"/>
            <color indexed="81"/>
            <rFont val="Tahoma"/>
            <family val="2"/>
          </rPr>
          <t>11372      23
11373        5
11382    412</t>
        </r>
        <r>
          <rPr>
            <sz val="9"/>
            <color indexed="81"/>
            <rFont val="Tahoma"/>
            <family val="2"/>
          </rPr>
          <t xml:space="preserve">
</t>
        </r>
      </text>
    </comment>
    <comment ref="K5" authorId="0" shapeId="0" xr:uid="{DDD22654-CA44-4AB7-B664-DDFDA361A839}">
      <text>
        <r>
          <rPr>
            <b/>
            <sz val="9"/>
            <color indexed="81"/>
            <rFont val="Tahoma"/>
            <family val="2"/>
          </rPr>
          <t>11369    170
11372    316</t>
        </r>
        <r>
          <rPr>
            <sz val="9"/>
            <color indexed="81"/>
            <rFont val="Tahoma"/>
            <family val="2"/>
          </rPr>
          <t xml:space="preserve">
</t>
        </r>
      </text>
    </comment>
    <comment ref="N5" authorId="0" shapeId="0" xr:uid="{88876E8F-FB08-42DE-81C0-0FCC0286301B}">
      <text>
        <r>
          <rPr>
            <b/>
            <sz val="9"/>
            <color indexed="81"/>
            <rFont val="Tahoma"/>
            <family val="2"/>
          </rPr>
          <t xml:space="preserve">11372     226  </t>
        </r>
        <r>
          <rPr>
            <sz val="9"/>
            <color indexed="81"/>
            <rFont val="Tahoma"/>
            <family val="2"/>
          </rPr>
          <t xml:space="preserve">
</t>
        </r>
      </text>
    </comment>
    <comment ref="C6" authorId="0" shapeId="0" xr:uid="{F99A2B17-9023-46B5-BB32-843C69F639D4}">
      <text>
        <r>
          <rPr>
            <b/>
            <sz val="9"/>
            <color indexed="81"/>
            <rFont val="Tahoma"/>
            <family val="2"/>
          </rPr>
          <t>11391      60</t>
        </r>
        <r>
          <rPr>
            <sz val="9"/>
            <color indexed="81"/>
            <rFont val="Tahoma"/>
            <family val="2"/>
          </rPr>
          <t xml:space="preserve">
</t>
        </r>
      </text>
    </comment>
    <comment ref="E6" authorId="0" shapeId="0" xr:uid="{026E9978-25D1-4FD4-A166-CDC5D6D1D1A5}">
      <text>
        <r>
          <rPr>
            <b/>
            <sz val="9"/>
            <color indexed="81"/>
            <rFont val="Tahoma"/>
            <family val="2"/>
          </rPr>
          <t>11392    100
11386    208</t>
        </r>
        <r>
          <rPr>
            <sz val="9"/>
            <color indexed="81"/>
            <rFont val="Tahoma"/>
            <family val="2"/>
          </rPr>
          <t xml:space="preserve">
</t>
        </r>
      </text>
    </comment>
    <comment ref="K6" authorId="0" shapeId="0" xr:uid="{B9C80AA0-A674-4AD6-91D9-48D378E182D6}">
      <text>
        <r>
          <rPr>
            <b/>
            <sz val="9"/>
            <color indexed="81"/>
            <rFont val="Tahoma"/>
            <family val="2"/>
          </rPr>
          <t>11372     159
11382     136</t>
        </r>
        <r>
          <rPr>
            <sz val="9"/>
            <color indexed="81"/>
            <rFont val="Tahoma"/>
            <family val="2"/>
          </rPr>
          <t xml:space="preserve">
</t>
        </r>
      </text>
    </comment>
    <comment ref="N6" authorId="0" shapeId="0" xr:uid="{20C9F6B9-0130-4B61-9052-5DDF2E1C9B1E}">
      <text>
        <r>
          <rPr>
            <b/>
            <sz val="9"/>
            <color indexed="81"/>
            <rFont val="Tahoma"/>
            <family val="2"/>
          </rPr>
          <t>11379     310
11368     180 prendas Rosita del mes de mayo</t>
        </r>
        <r>
          <rPr>
            <sz val="9"/>
            <color indexed="81"/>
            <rFont val="Tahoma"/>
            <family val="2"/>
          </rPr>
          <t xml:space="preserve">
</t>
        </r>
      </text>
    </comment>
    <comment ref="C7" authorId="0" shapeId="0" xr:uid="{03F99628-21D1-4233-9274-97308514A3D9}">
      <text>
        <r>
          <rPr>
            <b/>
            <sz val="9"/>
            <color indexed="81"/>
            <rFont val="Tahoma"/>
            <family val="2"/>
          </rPr>
          <t>11387    116</t>
        </r>
        <r>
          <rPr>
            <sz val="9"/>
            <color indexed="81"/>
            <rFont val="Tahoma"/>
            <family val="2"/>
          </rPr>
          <t xml:space="preserve">
</t>
        </r>
      </text>
    </comment>
    <comment ref="E7" authorId="0" shapeId="0" xr:uid="{C7220443-4B3E-4F46-BEAD-C04CDCBEC33F}">
      <text>
        <r>
          <rPr>
            <b/>
            <sz val="9"/>
            <color indexed="81"/>
            <rFont val="Tahoma"/>
            <family val="2"/>
          </rPr>
          <t>11392    350</t>
        </r>
        <r>
          <rPr>
            <sz val="9"/>
            <color indexed="81"/>
            <rFont val="Tahoma"/>
            <family val="2"/>
          </rPr>
          <t xml:space="preserve">
</t>
        </r>
      </text>
    </comment>
    <comment ref="G7" authorId="0" shapeId="0" xr:uid="{53ECDCD7-06E8-4C79-987B-7A05E77706AD}">
      <text>
        <r>
          <rPr>
            <b/>
            <sz val="9"/>
            <color indexed="81"/>
            <rFont val="Tahoma"/>
            <family val="2"/>
          </rPr>
          <t>11375     1.002</t>
        </r>
        <r>
          <rPr>
            <sz val="9"/>
            <color indexed="81"/>
            <rFont val="Tahoma"/>
            <family val="2"/>
          </rPr>
          <t xml:space="preserve">
</t>
        </r>
      </text>
    </comment>
    <comment ref="I7" authorId="0" shapeId="0" xr:uid="{E17D22E2-79BA-400B-94DD-EC35BB29E978}">
      <text>
        <r>
          <rPr>
            <b/>
            <sz val="9"/>
            <color indexed="81"/>
            <rFont val="Tahoma"/>
            <family val="2"/>
          </rPr>
          <t>11385    256</t>
        </r>
        <r>
          <rPr>
            <sz val="9"/>
            <color indexed="81"/>
            <rFont val="Tahoma"/>
            <family val="2"/>
          </rPr>
          <t xml:space="preserve">
</t>
        </r>
      </text>
    </comment>
    <comment ref="K7" authorId="0" shapeId="0" xr:uid="{7411E5E6-5CF2-4B1D-A839-DC709B30D371}">
      <text>
        <r>
          <rPr>
            <b/>
            <sz val="9"/>
            <color indexed="81"/>
            <rFont val="Tahoma"/>
            <family val="2"/>
          </rPr>
          <t>11382   276</t>
        </r>
        <r>
          <rPr>
            <sz val="9"/>
            <color indexed="81"/>
            <rFont val="Tahoma"/>
            <family val="2"/>
          </rPr>
          <t xml:space="preserve">
</t>
        </r>
      </text>
    </comment>
    <comment ref="N7" authorId="0" shapeId="0" xr:uid="{E3C80DDE-AC11-448B-A374-9AD8C3BFD3B1}">
      <text>
        <r>
          <rPr>
            <b/>
            <sz val="9"/>
            <color indexed="81"/>
            <rFont val="Tahoma"/>
            <family val="2"/>
          </rPr>
          <t xml:space="preserve">11379    370
</t>
        </r>
        <r>
          <rPr>
            <sz val="9"/>
            <color indexed="81"/>
            <rFont val="Tahoma"/>
            <family val="2"/>
          </rPr>
          <t xml:space="preserve">
</t>
        </r>
      </text>
    </comment>
    <comment ref="C8" authorId="0" shapeId="0" xr:uid="{E26D6261-33F8-4310-B7DD-A464D1511A7E}">
      <text>
        <r>
          <rPr>
            <b/>
            <sz val="9"/>
            <color indexed="81"/>
            <rFont val="Tahoma"/>
            <family val="2"/>
          </rPr>
          <t>11387    500</t>
        </r>
        <r>
          <rPr>
            <sz val="9"/>
            <color indexed="81"/>
            <rFont val="Tahoma"/>
            <family val="2"/>
          </rPr>
          <t xml:space="preserve">
</t>
        </r>
      </text>
    </comment>
    <comment ref="E8" authorId="0" shapeId="0" xr:uid="{A5A1C45A-5166-4949-8F29-C3FAB9E85DA6}">
      <text>
        <r>
          <rPr>
            <b/>
            <sz val="9"/>
            <color indexed="81"/>
            <rFont val="Tahoma"/>
            <family val="2"/>
          </rPr>
          <t>11391      80
11392    252</t>
        </r>
      </text>
    </comment>
    <comment ref="N8" authorId="0" shapeId="0" xr:uid="{AD83F508-E2E9-441E-B560-99622CC2F0DC}">
      <text>
        <r>
          <rPr>
            <b/>
            <sz val="9"/>
            <color indexed="81"/>
            <rFont val="Tahoma"/>
            <family val="2"/>
          </rPr>
          <t>11369    503</t>
        </r>
        <r>
          <rPr>
            <sz val="9"/>
            <color indexed="81"/>
            <rFont val="Tahoma"/>
            <family val="2"/>
          </rPr>
          <t xml:space="preserve">
</t>
        </r>
      </text>
    </comment>
    <comment ref="E9" authorId="0" shapeId="0" xr:uid="{E41A2F7C-A25B-4534-A948-A37638E82528}">
      <text>
        <r>
          <rPr>
            <b/>
            <sz val="9"/>
            <color indexed="81"/>
            <rFont val="Tahoma"/>
            <family val="2"/>
          </rPr>
          <t>11391   300</t>
        </r>
        <r>
          <rPr>
            <sz val="9"/>
            <color indexed="81"/>
            <rFont val="Tahoma"/>
            <family val="2"/>
          </rPr>
          <t xml:space="preserve">
</t>
        </r>
      </text>
    </comment>
    <comment ref="I9" authorId="0" shapeId="0" xr:uid="{82968CB4-9AB5-4F59-A62A-7DF0FEC2BC01}">
      <text>
        <r>
          <rPr>
            <b/>
            <sz val="9"/>
            <color indexed="81"/>
            <rFont val="Tahoma"/>
            <family val="2"/>
          </rPr>
          <t xml:space="preserve">11341     80
11388   386
</t>
        </r>
        <r>
          <rPr>
            <sz val="9"/>
            <color indexed="81"/>
            <rFont val="Tahoma"/>
            <family val="2"/>
          </rPr>
          <t xml:space="preserve">
466</t>
        </r>
      </text>
    </comment>
    <comment ref="K9" authorId="0" shapeId="0" xr:uid="{E4FA6A97-23CF-4637-876E-589FB9F4FF3E}">
      <text>
        <r>
          <rPr>
            <b/>
            <sz val="9"/>
            <color indexed="81"/>
            <rFont val="Tahoma"/>
            <family val="2"/>
          </rPr>
          <t>11364    473
11341      80
11380    253</t>
        </r>
        <r>
          <rPr>
            <sz val="9"/>
            <color indexed="81"/>
            <rFont val="Tahoma"/>
            <family val="2"/>
          </rPr>
          <t xml:space="preserve">
</t>
        </r>
      </text>
    </comment>
    <comment ref="I11" authorId="0" shapeId="0" xr:uid="{8A9BA89B-5F44-4F19-96BB-6F3455D878D1}">
      <text>
        <r>
          <rPr>
            <b/>
            <sz val="9"/>
            <color indexed="81"/>
            <rFont val="Tahoma"/>
            <family val="2"/>
          </rPr>
          <t>5067    480</t>
        </r>
        <r>
          <rPr>
            <sz val="9"/>
            <color indexed="81"/>
            <rFont val="Tahoma"/>
            <family val="2"/>
          </rPr>
          <t xml:space="preserve">
</t>
        </r>
      </text>
    </comment>
    <comment ref="C13" authorId="0" shapeId="0" xr:uid="{C756BE27-C4D3-40AF-9081-131298926F54}">
      <text>
        <r>
          <rPr>
            <b/>
            <sz val="9"/>
            <color indexed="81"/>
            <rFont val="Tahoma"/>
            <family val="2"/>
          </rPr>
          <t>11394  506</t>
        </r>
        <r>
          <rPr>
            <sz val="9"/>
            <color indexed="81"/>
            <rFont val="Tahoma"/>
            <family val="2"/>
          </rPr>
          <t xml:space="preserve">
</t>
        </r>
      </text>
    </comment>
    <comment ref="E13" authorId="0" shapeId="0" xr:uid="{918AB1DA-B78C-498E-8A1A-F77CA912F289}">
      <text>
        <r>
          <rPr>
            <b/>
            <sz val="9"/>
            <color indexed="81"/>
            <rFont val="Tahoma"/>
            <family val="2"/>
          </rPr>
          <t>11391    240</t>
        </r>
        <r>
          <rPr>
            <sz val="9"/>
            <color indexed="81"/>
            <rFont val="Tahoma"/>
            <family val="2"/>
          </rPr>
          <t xml:space="preserve">
</t>
        </r>
      </text>
    </comment>
    <comment ref="I13" authorId="0" shapeId="0" xr:uid="{AA9B3902-F249-4EED-8D37-BFADE7951FD2}">
      <text>
        <r>
          <rPr>
            <b/>
            <sz val="9"/>
            <color indexed="81"/>
            <rFont val="Tahoma"/>
            <family val="2"/>
          </rPr>
          <t xml:space="preserve">11375    736
11384    500   </t>
        </r>
        <r>
          <rPr>
            <sz val="9"/>
            <color indexed="81"/>
            <rFont val="Tahoma"/>
            <family val="2"/>
          </rPr>
          <t xml:space="preserve">
</t>
        </r>
      </text>
    </comment>
    <comment ref="K13" authorId="0" shapeId="0" xr:uid="{CDFD65C8-A064-495E-87E9-19ED26AD5090}">
      <text>
        <r>
          <rPr>
            <b/>
            <sz val="9"/>
            <color indexed="81"/>
            <rFont val="Tahoma"/>
            <family val="2"/>
          </rPr>
          <t>11373   534
11384   500</t>
        </r>
        <r>
          <rPr>
            <sz val="9"/>
            <color indexed="81"/>
            <rFont val="Tahoma"/>
            <family val="2"/>
          </rPr>
          <t xml:space="preserve">
</t>
        </r>
      </text>
    </comment>
    <comment ref="N13" authorId="0" shapeId="0" xr:uid="{F4DDB4C7-AE82-4124-B861-A2737BE89D90}">
      <text>
        <r>
          <rPr>
            <b/>
            <sz val="9"/>
            <color indexed="81"/>
            <rFont val="Tahoma"/>
            <family val="2"/>
          </rPr>
          <t>11372    469
11382    412</t>
        </r>
        <r>
          <rPr>
            <sz val="9"/>
            <color indexed="81"/>
            <rFont val="Tahoma"/>
            <family val="2"/>
          </rPr>
          <t xml:space="preserve">
</t>
        </r>
      </text>
    </comment>
    <comment ref="C14" authorId="0" shapeId="0" xr:uid="{FD710991-852E-4102-97DE-9279FDFADF82}">
      <text>
        <r>
          <rPr>
            <b/>
            <sz val="9"/>
            <color indexed="81"/>
            <rFont val="Tahoma"/>
            <family val="2"/>
          </rPr>
          <t>11395    238</t>
        </r>
        <r>
          <rPr>
            <sz val="9"/>
            <color indexed="81"/>
            <rFont val="Tahoma"/>
            <family val="2"/>
          </rPr>
          <t xml:space="preserve">
</t>
        </r>
      </text>
    </comment>
    <comment ref="K14" authorId="0" shapeId="0" xr:uid="{67880892-8ED4-4B90-BDD5-7AAC88A7902E}">
      <text>
        <r>
          <rPr>
            <b/>
            <sz val="9"/>
            <color indexed="81"/>
            <rFont val="Tahoma"/>
            <family val="2"/>
          </rPr>
          <t>11373     180
11375     339
11377     450
11380       37</t>
        </r>
      </text>
    </comment>
    <comment ref="N14" authorId="0" shapeId="0" xr:uid="{594F93E9-7385-4372-8DF5-A83DCD521416}">
      <text>
        <r>
          <rPr>
            <b/>
            <sz val="9"/>
            <color indexed="81"/>
            <rFont val="Tahoma"/>
            <family val="2"/>
          </rPr>
          <t>11369        3
11379      22
11372        7
11364    471</t>
        </r>
        <r>
          <rPr>
            <sz val="9"/>
            <color indexed="81"/>
            <rFont val="Tahoma"/>
            <family val="2"/>
          </rPr>
          <t xml:space="preserve">
</t>
        </r>
      </text>
    </comment>
    <comment ref="C15" authorId="0" shapeId="0" xr:uid="{BA9F947A-384C-4717-97E5-C8E5D18C9B34}">
      <text>
        <r>
          <rPr>
            <b/>
            <sz val="9"/>
            <color indexed="81"/>
            <rFont val="Tahoma"/>
            <family val="2"/>
          </rPr>
          <t>11396   612</t>
        </r>
        <r>
          <rPr>
            <sz val="9"/>
            <color indexed="81"/>
            <rFont val="Tahoma"/>
            <family val="2"/>
          </rPr>
          <t xml:space="preserve">
</t>
        </r>
      </text>
    </comment>
    <comment ref="E15" authorId="0" shapeId="0" xr:uid="{8137886A-1441-4C01-BABB-7A7F266E8DD7}">
      <text>
        <r>
          <rPr>
            <b/>
            <sz val="9"/>
            <color indexed="81"/>
            <rFont val="Tahoma"/>
            <family val="2"/>
          </rPr>
          <t>11394    300</t>
        </r>
        <r>
          <rPr>
            <sz val="9"/>
            <color indexed="81"/>
            <rFont val="Tahoma"/>
            <family val="2"/>
          </rPr>
          <t xml:space="preserve">
</t>
        </r>
      </text>
    </comment>
    <comment ref="G15" authorId="0" shapeId="0" xr:uid="{EB238D34-0181-4652-9382-B6DEDAE2687A}">
      <text>
        <r>
          <rPr>
            <b/>
            <sz val="9"/>
            <color indexed="81"/>
            <rFont val="Tahoma"/>
            <family val="2"/>
          </rPr>
          <t>11378    702</t>
        </r>
        <r>
          <rPr>
            <sz val="9"/>
            <color indexed="81"/>
            <rFont val="Tahoma"/>
            <family val="2"/>
          </rPr>
          <t xml:space="preserve">
</t>
        </r>
      </text>
    </comment>
    <comment ref="I15" authorId="0" shapeId="0" xr:uid="{FDC79092-FB5B-4928-B94E-584A5A6727FB}">
      <text>
        <r>
          <rPr>
            <b/>
            <sz val="9"/>
            <color indexed="81"/>
            <rFont val="Tahoma"/>
            <family val="2"/>
          </rPr>
          <t>11375   266</t>
        </r>
        <r>
          <rPr>
            <sz val="9"/>
            <color indexed="81"/>
            <rFont val="Tahoma"/>
            <family val="2"/>
          </rPr>
          <t xml:space="preserve">
</t>
        </r>
      </text>
    </comment>
    <comment ref="K15" authorId="0" shapeId="0" xr:uid="{E955DA6B-01C0-4373-B150-F68C50E201B0}">
      <text>
        <r>
          <rPr>
            <b/>
            <sz val="9"/>
            <color indexed="81"/>
            <rFont val="Tahoma"/>
            <family val="2"/>
          </rPr>
          <t>11375    266
11377    245</t>
        </r>
        <r>
          <rPr>
            <sz val="9"/>
            <color indexed="81"/>
            <rFont val="Tahoma"/>
            <family val="2"/>
          </rPr>
          <t xml:space="preserve">
</t>
        </r>
      </text>
    </comment>
    <comment ref="N15" authorId="0" shapeId="0" xr:uid="{995E2510-6432-49EB-819E-25226E448729}">
      <text>
        <r>
          <rPr>
            <b/>
            <sz val="9"/>
            <color indexed="81"/>
            <rFont val="Tahoma"/>
            <family val="2"/>
          </rPr>
          <t>11380     253
11373     250</t>
        </r>
        <r>
          <rPr>
            <sz val="9"/>
            <color indexed="81"/>
            <rFont val="Tahoma"/>
            <family val="2"/>
          </rPr>
          <t xml:space="preserve">
</t>
        </r>
      </text>
    </comment>
    <comment ref="C16" authorId="0" shapeId="0" xr:uid="{A9ED65C9-B3BF-409C-B11F-3ADFBB4CFB45}">
      <text>
        <r>
          <rPr>
            <b/>
            <sz val="9"/>
            <color indexed="81"/>
            <rFont val="Tahoma"/>
            <family val="2"/>
          </rPr>
          <t xml:space="preserve">11400   602
</t>
        </r>
        <r>
          <rPr>
            <sz val="9"/>
            <color indexed="81"/>
            <rFont val="Tahoma"/>
            <family val="2"/>
          </rPr>
          <t xml:space="preserve">
</t>
        </r>
      </text>
    </comment>
    <comment ref="E16" authorId="0" shapeId="0" xr:uid="{161765CD-CBBB-4165-AB48-A4C7E50673D3}">
      <text>
        <r>
          <rPr>
            <b/>
            <sz val="9"/>
            <color indexed="81"/>
            <rFont val="Tahoma"/>
            <family val="2"/>
          </rPr>
          <t>11395    100
11394    206</t>
        </r>
        <r>
          <rPr>
            <sz val="9"/>
            <color indexed="81"/>
            <rFont val="Tahoma"/>
            <family val="2"/>
          </rPr>
          <t xml:space="preserve">
</t>
        </r>
      </text>
    </comment>
    <comment ref="I16" authorId="0" shapeId="0" xr:uid="{1B5FA40D-AB2B-4830-B27B-4643D56CE18D}">
      <text>
        <r>
          <rPr>
            <b/>
            <sz val="9"/>
            <color indexed="81"/>
            <rFont val="Tahoma"/>
            <family val="2"/>
          </rPr>
          <t xml:space="preserve">11386   508
</t>
        </r>
        <r>
          <rPr>
            <sz val="9"/>
            <color indexed="81"/>
            <rFont val="Tahoma"/>
            <family val="2"/>
          </rPr>
          <t xml:space="preserve">
</t>
        </r>
      </text>
    </comment>
    <comment ref="K16" authorId="0" shapeId="0" xr:uid="{54383893-911F-4786-BC20-BE7FB2788DBB}">
      <text>
        <r>
          <rPr>
            <b/>
            <sz val="9"/>
            <color indexed="81"/>
            <rFont val="Tahoma"/>
            <family val="2"/>
          </rPr>
          <t>11385    256
11375    225</t>
        </r>
        <r>
          <rPr>
            <sz val="9"/>
            <color indexed="81"/>
            <rFont val="Tahoma"/>
            <family val="2"/>
          </rPr>
          <t xml:space="preserve">
</t>
        </r>
      </text>
    </comment>
    <comment ref="N16" authorId="0" shapeId="0" xr:uid="{55174EA0-0980-408B-A01A-AB9729B2357B}">
      <text>
        <r>
          <rPr>
            <b/>
            <sz val="9"/>
            <color indexed="81"/>
            <rFont val="Tahoma"/>
            <family val="2"/>
          </rPr>
          <t>11380      7
11380    30
11313  300</t>
        </r>
        <r>
          <rPr>
            <sz val="9"/>
            <color indexed="81"/>
            <rFont val="Tahoma"/>
            <family val="2"/>
          </rPr>
          <t xml:space="preserve">
</t>
        </r>
      </text>
    </comment>
    <comment ref="C17" authorId="0" shapeId="0" xr:uid="{CFAF73E9-FFB3-4CA7-82C7-E55B77840686}">
      <text>
        <r>
          <rPr>
            <b/>
            <sz val="9"/>
            <color indexed="81"/>
            <rFont val="Tahoma"/>
            <family val="2"/>
          </rPr>
          <t>11398   596</t>
        </r>
        <r>
          <rPr>
            <sz val="9"/>
            <color indexed="81"/>
            <rFont val="Tahoma"/>
            <family val="2"/>
          </rPr>
          <t xml:space="preserve">
</t>
        </r>
      </text>
    </comment>
    <comment ref="E17" authorId="0" shapeId="0" xr:uid="{09E43275-85A8-463B-B8CD-D5F31016E064}">
      <text>
        <r>
          <rPr>
            <b/>
            <sz val="9"/>
            <color indexed="81"/>
            <rFont val="Tahoma"/>
            <family val="2"/>
          </rPr>
          <t>11396     100
11398     246
11395     136</t>
        </r>
        <r>
          <rPr>
            <sz val="9"/>
            <color indexed="81"/>
            <rFont val="Tahoma"/>
            <family val="2"/>
          </rPr>
          <t xml:space="preserve">
</t>
        </r>
      </text>
    </comment>
    <comment ref="K17" authorId="0" shapeId="0" xr:uid="{D42D2A53-AA2A-43BC-AB95-EBB027831A4B}">
      <text>
        <r>
          <rPr>
            <b/>
            <sz val="9"/>
            <color indexed="81"/>
            <rFont val="Tahoma"/>
            <family val="2"/>
          </rPr>
          <t>11364     245
11375       53
11388       98</t>
        </r>
        <r>
          <rPr>
            <sz val="9"/>
            <color indexed="81"/>
            <rFont val="Tahoma"/>
            <family val="2"/>
          </rPr>
          <t xml:space="preserve">
</t>
        </r>
      </text>
    </comment>
    <comment ref="N17" authorId="0" shapeId="0" xr:uid="{BFF89EE9-F75B-42AF-93BB-B2CB70A784B6}">
      <text>
        <r>
          <rPr>
            <b/>
            <sz val="9"/>
            <color indexed="81"/>
            <rFont val="Tahoma"/>
            <family val="2"/>
          </rPr>
          <t xml:space="preserve">11373     84
11373     79
</t>
        </r>
        <r>
          <rPr>
            <sz val="9"/>
            <color indexed="81"/>
            <rFont val="Tahoma"/>
            <family val="2"/>
          </rPr>
          <t xml:space="preserve">
</t>
        </r>
      </text>
    </comment>
    <comment ref="C21" authorId="0" shapeId="0" xr:uid="{83E33EA3-BACD-4618-9100-403173EF8CB4}">
      <text>
        <r>
          <rPr>
            <b/>
            <sz val="9"/>
            <color indexed="81"/>
            <rFont val="Tahoma"/>
            <family val="2"/>
          </rPr>
          <t>11397    596</t>
        </r>
        <r>
          <rPr>
            <sz val="9"/>
            <color indexed="81"/>
            <rFont val="Tahoma"/>
            <family val="2"/>
          </rPr>
          <t xml:space="preserve">
</t>
        </r>
      </text>
    </comment>
    <comment ref="E21" authorId="0" shapeId="0" xr:uid="{B09F9D17-C5F5-4260-8C57-2BB01BD56021}">
      <text>
        <r>
          <rPr>
            <b/>
            <sz val="9"/>
            <color indexed="81"/>
            <rFont val="Tahoma"/>
            <family val="2"/>
          </rPr>
          <t>11396    300</t>
        </r>
        <r>
          <rPr>
            <sz val="9"/>
            <color indexed="81"/>
            <rFont val="Tahoma"/>
            <family val="2"/>
          </rPr>
          <t xml:space="preserve">
</t>
        </r>
      </text>
    </comment>
    <comment ref="I21" authorId="0" shapeId="0" xr:uid="{0594EA23-DB50-4B26-BF33-E341E50F66DF}">
      <text>
        <r>
          <rPr>
            <b/>
            <sz val="9"/>
            <color indexed="81"/>
            <rFont val="Tahoma"/>
            <family val="2"/>
          </rPr>
          <t>11378    702
11389    496
11391    466</t>
        </r>
        <r>
          <rPr>
            <sz val="9"/>
            <color indexed="81"/>
            <rFont val="Tahoma"/>
            <family val="2"/>
          </rPr>
          <t xml:space="preserve">
</t>
        </r>
      </text>
    </comment>
    <comment ref="K21" authorId="0" shapeId="0" xr:uid="{FBE31236-9EEB-40DA-AEC8-5E4869B0CD75}">
      <text>
        <r>
          <rPr>
            <b/>
            <sz val="9"/>
            <color indexed="81"/>
            <rFont val="Tahoma"/>
            <family val="2"/>
          </rPr>
          <t xml:space="preserve">11375    119
</t>
        </r>
        <r>
          <rPr>
            <sz val="9"/>
            <color indexed="81"/>
            <rFont val="Tahoma"/>
            <family val="2"/>
          </rPr>
          <t xml:space="preserve">
</t>
        </r>
      </text>
    </comment>
    <comment ref="N21" authorId="0" shapeId="0" xr:uid="{BA59BC77-3788-46EE-B98A-9794AA486469}">
      <text>
        <r>
          <rPr>
            <b/>
            <sz val="9"/>
            <color indexed="81"/>
            <rFont val="Tahoma"/>
            <family val="2"/>
          </rPr>
          <t>11364    245</t>
        </r>
        <r>
          <rPr>
            <sz val="9"/>
            <color indexed="81"/>
            <rFont val="Tahoma"/>
            <family val="2"/>
          </rPr>
          <t xml:space="preserve">
</t>
        </r>
        <r>
          <rPr>
            <b/>
            <sz val="9"/>
            <color indexed="81"/>
            <rFont val="Tahoma"/>
            <family val="2"/>
          </rPr>
          <t>11384    498
11345      19</t>
        </r>
      </text>
    </comment>
    <comment ref="C22" authorId="0" shapeId="0" xr:uid="{9E7E1FBE-94C9-496E-BC53-2D2853AE7801}">
      <text>
        <r>
          <rPr>
            <b/>
            <sz val="9"/>
            <color indexed="81"/>
            <rFont val="Tahoma"/>
            <family val="2"/>
          </rPr>
          <t>11405      64
11398    246</t>
        </r>
        <r>
          <rPr>
            <sz val="9"/>
            <color indexed="81"/>
            <rFont val="Tahoma"/>
            <family val="2"/>
          </rPr>
          <t xml:space="preserve">
</t>
        </r>
      </text>
    </comment>
    <comment ref="E22" authorId="0" shapeId="0" xr:uid="{AEDC3889-0727-42F6-B2ED-4C8FAC77E0F5}">
      <text>
        <r>
          <rPr>
            <b/>
            <sz val="9"/>
            <color indexed="81"/>
            <rFont val="Tahoma"/>
            <family val="2"/>
          </rPr>
          <t xml:space="preserve">11396    212
</t>
        </r>
        <r>
          <rPr>
            <sz val="9"/>
            <color indexed="81"/>
            <rFont val="Tahoma"/>
            <family val="2"/>
          </rPr>
          <t xml:space="preserve">
</t>
        </r>
      </text>
    </comment>
    <comment ref="I22" authorId="0" shapeId="0" xr:uid="{71334A3E-491C-4EB0-B7B4-B081D635A0B7}">
      <text>
        <r>
          <rPr>
            <b/>
            <sz val="9"/>
            <color indexed="81"/>
            <rFont val="Tahoma"/>
            <family val="2"/>
          </rPr>
          <t>11391     154</t>
        </r>
        <r>
          <rPr>
            <sz val="9"/>
            <color indexed="81"/>
            <rFont val="Tahoma"/>
            <family val="2"/>
          </rPr>
          <t xml:space="preserve">
</t>
        </r>
      </text>
    </comment>
    <comment ref="K22" authorId="0" shapeId="0" xr:uid="{CB1FA392-E231-4185-AB64-E66D6CBF38B4}">
      <text>
        <r>
          <rPr>
            <b/>
            <sz val="9"/>
            <color indexed="81"/>
            <rFont val="Tahoma"/>
            <family val="2"/>
          </rPr>
          <t>11364    245
11386   123</t>
        </r>
        <r>
          <rPr>
            <sz val="9"/>
            <color indexed="81"/>
            <rFont val="Tahoma"/>
            <family val="2"/>
          </rPr>
          <t xml:space="preserve">
</t>
        </r>
      </text>
    </comment>
    <comment ref="N22" authorId="0" shapeId="0" xr:uid="{4CC99C50-6865-4A75-B97E-5CD05382D456}">
      <text>
        <r>
          <rPr>
            <b/>
            <sz val="9"/>
            <color indexed="81"/>
            <rFont val="Tahoma"/>
            <family val="2"/>
          </rPr>
          <t>11375    208</t>
        </r>
        <r>
          <rPr>
            <sz val="9"/>
            <color indexed="81"/>
            <rFont val="Tahoma"/>
            <family val="2"/>
          </rPr>
          <t xml:space="preserve">
</t>
        </r>
      </text>
    </comment>
    <comment ref="C23" authorId="0" shapeId="0" xr:uid="{E984526B-7044-4742-892C-DF04841CAA71}">
      <text>
        <r>
          <rPr>
            <b/>
            <sz val="9"/>
            <color indexed="81"/>
            <rFont val="Tahoma"/>
            <family val="2"/>
          </rPr>
          <t>11403    702</t>
        </r>
        <r>
          <rPr>
            <sz val="9"/>
            <color indexed="81"/>
            <rFont val="Tahoma"/>
            <family val="2"/>
          </rPr>
          <t xml:space="preserve">
</t>
        </r>
      </text>
    </comment>
    <comment ref="E23" authorId="0" shapeId="0" xr:uid="{834C548F-1BE5-49D3-B3F3-44AC4F2DA4D2}">
      <text>
        <r>
          <rPr>
            <b/>
            <sz val="9"/>
            <color indexed="81"/>
            <rFont val="Tahoma"/>
            <family val="2"/>
          </rPr>
          <t>11397   250</t>
        </r>
        <r>
          <rPr>
            <sz val="9"/>
            <color indexed="81"/>
            <rFont val="Tahoma"/>
            <family val="2"/>
          </rPr>
          <t xml:space="preserve">
</t>
        </r>
      </text>
    </comment>
    <comment ref="K23" authorId="0" shapeId="0" xr:uid="{4C8EF76A-0EB5-46A0-A194-C2482ACBAD8A}">
      <text>
        <r>
          <rPr>
            <b/>
            <sz val="9"/>
            <color indexed="81"/>
            <rFont val="Tahoma"/>
            <family val="2"/>
          </rPr>
          <t xml:space="preserve">11378    261
11386    161
11386    174
11388    144
</t>
        </r>
        <r>
          <rPr>
            <sz val="9"/>
            <color indexed="81"/>
            <rFont val="Tahoma"/>
            <family val="2"/>
          </rPr>
          <t xml:space="preserve">
</t>
        </r>
      </text>
    </comment>
    <comment ref="N23" authorId="0" shapeId="0" xr:uid="{0DAC1F59-CE46-4E90-93E0-09B46629516A}">
      <text>
        <r>
          <rPr>
            <b/>
            <sz val="9"/>
            <color indexed="81"/>
            <rFont val="Tahoma"/>
            <family val="2"/>
          </rPr>
          <t>11388    46
11388    52</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Angelica Gonzalez</author>
  </authors>
  <commentList>
    <comment ref="E5" authorId="0" shapeId="0" xr:uid="{CB0957D1-6299-4647-A07A-148AF3534A46}">
      <text>
        <r>
          <rPr>
            <b/>
            <sz val="9"/>
            <color indexed="81"/>
            <rFont val="Tahoma"/>
            <family val="2"/>
          </rPr>
          <t>11392   250   4020  Medio Tobi</t>
        </r>
        <r>
          <rPr>
            <sz val="9"/>
            <color indexed="81"/>
            <rFont val="Tahoma"/>
            <family val="2"/>
          </rPr>
          <t xml:space="preserve">
  </t>
        </r>
      </text>
    </comment>
    <comment ref="F5" authorId="0" shapeId="0" xr:uid="{EA7B3F3E-0159-4F35-AC08-674011D563D9}">
      <text>
        <r>
          <rPr>
            <b/>
            <sz val="9"/>
            <color indexed="81"/>
            <rFont val="Tahoma"/>
            <family val="2"/>
          </rPr>
          <t xml:space="preserve">960974  1   4051  Cint Pitillo
960973  1   4024  Cint Palazz
960979  1   4026  Cint Palazz
960975  1   4052  Medio Flare
960977  1   4033  Cint Recto
</t>
        </r>
        <r>
          <rPr>
            <sz val="9"/>
            <color indexed="81"/>
            <rFont val="Tahoma"/>
            <family val="2"/>
          </rPr>
          <t xml:space="preserve">
</t>
        </r>
      </text>
    </comment>
    <comment ref="N5" authorId="0" shapeId="0" xr:uid="{F01A7B90-2E71-43EB-BFC2-9BD83B437A76}">
      <text>
        <r>
          <rPr>
            <b/>
            <sz val="9"/>
            <color indexed="81"/>
            <rFont val="Tahoma"/>
            <family val="2"/>
          </rPr>
          <t>11401       4  04001   Bolsas Mz Mhc</t>
        </r>
        <r>
          <rPr>
            <sz val="9"/>
            <color indexed="81"/>
            <rFont val="Tahoma"/>
            <family val="2"/>
          </rPr>
          <t xml:space="preserve">
</t>
        </r>
        <r>
          <rPr>
            <b/>
            <sz val="9"/>
            <color indexed="81"/>
            <rFont val="Tahoma"/>
            <family val="2"/>
          </rPr>
          <t>11375     17  3954   Cint Palazz
11377  702  3880  Cint Piti
11385     34  3955  Cint Palazz</t>
        </r>
      </text>
    </comment>
    <comment ref="C6" authorId="0" shapeId="0" xr:uid="{A78D7747-BBDC-4A65-91BE-425026FAF8D0}">
      <text>
        <r>
          <rPr>
            <b/>
            <sz val="9"/>
            <color indexed="81"/>
            <rFont val="Tahoma"/>
            <family val="2"/>
          </rPr>
          <t xml:space="preserve">11412   698    4009   Cint Ox
</t>
        </r>
        <r>
          <rPr>
            <sz val="9"/>
            <color indexed="81"/>
            <rFont val="Tahoma"/>
            <family val="2"/>
          </rPr>
          <t xml:space="preserve">
</t>
        </r>
      </text>
    </comment>
    <comment ref="E6" authorId="0" shapeId="0" xr:uid="{EB572571-A664-4299-A57A-DD7B3282B420}">
      <text>
        <r>
          <rPr>
            <b/>
            <sz val="9"/>
            <color indexed="81"/>
            <rFont val="Tahoma"/>
            <family val="2"/>
          </rPr>
          <t>11387   616   3990  Cint Recto</t>
        </r>
        <r>
          <rPr>
            <sz val="9"/>
            <color indexed="81"/>
            <rFont val="Tahoma"/>
            <family val="2"/>
          </rPr>
          <t xml:space="preserve">
</t>
        </r>
        <r>
          <rPr>
            <b/>
            <sz val="9"/>
            <color indexed="81"/>
            <rFont val="Tahoma"/>
            <family val="2"/>
          </rPr>
          <t>11408   250   4017  Cint Tobi
11399     50   4042  Medio Tobi</t>
        </r>
      </text>
    </comment>
    <comment ref="F6" authorId="0" shapeId="0" xr:uid="{C241DE0C-D94C-4FF1-8B91-CA34C4CE493F}">
      <text>
        <r>
          <rPr>
            <b/>
            <sz val="9"/>
            <color indexed="81"/>
            <rFont val="Tahoma"/>
            <family val="2"/>
          </rPr>
          <t>960974  4   4051   Cint Pitillo</t>
        </r>
        <r>
          <rPr>
            <sz val="9"/>
            <color indexed="81"/>
            <rFont val="Tahoma"/>
            <family val="2"/>
          </rPr>
          <t xml:space="preserve">
</t>
        </r>
        <r>
          <rPr>
            <b/>
            <sz val="9"/>
            <color indexed="81"/>
            <rFont val="Tahoma"/>
            <family val="2"/>
          </rPr>
          <t>960977  4  4033   Cint Recto</t>
        </r>
      </text>
    </comment>
    <comment ref="I6" authorId="0" shapeId="0" xr:uid="{3576F2E6-27D3-43E6-AE97-8B0CD549B50E}">
      <text>
        <r>
          <rPr>
            <b/>
            <sz val="9"/>
            <color indexed="81"/>
            <rFont val="Tahoma"/>
            <family val="2"/>
          </rPr>
          <t>11393   70    03 3988   Chaq Vestido</t>
        </r>
        <r>
          <rPr>
            <sz val="9"/>
            <color indexed="81"/>
            <rFont val="Tahoma"/>
            <family val="2"/>
          </rPr>
          <t xml:space="preserve">
</t>
        </r>
        <r>
          <rPr>
            <b/>
            <sz val="9"/>
            <color indexed="81"/>
            <rFont val="Tahoma"/>
            <family val="2"/>
          </rPr>
          <t>11397   596      4012    Cint Flare</t>
        </r>
      </text>
    </comment>
    <comment ref="N6" authorId="0" shapeId="0" xr:uid="{9663FD69-A138-4F61-9F4B-2370C074107E}">
      <text>
        <r>
          <rPr>
            <b/>
            <sz val="9"/>
            <color indexed="81"/>
            <rFont val="Tahoma"/>
            <family val="2"/>
          </rPr>
          <t>11388   139   3930   Cint Wide</t>
        </r>
        <r>
          <rPr>
            <sz val="9"/>
            <color indexed="81"/>
            <rFont val="Tahoma"/>
            <family val="2"/>
          </rPr>
          <t xml:space="preserve">
</t>
        </r>
        <r>
          <rPr>
            <b/>
            <sz val="9"/>
            <color indexed="81"/>
            <rFont val="Tahoma"/>
            <family val="2"/>
          </rPr>
          <t xml:space="preserve">11395     25   3944   Cint Palazz
</t>
        </r>
      </text>
    </comment>
    <comment ref="D7" authorId="0" shapeId="0" xr:uid="{153BE519-C709-4633-B665-E07DDA73D428}">
      <text>
        <r>
          <rPr>
            <b/>
            <sz val="9"/>
            <color indexed="81"/>
            <rFont val="Tahoma"/>
            <family val="2"/>
          </rPr>
          <t>960984    1  4046 Cadera Oxf</t>
        </r>
        <r>
          <rPr>
            <sz val="9"/>
            <color indexed="81"/>
            <rFont val="Tahoma"/>
            <family val="2"/>
          </rPr>
          <t xml:space="preserve">
</t>
        </r>
      </text>
    </comment>
    <comment ref="E7" authorId="0" shapeId="0" xr:uid="{1F2022DE-09C2-4429-895C-AF131C022078}">
      <text>
        <r>
          <rPr>
            <b/>
            <sz val="9"/>
            <color indexed="81"/>
            <rFont val="Tahoma"/>
            <family val="2"/>
          </rPr>
          <t>11408  100 4017 Cint Tobi</t>
        </r>
        <r>
          <rPr>
            <sz val="9"/>
            <color indexed="81"/>
            <rFont val="Tahoma"/>
            <family val="2"/>
          </rPr>
          <t xml:space="preserve">
</t>
        </r>
      </text>
    </comment>
    <comment ref="F7" authorId="0" shapeId="0" xr:uid="{1157871F-B0EB-4896-97E6-067840F84E24}">
      <text>
        <r>
          <rPr>
            <b/>
            <sz val="9"/>
            <color indexed="81"/>
            <rFont val="Tahoma"/>
            <family val="2"/>
          </rPr>
          <t>960984   1 4046 Cade Oxf</t>
        </r>
        <r>
          <rPr>
            <sz val="9"/>
            <color indexed="81"/>
            <rFont val="Tahoma"/>
            <family val="2"/>
          </rPr>
          <t xml:space="preserve">
</t>
        </r>
      </text>
    </comment>
    <comment ref="K7" authorId="0" shapeId="0" xr:uid="{7E497666-F5AF-46EB-BA3A-78999462A913}">
      <text>
        <r>
          <rPr>
            <b/>
            <sz val="9"/>
            <color indexed="81"/>
            <rFont val="Tahoma"/>
            <family val="2"/>
          </rPr>
          <t>11394   425   3990 Cint Rec</t>
        </r>
        <r>
          <rPr>
            <sz val="9"/>
            <color indexed="81"/>
            <rFont val="Tahoma"/>
            <family val="2"/>
          </rPr>
          <t xml:space="preserve">
</t>
        </r>
      </text>
    </comment>
    <comment ref="C8" authorId="0" shapeId="0" xr:uid="{9A5AC5F4-6875-4FF9-842B-2C80B4AC5424}">
      <text>
        <r>
          <rPr>
            <b/>
            <sz val="9"/>
            <color indexed="81"/>
            <rFont val="Tahoma"/>
            <family val="2"/>
          </rPr>
          <t>11413   488  4001   Medio Palazzo</t>
        </r>
        <r>
          <rPr>
            <sz val="9"/>
            <color indexed="81"/>
            <rFont val="Tahoma"/>
            <family val="2"/>
          </rPr>
          <t xml:space="preserve">
</t>
        </r>
      </text>
    </comment>
    <comment ref="D8" authorId="0" shapeId="0" xr:uid="{DE830103-4242-4175-9B98-8AEA48190E47}">
      <text>
        <r>
          <rPr>
            <b/>
            <sz val="9"/>
            <color indexed="81"/>
            <rFont val="Tahoma"/>
            <family val="2"/>
          </rPr>
          <t>960981   5   4004   Cint Oxf</t>
        </r>
        <r>
          <rPr>
            <sz val="9"/>
            <color indexed="81"/>
            <rFont val="Tahoma"/>
            <family val="2"/>
          </rPr>
          <t xml:space="preserve">
</t>
        </r>
        <r>
          <rPr>
            <b/>
            <sz val="9"/>
            <color indexed="81"/>
            <rFont val="Tahoma"/>
            <family val="2"/>
          </rPr>
          <t>960982   1   4010    Cint Pitillo</t>
        </r>
      </text>
    </comment>
    <comment ref="E8" authorId="0" shapeId="0" xr:uid="{A052D8D3-66F4-4931-831F-CD2E20C3A437}">
      <text>
        <r>
          <rPr>
            <b/>
            <sz val="9"/>
            <color indexed="81"/>
            <rFont val="Tahoma"/>
            <family val="2"/>
          </rPr>
          <t>11408   248  4017 Cint Tobi</t>
        </r>
        <r>
          <rPr>
            <sz val="9"/>
            <color indexed="81"/>
            <rFont val="Tahoma"/>
            <family val="2"/>
          </rPr>
          <t xml:space="preserve">
</t>
        </r>
      </text>
    </comment>
    <comment ref="I8" authorId="0" shapeId="0" xr:uid="{CE052811-74DF-4C7A-982E-233D28D7CF90}">
      <text>
        <r>
          <rPr>
            <b/>
            <sz val="9"/>
            <color indexed="81"/>
            <rFont val="Tahoma"/>
            <family val="2"/>
          </rPr>
          <t>11387   120   3990   Cint   Rec</t>
        </r>
        <r>
          <rPr>
            <sz val="9"/>
            <color indexed="81"/>
            <rFont val="Tahoma"/>
            <family val="2"/>
          </rPr>
          <t xml:space="preserve">
</t>
        </r>
        <r>
          <rPr>
            <b/>
            <sz val="9"/>
            <color indexed="81"/>
            <rFont val="Tahoma"/>
            <family val="2"/>
          </rPr>
          <t>11404   600   4019   Med Piti</t>
        </r>
      </text>
    </comment>
    <comment ref="K8" authorId="0" shapeId="0" xr:uid="{B0882F98-65D3-4C8A-B6FC-40F977A7A50E}">
      <text>
        <r>
          <rPr>
            <b/>
            <sz val="9"/>
            <color indexed="81"/>
            <rFont val="Tahoma"/>
            <family val="2"/>
          </rPr>
          <t>11383    315   3971   Cint Palazz</t>
        </r>
        <r>
          <rPr>
            <sz val="9"/>
            <color indexed="81"/>
            <rFont val="Tahoma"/>
            <family val="2"/>
          </rPr>
          <t xml:space="preserve">
</t>
        </r>
      </text>
    </comment>
    <comment ref="N8" authorId="0" shapeId="0" xr:uid="{828B6F62-A33C-4DF1-B861-49EE262E32CD}">
      <text>
        <r>
          <rPr>
            <b/>
            <sz val="9"/>
            <color indexed="81"/>
            <rFont val="Tahoma"/>
            <family val="2"/>
          </rPr>
          <t>11395  212   3994   Cint Palazz</t>
        </r>
        <r>
          <rPr>
            <sz val="9"/>
            <color indexed="81"/>
            <rFont val="Tahoma"/>
            <family val="2"/>
          </rPr>
          <t xml:space="preserve">
</t>
        </r>
      </text>
    </comment>
    <comment ref="E12" authorId="0" shapeId="0" xr:uid="{754FDF69-BADB-4FC8-882A-D9D9F0C6C287}">
      <text>
        <r>
          <rPr>
            <b/>
            <sz val="9"/>
            <color indexed="81"/>
            <rFont val="Tahoma"/>
            <family val="2"/>
          </rPr>
          <t>11409   106   3956   Cint  Piti
11410   102   3902   Cint  Rec</t>
        </r>
        <r>
          <rPr>
            <sz val="9"/>
            <color indexed="81"/>
            <rFont val="Tahoma"/>
            <family val="2"/>
          </rPr>
          <t xml:space="preserve">
</t>
        </r>
      </text>
    </comment>
    <comment ref="I12" authorId="0" shapeId="0" xr:uid="{D24E3106-B3A6-4D3E-860D-1A9507B31954}">
      <text>
        <r>
          <rPr>
            <b/>
            <sz val="9"/>
            <color indexed="81"/>
            <rFont val="Tahoma"/>
            <family val="2"/>
          </rPr>
          <t>11387   494   3990  Cint  Rec</t>
        </r>
        <r>
          <rPr>
            <sz val="9"/>
            <color indexed="81"/>
            <rFont val="Tahoma"/>
            <family val="2"/>
          </rPr>
          <t xml:space="preserve">
</t>
        </r>
        <r>
          <rPr>
            <b/>
            <sz val="9"/>
            <color indexed="81"/>
            <rFont val="Tahoma"/>
            <family val="2"/>
          </rPr>
          <t>11387        2   3990  Cint Rec</t>
        </r>
      </text>
    </comment>
    <comment ref="K12" authorId="0" shapeId="0" xr:uid="{5D879E98-8537-48F4-BC72-C9B25CB8D6C8}">
      <text>
        <r>
          <rPr>
            <b/>
            <sz val="9"/>
            <color indexed="81"/>
            <rFont val="Tahoma"/>
            <family val="2"/>
          </rPr>
          <t>11383  159   3971   Cint Palazz</t>
        </r>
        <r>
          <rPr>
            <sz val="9"/>
            <color indexed="81"/>
            <rFont val="Tahoma"/>
            <family val="2"/>
          </rPr>
          <t xml:space="preserve">
</t>
        </r>
      </text>
    </comment>
    <comment ref="N12" authorId="0" shapeId="0" xr:uid="{2E0F60C4-9680-47A5-9D9E-6840D3C30ED0}">
      <text>
        <r>
          <rPr>
            <b/>
            <sz val="9"/>
            <color indexed="81"/>
            <rFont val="Tahoma"/>
            <family val="2"/>
          </rPr>
          <t>11394  230    3990 Cint Rec
11394  188    3990 Cint Rec</t>
        </r>
      </text>
    </comment>
    <comment ref="E13" authorId="0" shapeId="0" xr:uid="{6E39CEAD-2C10-4C15-A34C-FB2A58CE0023}">
      <text>
        <r>
          <rPr>
            <b/>
            <sz val="9"/>
            <color indexed="81"/>
            <rFont val="Tahoma"/>
            <family val="2"/>
          </rPr>
          <t>11412  200     4009  Cint Oxf</t>
        </r>
        <r>
          <rPr>
            <sz val="9"/>
            <color indexed="81"/>
            <rFont val="Tahoma"/>
            <family val="2"/>
          </rPr>
          <t xml:space="preserve">
</t>
        </r>
      </text>
    </comment>
    <comment ref="D14" authorId="0" shapeId="0" xr:uid="{0916E21C-519F-4B5C-868D-85349DC80891}">
      <text>
        <r>
          <rPr>
            <b/>
            <sz val="9"/>
            <color indexed="81"/>
            <rFont val="Tahoma"/>
            <family val="2"/>
          </rPr>
          <t>960985   1  05 4048  Falda Cint Mini</t>
        </r>
        <r>
          <rPr>
            <sz val="9"/>
            <color indexed="81"/>
            <rFont val="Tahoma"/>
            <family val="2"/>
          </rPr>
          <t xml:space="preserve">
</t>
        </r>
      </text>
    </comment>
    <comment ref="F14" authorId="0" shapeId="0" xr:uid="{23D5E417-39D7-484A-87B2-E95111E92261}">
      <text>
        <r>
          <rPr>
            <b/>
            <sz val="9"/>
            <color indexed="81"/>
            <rFont val="Tahoma"/>
            <family val="2"/>
          </rPr>
          <t>960981  5  4004    Cint   Oxf</t>
        </r>
        <r>
          <rPr>
            <sz val="9"/>
            <color indexed="81"/>
            <rFont val="Tahoma"/>
            <family val="2"/>
          </rPr>
          <t xml:space="preserve">
</t>
        </r>
      </text>
    </comment>
    <comment ref="G14" authorId="0" shapeId="0" xr:uid="{AA133ECF-1B27-4257-99F8-C70FABC5B90E}">
      <text>
        <r>
          <rPr>
            <b/>
            <sz val="9"/>
            <color indexed="81"/>
            <rFont val="Tahoma"/>
            <family val="2"/>
          </rPr>
          <t>11400  4044   602   CINT FLARE</t>
        </r>
        <r>
          <rPr>
            <sz val="9"/>
            <color indexed="81"/>
            <rFont val="Tahoma"/>
            <family val="2"/>
          </rPr>
          <t xml:space="preserve">
</t>
        </r>
      </text>
    </comment>
    <comment ref="N14" authorId="0" shapeId="0" xr:uid="{0065620B-526D-48D1-8F7A-74EE1F599842}">
      <text>
        <r>
          <rPr>
            <b/>
            <sz val="9"/>
            <color indexed="81"/>
            <rFont val="Tahoma"/>
            <family val="2"/>
          </rPr>
          <t>11383   314    3971   Cint Palazz</t>
        </r>
        <r>
          <rPr>
            <sz val="9"/>
            <color indexed="81"/>
            <rFont val="Tahoma"/>
            <family val="2"/>
          </rPr>
          <t xml:space="preserve">
</t>
        </r>
      </text>
    </comment>
    <comment ref="E15" authorId="0" shapeId="0" xr:uid="{620CE37F-4E99-4CAE-9A33-34D0E79E0941}">
      <text>
        <r>
          <rPr>
            <b/>
            <sz val="9"/>
            <color indexed="81"/>
            <rFont val="Tahoma"/>
            <family val="2"/>
          </rPr>
          <t>11412   198    4009  CINT OXF</t>
        </r>
        <r>
          <rPr>
            <sz val="9"/>
            <color indexed="81"/>
            <rFont val="Tahoma"/>
            <family val="2"/>
          </rPr>
          <t xml:space="preserve">
</t>
        </r>
      </text>
    </comment>
    <comment ref="F15" authorId="0" shapeId="0" xr:uid="{01BE8127-5C44-4AFA-867B-0A75C5387495}">
      <text>
        <r>
          <rPr>
            <b/>
            <sz val="9"/>
            <color indexed="81"/>
            <rFont val="Tahoma"/>
            <family val="2"/>
          </rPr>
          <t xml:space="preserve">960987  5   4057  CINT  FLARE
</t>
        </r>
        <r>
          <rPr>
            <sz val="9"/>
            <color indexed="81"/>
            <rFont val="Tahoma"/>
            <family val="2"/>
          </rPr>
          <t xml:space="preserve">
</t>
        </r>
      </text>
    </comment>
    <comment ref="N15" authorId="0" shapeId="0" xr:uid="{E3B14D53-36FF-49ED-ADEE-7626403D94A3}">
      <text>
        <r>
          <rPr>
            <b/>
            <sz val="9"/>
            <color indexed="81"/>
            <rFont val="Tahoma"/>
            <family val="2"/>
          </rPr>
          <t>11389   62   3941 Cint Piti</t>
        </r>
        <r>
          <rPr>
            <sz val="9"/>
            <color indexed="81"/>
            <rFont val="Tahoma"/>
            <family val="2"/>
          </rPr>
          <t xml:space="preserve">
</t>
        </r>
        <r>
          <rPr>
            <b/>
            <sz val="9"/>
            <color indexed="81"/>
            <rFont val="Tahoma"/>
            <family val="2"/>
          </rPr>
          <t>11394      6  3990  Cint Rec</t>
        </r>
      </text>
    </comment>
    <comment ref="S15" authorId="0" shapeId="0" xr:uid="{00655643-EB1C-402D-802F-1340E29E5B83}">
      <text>
        <r>
          <rPr>
            <b/>
            <sz val="9"/>
            <color indexed="81"/>
            <rFont val="Tahoma"/>
            <family val="2"/>
          </rPr>
          <t xml:space="preserve">258
</t>
        </r>
        <r>
          <rPr>
            <sz val="9"/>
            <color indexed="81"/>
            <rFont val="Tahoma"/>
            <family val="2"/>
          </rPr>
          <t xml:space="preserve">
</t>
        </r>
      </text>
    </comment>
    <comment ref="U15" authorId="0" shapeId="0" xr:uid="{9BE7205D-870E-48D3-95AE-C045F041623B}">
      <text>
        <r>
          <rPr>
            <b/>
            <sz val="9"/>
            <color indexed="81"/>
            <rFont val="Tahoma"/>
            <family val="2"/>
          </rPr>
          <t>470 prendas</t>
        </r>
        <r>
          <rPr>
            <sz val="9"/>
            <color indexed="81"/>
            <rFont val="Tahoma"/>
            <family val="2"/>
          </rPr>
          <t xml:space="preserve">
</t>
        </r>
      </text>
    </comment>
    <comment ref="C16" authorId="0" shapeId="0" xr:uid="{59012B62-B7AD-4308-B0E8-B1561DE9903D}">
      <text>
        <r>
          <rPr>
            <b/>
            <sz val="9"/>
            <color indexed="81"/>
            <rFont val="Tahoma"/>
            <family val="2"/>
          </rPr>
          <t xml:space="preserve">11404   304   4011   CINT FLA
11415   300   4009   CINT OXF
</t>
        </r>
        <r>
          <rPr>
            <sz val="9"/>
            <color indexed="81"/>
            <rFont val="Tahoma"/>
            <family val="2"/>
          </rPr>
          <t xml:space="preserve">
</t>
        </r>
      </text>
    </comment>
    <comment ref="D16" authorId="0" shapeId="0" xr:uid="{4266D7F0-19DF-46B9-9697-A16ACE1A9D26}">
      <text>
        <r>
          <rPr>
            <b/>
            <sz val="9"/>
            <color indexed="81"/>
            <rFont val="Tahoma"/>
            <family val="2"/>
          </rPr>
          <t>960989    1</t>
        </r>
        <r>
          <rPr>
            <sz val="9"/>
            <color indexed="81"/>
            <rFont val="Tahoma"/>
            <family val="2"/>
          </rPr>
          <t xml:space="preserve">
</t>
        </r>
      </text>
    </comment>
    <comment ref="F16" authorId="0" shapeId="0" xr:uid="{9FA4D939-52BB-4274-8F8C-EF65F2EFF68F}">
      <text>
        <r>
          <rPr>
            <b/>
            <sz val="9"/>
            <color indexed="81"/>
            <rFont val="Tahoma"/>
            <family val="2"/>
          </rPr>
          <t>960986    5   4056    CINT  PIT
960964    1   4049   CASACA DAMA</t>
        </r>
        <r>
          <rPr>
            <sz val="9"/>
            <color indexed="81"/>
            <rFont val="Tahoma"/>
            <family val="2"/>
          </rPr>
          <t xml:space="preserve">
 </t>
        </r>
      </text>
    </comment>
    <comment ref="G16" authorId="0" shapeId="0" xr:uid="{9778FB4F-4C87-4AB7-8F6E-327D28D4F1C0}">
      <text>
        <r>
          <rPr>
            <b/>
            <sz val="9"/>
            <color indexed="81"/>
            <rFont val="Tahoma"/>
            <family val="2"/>
          </rPr>
          <t>11414   304   4011  CINT FLARE</t>
        </r>
        <r>
          <rPr>
            <sz val="9"/>
            <color indexed="81"/>
            <rFont val="Tahoma"/>
            <family val="2"/>
          </rPr>
          <t xml:space="preserve">
</t>
        </r>
      </text>
    </comment>
    <comment ref="I16" authorId="0" shapeId="0" xr:uid="{C740762B-BAAF-4DF0-BC8E-A88FA7AE7C56}">
      <text>
        <r>
          <rPr>
            <b/>
            <sz val="9"/>
            <color indexed="81"/>
            <rFont val="Tahoma"/>
            <family val="2"/>
          </rPr>
          <t>11409   106     3956   CINT P
11410   102     3902   CINT RECTO
11399   600     4042   MEDIO TOBI
11408   598     4017   CINT TOBI</t>
        </r>
        <r>
          <rPr>
            <sz val="9"/>
            <color indexed="81"/>
            <rFont val="Tahoma"/>
            <family val="2"/>
          </rPr>
          <t xml:space="preserve">
</t>
        </r>
      </text>
    </comment>
    <comment ref="K16" authorId="0" shapeId="0" xr:uid="{28B39BA5-F033-49FE-90C5-099B74BDAF95}">
      <text>
        <r>
          <rPr>
            <b/>
            <sz val="9"/>
            <color indexed="81"/>
            <rFont val="Tahoma"/>
            <family val="2"/>
          </rPr>
          <t>11387  255   3990   CINT RECT</t>
        </r>
        <r>
          <rPr>
            <sz val="9"/>
            <color indexed="81"/>
            <rFont val="Tahoma"/>
            <family val="2"/>
          </rPr>
          <t xml:space="preserve">
</t>
        </r>
      </text>
    </comment>
    <comment ref="N16" authorId="0" shapeId="0" xr:uid="{1B0A142E-7698-4BD3-8786-3F0DB81383E9}">
      <text>
        <r>
          <rPr>
            <b/>
            <sz val="9"/>
            <color indexed="81"/>
            <rFont val="Tahoma"/>
            <family val="2"/>
          </rPr>
          <t xml:space="preserve">11383   169   3971  CINT PALA   </t>
        </r>
        <r>
          <rPr>
            <sz val="9"/>
            <color indexed="81"/>
            <rFont val="Tahoma"/>
            <family val="2"/>
          </rPr>
          <t xml:space="preserve">
</t>
        </r>
      </text>
    </comment>
    <comment ref="C20" authorId="0" shapeId="0" xr:uid="{633041BB-30C1-44D3-9EE4-F3B565973C2F}">
      <text>
        <r>
          <rPr>
            <b/>
            <sz val="9"/>
            <color indexed="81"/>
            <rFont val="Tahoma"/>
            <family val="2"/>
          </rPr>
          <t>11406  692    4023   MED   TOBI</t>
        </r>
        <r>
          <rPr>
            <sz val="9"/>
            <color indexed="81"/>
            <rFont val="Tahoma"/>
            <family val="2"/>
          </rPr>
          <t xml:space="preserve">
</t>
        </r>
      </text>
    </comment>
    <comment ref="E20" authorId="0" shapeId="0" xr:uid="{215C3543-C0F1-4EE9-94C9-2CA5B3628558}">
      <text>
        <r>
          <rPr>
            <b/>
            <sz val="9"/>
            <color indexed="81"/>
            <rFont val="Tahoma"/>
            <family val="2"/>
          </rPr>
          <t>11414   150    4011  CINT  FLA</t>
        </r>
        <r>
          <rPr>
            <sz val="9"/>
            <color indexed="81"/>
            <rFont val="Tahoma"/>
            <family val="2"/>
          </rPr>
          <t xml:space="preserve">
</t>
        </r>
      </text>
    </comment>
    <comment ref="F20" authorId="0" shapeId="0" xr:uid="{863CB3B3-10AE-40C8-A349-A78B1EFCF38E}">
      <text>
        <r>
          <rPr>
            <b/>
            <sz val="9"/>
            <color indexed="81"/>
            <rFont val="Tahoma"/>
            <family val="2"/>
          </rPr>
          <t>960989  1    4051   CINT PITI</t>
        </r>
        <r>
          <rPr>
            <sz val="9"/>
            <color indexed="81"/>
            <rFont val="Tahoma"/>
            <family val="2"/>
          </rPr>
          <t xml:space="preserve">
</t>
        </r>
      </text>
    </comment>
    <comment ref="K20" authorId="0" shapeId="0" xr:uid="{C064129F-1177-4DDC-B792-2B7DED8AA287}">
      <text>
        <r>
          <rPr>
            <b/>
            <sz val="9"/>
            <color indexed="81"/>
            <rFont val="Tahoma"/>
            <family val="2"/>
          </rPr>
          <t>11390   380    4007   CINT PITI</t>
        </r>
        <r>
          <rPr>
            <sz val="9"/>
            <color indexed="81"/>
            <rFont val="Tahoma"/>
            <family val="2"/>
          </rPr>
          <t xml:space="preserve">
</t>
        </r>
      </text>
    </comment>
    <comment ref="N20" authorId="0" shapeId="0" xr:uid="{C31C42A4-4641-4347-A0F9-662754D5240E}">
      <text>
        <r>
          <rPr>
            <b/>
            <sz val="9"/>
            <color indexed="81"/>
            <rFont val="Tahoma"/>
            <family val="2"/>
          </rPr>
          <t>11387       5  3990   CINT RECTO
11387  220  3990   CINT RECTO</t>
        </r>
        <r>
          <rPr>
            <sz val="9"/>
            <color indexed="81"/>
            <rFont val="Tahoma"/>
            <family val="2"/>
          </rPr>
          <t xml:space="preserve">
 </t>
        </r>
      </text>
    </comment>
    <comment ref="C21" authorId="0" shapeId="0" xr:uid="{4FB10458-A478-4615-A71F-3C54C36FF725}">
      <text>
        <r>
          <rPr>
            <b/>
            <sz val="9"/>
            <color indexed="81"/>
            <rFont val="Tahoma"/>
            <family val="2"/>
          </rPr>
          <t>11416     479    4015  CINT  PITI</t>
        </r>
        <r>
          <rPr>
            <sz val="9"/>
            <color indexed="81"/>
            <rFont val="Tahoma"/>
            <family val="2"/>
          </rPr>
          <t xml:space="preserve">
</t>
        </r>
      </text>
    </comment>
    <comment ref="E21" authorId="0" shapeId="0" xr:uid="{657CA412-E6C3-468A-8EF3-71751AD92092}">
      <text>
        <r>
          <rPr>
            <b/>
            <sz val="9"/>
            <color indexed="81"/>
            <rFont val="Tahoma"/>
            <family val="2"/>
          </rPr>
          <t>11414  154   4011  CINT FLA</t>
        </r>
        <r>
          <rPr>
            <sz val="9"/>
            <color indexed="81"/>
            <rFont val="Tahoma"/>
            <family val="2"/>
          </rPr>
          <t xml:space="preserve">
</t>
        </r>
      </text>
    </comment>
    <comment ref="K21" authorId="0" shapeId="0" xr:uid="{26C846F2-71C4-4669-9890-0FB5A60A9C7E}">
      <text>
        <r>
          <rPr>
            <b/>
            <sz val="9"/>
            <color indexed="81"/>
            <rFont val="Tahoma"/>
            <family val="2"/>
          </rPr>
          <t>11409   106    3956   CINT P
11410   102    3902   CINT RECTO</t>
        </r>
        <r>
          <rPr>
            <sz val="9"/>
            <color indexed="81"/>
            <rFont val="Tahoma"/>
            <family val="2"/>
          </rPr>
          <t xml:space="preserve">
</t>
        </r>
      </text>
    </comment>
    <comment ref="K23" authorId="0" shapeId="0" xr:uid="{BC612110-74E6-4ED3-A5BE-5FFF50FBE3D0}">
      <text>
        <r>
          <rPr>
            <b/>
            <sz val="9"/>
            <color indexed="81"/>
            <rFont val="Tahoma"/>
            <family val="2"/>
          </rPr>
          <t>11387   173     3990    CINT RECT
11387   108     3990    CINT RECT</t>
        </r>
        <r>
          <rPr>
            <sz val="9"/>
            <color indexed="81"/>
            <rFont val="Tahoma"/>
            <family val="2"/>
          </rPr>
          <t xml:space="preserve">
</t>
        </r>
      </text>
    </comment>
    <comment ref="C24" authorId="0" shapeId="0" xr:uid="{CDFF53CE-DA23-4A17-9497-E69E79D99B27}">
      <text>
        <r>
          <rPr>
            <b/>
            <sz val="9"/>
            <color indexed="81"/>
            <rFont val="Tahoma"/>
            <family val="2"/>
          </rPr>
          <t>11420  594   4010  CINT TOBI</t>
        </r>
        <r>
          <rPr>
            <sz val="9"/>
            <color indexed="81"/>
            <rFont val="Tahoma"/>
            <family val="2"/>
          </rPr>
          <t xml:space="preserve">
</t>
        </r>
      </text>
    </comment>
    <comment ref="K24" authorId="0" shapeId="0" xr:uid="{BFC41101-C1C7-46FE-AD75-CA1AC391D190}">
      <text>
        <r>
          <rPr>
            <b/>
            <sz val="9"/>
            <color indexed="81"/>
            <rFont val="Tahoma"/>
            <family val="2"/>
          </rPr>
          <t>11387   110     3990    CINT RECT</t>
        </r>
        <r>
          <rPr>
            <sz val="9"/>
            <color indexed="81"/>
            <rFont val="Tahoma"/>
            <family val="2"/>
          </rPr>
          <t xml:space="preserve">
</t>
        </r>
      </text>
    </comment>
    <comment ref="N24" authorId="0" shapeId="0" xr:uid="{BBE5E4F8-352B-44D9-A269-C9D57B4055FE}">
      <text>
        <r>
          <rPr>
            <b/>
            <sz val="9"/>
            <color indexed="81"/>
            <rFont val="Tahoma"/>
            <family val="2"/>
          </rPr>
          <t>11410   102    3902   CINT   RECTO</t>
        </r>
        <r>
          <rPr>
            <sz val="9"/>
            <color indexed="81"/>
            <rFont val="Tahoma"/>
            <family val="2"/>
          </rPr>
          <t xml:space="preserve">
</t>
        </r>
        <r>
          <rPr>
            <b/>
            <sz val="9"/>
            <color indexed="81"/>
            <rFont val="Tahoma"/>
            <family val="2"/>
          </rPr>
          <t>11390   230    4007   CINT   PIT
11987   173    3990   CINT RECTO</t>
        </r>
        <r>
          <rPr>
            <sz val="9"/>
            <color indexed="81"/>
            <rFont val="Tahoma"/>
            <family val="2"/>
          </rPr>
          <t xml:space="preserve">
</t>
        </r>
      </text>
    </comment>
    <comment ref="C28" authorId="0" shapeId="0" xr:uid="{C9B13A4A-F617-4988-AAF7-B11037C96CB9}">
      <text>
        <r>
          <rPr>
            <b/>
            <sz val="9"/>
            <color indexed="81"/>
            <rFont val="Tahoma"/>
            <family val="2"/>
          </rPr>
          <t>11421   506  4024   CINT PAL</t>
        </r>
        <r>
          <rPr>
            <sz val="9"/>
            <color indexed="81"/>
            <rFont val="Tahoma"/>
            <family val="2"/>
          </rPr>
          <t xml:space="preserve">
</t>
        </r>
      </text>
    </comment>
    <comment ref="E28" authorId="0" shapeId="0" xr:uid="{98E11D46-C117-4A33-8B27-9BA00FA0EB42}">
      <text>
        <r>
          <rPr>
            <b/>
            <sz val="9"/>
            <color indexed="81"/>
            <rFont val="Tahoma"/>
            <family val="2"/>
          </rPr>
          <t>11416   200  4015 CINT TOBI</t>
        </r>
        <r>
          <rPr>
            <sz val="9"/>
            <color indexed="81"/>
            <rFont val="Tahoma"/>
            <family val="2"/>
          </rPr>
          <t xml:space="preserve">
</t>
        </r>
      </text>
    </comment>
    <comment ref="I28" authorId="0" shapeId="0" xr:uid="{371676FA-5296-4877-9637-AE12440CA668}">
      <text>
        <r>
          <rPr>
            <b/>
            <sz val="9"/>
            <color indexed="81"/>
            <rFont val="Tahoma"/>
            <family val="2"/>
          </rPr>
          <t>11412  698  4009   CINT  OXF</t>
        </r>
        <r>
          <rPr>
            <sz val="9"/>
            <color indexed="81"/>
            <rFont val="Tahoma"/>
            <family val="2"/>
          </rPr>
          <t xml:space="preserve">
</t>
        </r>
      </text>
    </comment>
    <comment ref="K28" authorId="0" shapeId="0" xr:uid="{7E59FEDC-88A7-4C06-AEA1-EFA44A599341}">
      <text>
        <r>
          <rPr>
            <b/>
            <sz val="9"/>
            <color indexed="81"/>
            <rFont val="Tahoma"/>
            <family val="2"/>
          </rPr>
          <t>11403   176  4018   CIN  PIT
11391   306  4015   CIN  TOB</t>
        </r>
      </text>
    </comment>
    <comment ref="N28" authorId="0" shapeId="0" xr:uid="{3A114C48-880B-4E14-940B-0C7370CC4254}">
      <text>
        <r>
          <rPr>
            <b/>
            <sz val="9"/>
            <color indexed="81"/>
            <rFont val="Tahoma"/>
            <family val="2"/>
          </rPr>
          <t>11390   455   4007  CINT PIT</t>
        </r>
        <r>
          <rPr>
            <sz val="9"/>
            <color indexed="81"/>
            <rFont val="Tahoma"/>
            <family val="2"/>
          </rPr>
          <t xml:space="preserve">
</t>
        </r>
      </text>
    </comment>
    <comment ref="E29" authorId="0" shapeId="0" xr:uid="{F2E5D5DA-5177-4B6C-9DD3-3C7BFEE5B7A7}">
      <text>
        <r>
          <rPr>
            <b/>
            <sz val="9"/>
            <color indexed="81"/>
            <rFont val="Tahoma"/>
            <family val="2"/>
          </rPr>
          <t>11416   279  4015 CINT TOBI</t>
        </r>
        <r>
          <rPr>
            <sz val="9"/>
            <color indexed="81"/>
            <rFont val="Tahoma"/>
            <family val="2"/>
          </rPr>
          <t xml:space="preserve">
</t>
        </r>
      </text>
    </comment>
    <comment ref="K29" authorId="0" shapeId="0" xr:uid="{EB8F526C-0FA9-4533-8C36-C7FB7B6DE830}">
      <text>
        <r>
          <rPr>
            <b/>
            <sz val="9"/>
            <color indexed="81"/>
            <rFont val="Tahoma"/>
            <family val="2"/>
          </rPr>
          <t>11403   525  4018   CIN  PIT</t>
        </r>
      </text>
    </comment>
    <comment ref="N29" authorId="0" shapeId="0" xr:uid="{F8606C59-4A94-452A-9455-590536D7A073}">
      <text>
        <r>
          <rPr>
            <b/>
            <sz val="9"/>
            <color indexed="81"/>
            <rFont val="Tahoma"/>
            <family val="2"/>
          </rPr>
          <t>11391   306   4015  CINT TOB
11387   215   3990  CINT REC</t>
        </r>
      </text>
    </comment>
    <comment ref="C30" authorId="0" shapeId="0" xr:uid="{5D315C37-EB9C-437E-AEB4-816DF5DE130C}">
      <text>
        <r>
          <rPr>
            <b/>
            <sz val="9"/>
            <color indexed="81"/>
            <rFont val="Tahoma"/>
            <family val="2"/>
          </rPr>
          <t xml:space="preserve">11422   692   4021  CINT TOBI
11423   692   4056  CINT PITI
</t>
        </r>
        <r>
          <rPr>
            <sz val="9"/>
            <color indexed="81"/>
            <rFont val="Tahoma"/>
            <family val="2"/>
          </rPr>
          <t xml:space="preserve">
</t>
        </r>
      </text>
    </comment>
    <comment ref="K30" authorId="0" shapeId="0" xr:uid="{947A9651-3702-404D-BBDE-1F71FAD55C32}">
      <text>
        <r>
          <rPr>
            <b/>
            <sz val="9"/>
            <color indexed="81"/>
            <rFont val="Tahoma"/>
            <family val="2"/>
          </rPr>
          <t>11399  300  4042 MED TOB</t>
        </r>
        <r>
          <rPr>
            <sz val="9"/>
            <color indexed="81"/>
            <rFont val="Tahoma"/>
            <family val="2"/>
          </rPr>
          <t xml:space="preserve">
</t>
        </r>
        <r>
          <rPr>
            <b/>
            <sz val="9"/>
            <color indexed="81"/>
            <rFont val="Tahoma"/>
            <family val="2"/>
          </rPr>
          <t>11399  300  4042 MED TOB</t>
        </r>
      </text>
    </comment>
    <comment ref="N30" authorId="0" shapeId="0" xr:uid="{6A114234-023D-4B16-AFAE-4BC63EB36D17}">
      <text>
        <r>
          <rPr>
            <b/>
            <sz val="9"/>
            <color indexed="81"/>
            <rFont val="Tahoma"/>
            <family val="2"/>
          </rPr>
          <t>11403   500    4018  CINT PIT</t>
        </r>
        <r>
          <rPr>
            <sz val="9"/>
            <color indexed="81"/>
            <rFont val="Tahoma"/>
            <family val="2"/>
          </rPr>
          <t xml:space="preserve">
</t>
        </r>
      </text>
    </comment>
    <comment ref="E31" authorId="0" shapeId="0" xr:uid="{E65DA8E4-513F-4A8A-8BC7-2572A0637C31}">
      <text>
        <r>
          <rPr>
            <b/>
            <sz val="9"/>
            <color indexed="81"/>
            <rFont val="Tahoma"/>
            <family val="2"/>
          </rPr>
          <t xml:space="preserve">11420    300     4010 CINT TOBI
</t>
        </r>
        <r>
          <rPr>
            <sz val="9"/>
            <color indexed="81"/>
            <rFont val="Tahoma"/>
            <family val="2"/>
          </rPr>
          <t xml:space="preserve">
</t>
        </r>
      </text>
    </comment>
    <comment ref="K31" authorId="0" shapeId="0" xr:uid="{0EE9E70B-14B5-448F-A9ED-E79ED8FEF6C8}">
      <text>
        <r>
          <rPr>
            <b/>
            <sz val="9"/>
            <color indexed="81"/>
            <rFont val="Tahoma"/>
            <family val="2"/>
          </rPr>
          <t xml:space="preserve">11398   300   4008 CINT FLA
</t>
        </r>
        <r>
          <rPr>
            <sz val="9"/>
            <color indexed="81"/>
            <rFont val="Tahoma"/>
            <family val="2"/>
          </rPr>
          <t xml:space="preserve">
 </t>
        </r>
      </text>
    </comment>
    <comment ref="N31" authorId="0" shapeId="0" xr:uid="{EC500919-D180-49CB-AE4F-4349FE5CECCB}">
      <text>
        <r>
          <rPr>
            <b/>
            <sz val="9"/>
            <color indexed="81"/>
            <rFont val="Tahoma"/>
            <family val="2"/>
          </rPr>
          <t>11403  183   4018 CINT REC
11390    19   4007 CINT PIT</t>
        </r>
        <r>
          <rPr>
            <sz val="9"/>
            <color indexed="81"/>
            <rFont val="Tahoma"/>
            <family val="2"/>
          </rPr>
          <t xml:space="preserve">
</t>
        </r>
      </text>
    </comment>
    <comment ref="F32" authorId="0" shapeId="0" xr:uid="{D2D0E93A-7CDA-40AB-ACDE-D4B00E016C33}">
      <text>
        <r>
          <rPr>
            <b/>
            <sz val="9"/>
            <color indexed="81"/>
            <rFont val="Tahoma"/>
            <family val="2"/>
          </rPr>
          <t>960966   1     3542  YASMIN36
960999   1     4046  CAD OXF</t>
        </r>
        <r>
          <rPr>
            <sz val="9"/>
            <color indexed="81"/>
            <rFont val="Tahoma"/>
            <family val="2"/>
          </rPr>
          <t xml:space="preserve">
</t>
        </r>
      </text>
    </comment>
    <comment ref="G32" authorId="0" shapeId="0" xr:uid="{49C63FE1-688F-4F5A-BA52-50978308D66D}">
      <text>
        <r>
          <rPr>
            <b/>
            <sz val="9"/>
            <color indexed="81"/>
            <rFont val="Tahoma"/>
            <family val="2"/>
          </rPr>
          <t>11402    600    4013  CINT PAL
11407    402    4004  CINT OXF
11101        7    3505   T36</t>
        </r>
        <r>
          <rPr>
            <sz val="9"/>
            <color indexed="81"/>
            <rFont val="Tahoma"/>
            <family val="2"/>
          </rPr>
          <t xml:space="preserve">
</t>
        </r>
      </text>
    </comment>
    <comment ref="I32" authorId="0" shapeId="0" xr:uid="{49DB5DBD-7B25-4B84-AB56-F4DF70D7C393}">
      <text>
        <r>
          <rPr>
            <b/>
            <sz val="9"/>
            <color indexed="81"/>
            <rFont val="Tahoma"/>
            <family val="2"/>
          </rPr>
          <t>11406  692  4022  CINT TOB
11414  304  4011  CINT FLA</t>
        </r>
        <r>
          <rPr>
            <sz val="9"/>
            <color indexed="81"/>
            <rFont val="Tahoma"/>
            <family val="2"/>
          </rPr>
          <t xml:space="preserve">
</t>
        </r>
      </text>
    </comment>
    <comment ref="K32" authorId="0" shapeId="0" xr:uid="{A4BFA0C2-7EF9-40BA-99C8-4C57A097954E}">
      <text>
        <r>
          <rPr>
            <b/>
            <sz val="9"/>
            <color indexed="81"/>
            <rFont val="Tahoma"/>
            <family val="2"/>
          </rPr>
          <t>11398  296  4008  CINT FLA</t>
        </r>
        <r>
          <rPr>
            <sz val="9"/>
            <color indexed="81"/>
            <rFont val="Tahoma"/>
            <family val="2"/>
          </rPr>
          <t xml:space="preserve">
</t>
        </r>
      </text>
    </comment>
    <comment ref="N32" authorId="0" shapeId="0" xr:uid="{02A81352-323D-49BE-A388-BAF8F7E74D0D}">
      <text>
        <r>
          <rPr>
            <b/>
            <sz val="9"/>
            <color indexed="81"/>
            <rFont val="Tahoma"/>
            <family val="2"/>
          </rPr>
          <t>11399  594  4042  MED TOBI</t>
        </r>
        <r>
          <rPr>
            <sz val="9"/>
            <color indexed="81"/>
            <rFont val="Tahoma"/>
            <family val="2"/>
          </rPr>
          <t xml:space="preserve">
</t>
        </r>
      </text>
    </comment>
    <comment ref="K33" authorId="0" shapeId="0" xr:uid="{67C1A286-7B5B-4A99-9E8B-BE5B4730759B}">
      <text>
        <r>
          <rPr>
            <b/>
            <sz val="9"/>
            <color indexed="81"/>
            <rFont val="Tahoma"/>
            <family val="2"/>
          </rPr>
          <t>11392    350    4016  CINT PIT</t>
        </r>
        <r>
          <rPr>
            <sz val="9"/>
            <color indexed="81"/>
            <rFont val="Tahoma"/>
            <family val="2"/>
          </rPr>
          <t xml:space="preserve">
  </t>
        </r>
      </text>
    </comment>
    <comment ref="K36" authorId="0" shapeId="0" xr:uid="{B35E7E25-E71A-4873-9F0B-D575312DA574}">
      <text>
        <r>
          <rPr>
            <b/>
            <sz val="9"/>
            <color indexed="81"/>
            <rFont val="Tahoma"/>
            <family val="2"/>
          </rPr>
          <t>11392   175   4016  CINT   PIT</t>
        </r>
        <r>
          <rPr>
            <sz val="9"/>
            <color indexed="81"/>
            <rFont val="Tahoma"/>
            <family val="2"/>
          </rPr>
          <t xml:space="preserve">
</t>
        </r>
      </text>
    </comment>
    <comment ref="N36" authorId="0" shapeId="0" xr:uid="{6305E9B3-40B6-4181-8EF7-52E7B2A0F5C7}">
      <text>
        <r>
          <rPr>
            <b/>
            <sz val="9"/>
            <color indexed="81"/>
            <rFont val="Tahoma"/>
            <family val="2"/>
          </rPr>
          <t>11398   582   4008  CINT FLA</t>
        </r>
        <r>
          <rPr>
            <sz val="9"/>
            <color indexed="81"/>
            <rFont val="Tahoma"/>
            <family val="2"/>
          </rPr>
          <t xml:space="preserve">
</t>
        </r>
      </text>
    </comment>
    <comment ref="F37" authorId="0" shapeId="0" xr:uid="{8947AA1B-B492-4300-957B-391C316E5CDE}">
      <text>
        <r>
          <rPr>
            <b/>
            <sz val="9"/>
            <color indexed="81"/>
            <rFont val="Tahoma"/>
            <family val="2"/>
          </rPr>
          <t>961000  1   4055   CINT CROPPED
961008  1   4060   CINT PITILLO
961006  1   4061   CINT PALAZZ
961009  1   4018   CINT PITI</t>
        </r>
        <r>
          <rPr>
            <sz val="9"/>
            <color indexed="81"/>
            <rFont val="Tahoma"/>
            <family val="2"/>
          </rPr>
          <t xml:space="preserve">
</t>
        </r>
      </text>
    </comment>
    <comment ref="I37" authorId="0" shapeId="0" xr:uid="{AD07E26E-7D97-425E-90D9-63028D055732}">
      <text>
        <r>
          <rPr>
            <b/>
            <sz val="9"/>
            <color indexed="81"/>
            <rFont val="Tahoma"/>
            <family val="2"/>
          </rPr>
          <t>11402    600   4013  CINT  PALA
11407    402   4004  CINT OXF</t>
        </r>
        <r>
          <rPr>
            <sz val="9"/>
            <color indexed="81"/>
            <rFont val="Tahoma"/>
            <family val="2"/>
          </rPr>
          <t xml:space="preserve">
</t>
        </r>
      </text>
    </comment>
    <comment ref="K37" authorId="0" shapeId="0" xr:uid="{BC0D5271-660E-42E6-B28A-6DE6467B78C6}">
      <text>
        <r>
          <rPr>
            <b/>
            <sz val="9"/>
            <color indexed="81"/>
            <rFont val="Tahoma"/>
            <family val="2"/>
          </rPr>
          <t>11391  185   4015  CINT TOB</t>
        </r>
        <r>
          <rPr>
            <sz val="9"/>
            <color indexed="81"/>
            <rFont val="Tahoma"/>
            <family val="2"/>
          </rPr>
          <t xml:space="preserve">
</t>
        </r>
        <r>
          <rPr>
            <b/>
            <sz val="9"/>
            <color indexed="81"/>
            <rFont val="Tahoma"/>
            <family val="2"/>
          </rPr>
          <t>11408  148  4017  CINT TOB</t>
        </r>
      </text>
    </comment>
    <comment ref="N37" authorId="0" shapeId="0" xr:uid="{B0E2CE3A-38F6-453F-9432-8127FF57DF71}">
      <text>
        <r>
          <rPr>
            <b/>
            <sz val="9"/>
            <color indexed="81"/>
            <rFont val="Tahoma"/>
            <family val="2"/>
          </rPr>
          <t>11403    18  4018  CINT PIT
11392  487  4016  CINT PIT</t>
        </r>
        <r>
          <rPr>
            <sz val="9"/>
            <color indexed="81"/>
            <rFont val="Tahoma"/>
            <family val="2"/>
          </rPr>
          <t xml:space="preserve">
</t>
        </r>
      </text>
    </comment>
    <comment ref="F38" authorId="0" shapeId="0" xr:uid="{C1565063-63DC-42A0-B345-446386AAB8AA}">
      <text>
        <r>
          <rPr>
            <b/>
            <sz val="9"/>
            <color indexed="81"/>
            <rFont val="Tahoma"/>
            <family val="2"/>
          </rPr>
          <t>961010  1  4012  CINT FLA</t>
        </r>
        <r>
          <rPr>
            <sz val="9"/>
            <color indexed="81"/>
            <rFont val="Tahoma"/>
            <family val="2"/>
          </rPr>
          <t xml:space="preserve">
</t>
        </r>
        <r>
          <rPr>
            <b/>
            <sz val="9"/>
            <color indexed="81"/>
            <rFont val="Tahoma"/>
            <family val="2"/>
          </rPr>
          <t>961011  1  4059 MED REC</t>
        </r>
      </text>
    </comment>
    <comment ref="K38" authorId="0" shapeId="0" xr:uid="{115F5A29-7161-4F73-BE5C-5E40B8E64F8C}">
      <text>
        <r>
          <rPr>
            <b/>
            <sz val="9"/>
            <color indexed="81"/>
            <rFont val="Tahoma"/>
            <family val="2"/>
          </rPr>
          <t>11408   150   4017  CINT  TOBI
11408   150   4017  CINT  TOBI</t>
        </r>
        <r>
          <rPr>
            <sz val="9"/>
            <color indexed="81"/>
            <rFont val="Tahoma"/>
            <family val="2"/>
          </rPr>
          <t xml:space="preserve">
</t>
        </r>
      </text>
    </comment>
    <comment ref="N38" authorId="0" shapeId="0" xr:uid="{F2E64D01-FC0D-4D4B-A67F-5B22F627F872}">
      <text>
        <r>
          <rPr>
            <b/>
            <sz val="9"/>
            <color indexed="81"/>
            <rFont val="Tahoma"/>
            <family val="2"/>
          </rPr>
          <t>11392   184     3920   MED   FLA
11408   274     4017   CINT TOB</t>
        </r>
        <r>
          <rPr>
            <sz val="9"/>
            <color indexed="81"/>
            <rFont val="Tahoma"/>
            <family val="2"/>
          </rPr>
          <t xml:space="preserve">
</t>
        </r>
      </text>
    </comment>
    <comment ref="I39" authorId="0" shapeId="0" xr:uid="{08020DD7-AE8B-407A-849D-3FA1B8E442FC}">
      <text>
        <r>
          <rPr>
            <b/>
            <sz val="9"/>
            <color indexed="81"/>
            <rFont val="Tahoma"/>
            <family val="2"/>
          </rPr>
          <t>11416   260   4015  CINT TOBI
11420   300   4010  CINT TOBI
11420   274   4010  CINT TOBI</t>
        </r>
        <r>
          <rPr>
            <sz val="9"/>
            <color indexed="81"/>
            <rFont val="Tahoma"/>
            <family val="2"/>
          </rPr>
          <t xml:space="preserve">
</t>
        </r>
      </text>
    </comment>
    <comment ref="K39" authorId="0" shapeId="0" xr:uid="{E5D37C3A-85F8-4118-AA4F-85A966000326}">
      <text>
        <r>
          <rPr>
            <b/>
            <sz val="9"/>
            <color indexed="81"/>
            <rFont val="Tahoma"/>
            <family val="2"/>
          </rPr>
          <t>11408   150   4017  CINT TOBI
11408   150   4017  CINT TOBI
11414   117   4011  CINT FLA
11397   157   4012  CINT FLA
11397   200   4012  CINT FLA
11408   150   4017  CINT TOBI</t>
        </r>
        <r>
          <rPr>
            <sz val="9"/>
            <color indexed="81"/>
            <rFont val="Tahoma"/>
            <family val="2"/>
          </rPr>
          <t xml:space="preserve">
</t>
        </r>
      </text>
    </comment>
    <comment ref="N39" authorId="0" shapeId="0" xr:uid="{CE144D2D-8FE4-4B5E-977F-9DA9802D04E1}">
      <text>
        <r>
          <rPr>
            <b/>
            <sz val="9"/>
            <color indexed="81"/>
            <rFont val="Tahoma"/>
            <family val="2"/>
          </rPr>
          <t>11392  151   3920  MED FLA
11408  257   4017  CIN  TOB</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Angelica Gonzalez</author>
  </authors>
  <commentList>
    <comment ref="D5" authorId="0" shapeId="0" xr:uid="{4B8E2AD7-E51B-4D85-B840-253D58BFA8B4}">
      <text>
        <r>
          <rPr>
            <b/>
            <sz val="9"/>
            <color indexed="81"/>
            <rFont val="Tahoma"/>
            <family val="2"/>
          </rPr>
          <t xml:space="preserve">11436
</t>
        </r>
        <r>
          <rPr>
            <sz val="9"/>
            <color indexed="81"/>
            <rFont val="Tahoma"/>
            <family val="2"/>
          </rPr>
          <t xml:space="preserve">
</t>
        </r>
      </text>
    </comment>
    <comment ref="E5" authorId="0" shapeId="0" xr:uid="{BE7E89F4-170D-453F-868D-6D0E9F1CA3F6}">
      <text>
        <r>
          <rPr>
            <b/>
            <sz val="9"/>
            <color indexed="81"/>
            <rFont val="Tahoma"/>
            <family val="2"/>
          </rPr>
          <t>961014  1  4107 CINT WIDE LEG
961015  1  4109 CINT PAL</t>
        </r>
      </text>
    </comment>
    <comment ref="L5" authorId="0" shapeId="0" xr:uid="{0DDF6CB2-2D39-4EBD-9A59-2A4D648BEC0E}">
      <text>
        <r>
          <rPr>
            <b/>
            <sz val="9"/>
            <color indexed="81"/>
            <rFont val="Tahoma"/>
            <family val="2"/>
          </rPr>
          <t>11397   190   4012  CINT FLA
11397     49   4012  CINT FLA
11404   120  4019   MED  PIT
11404   150  4019   MED  PIT</t>
        </r>
        <r>
          <rPr>
            <sz val="9"/>
            <color indexed="81"/>
            <rFont val="Tahoma"/>
            <family val="2"/>
          </rPr>
          <t xml:space="preserve">
</t>
        </r>
      </text>
    </comment>
    <comment ref="O5" authorId="0" shapeId="0" xr:uid="{4A9AB53D-67C2-44BB-B77C-3803A6D8AA04}">
      <text>
        <r>
          <rPr>
            <b/>
            <sz val="9"/>
            <color indexed="81"/>
            <rFont val="Tahoma"/>
            <family val="2"/>
          </rPr>
          <t>11414  117   4011  CINT  FLA</t>
        </r>
        <r>
          <rPr>
            <sz val="9"/>
            <color indexed="81"/>
            <rFont val="Tahoma"/>
            <family val="2"/>
          </rPr>
          <t xml:space="preserve">
</t>
        </r>
      </text>
    </comment>
    <comment ref="D6" authorId="0" shapeId="0" xr:uid="{9F6BF3C6-240E-491B-9582-D13601061C87}">
      <text>
        <r>
          <rPr>
            <b/>
            <sz val="9"/>
            <color indexed="81"/>
            <rFont val="Tahoma"/>
            <family val="2"/>
          </rPr>
          <t>4029</t>
        </r>
        <r>
          <rPr>
            <sz val="9"/>
            <color indexed="81"/>
            <rFont val="Tahoma"/>
            <family val="2"/>
          </rPr>
          <t xml:space="preserve">
</t>
        </r>
      </text>
    </comment>
    <comment ref="E9" authorId="0" shapeId="0" xr:uid="{CDAB219A-5EE4-4255-A726-60E27D945A90}">
      <text>
        <r>
          <rPr>
            <b/>
            <sz val="9"/>
            <color indexed="81"/>
            <rFont val="Tahoma"/>
            <family val="2"/>
          </rPr>
          <t>961016  1  4106  CINT PAL</t>
        </r>
      </text>
    </comment>
    <comment ref="F9" authorId="0" shapeId="0" xr:uid="{112E8B00-E8CE-4C4F-8D4C-E1C0CA7B42D2}">
      <text>
        <r>
          <rPr>
            <b/>
            <sz val="9"/>
            <color indexed="81"/>
            <rFont val="Tahoma"/>
            <family val="2"/>
          </rPr>
          <t>11425  198  4059  CINT REC</t>
        </r>
        <r>
          <rPr>
            <sz val="9"/>
            <color indexed="81"/>
            <rFont val="Tahoma"/>
            <family val="2"/>
          </rPr>
          <t xml:space="preserve">
</t>
        </r>
      </text>
    </comment>
    <comment ref="J9" authorId="0" shapeId="0" xr:uid="{4F5E402F-BAB6-4B53-8F5B-863FBE0D9A1E}">
      <text>
        <r>
          <rPr>
            <b/>
            <sz val="9"/>
            <color indexed="81"/>
            <rFont val="Tahoma"/>
            <family val="2"/>
          </rPr>
          <t>11416   219   4015  CINT TOB</t>
        </r>
        <r>
          <rPr>
            <sz val="9"/>
            <color indexed="81"/>
            <rFont val="Tahoma"/>
            <family val="2"/>
          </rPr>
          <t xml:space="preserve">
</t>
        </r>
        <r>
          <rPr>
            <b/>
            <sz val="9"/>
            <color indexed="81"/>
            <rFont val="Tahoma"/>
            <family val="2"/>
          </rPr>
          <t>11421   506   4024  CINT PAL</t>
        </r>
      </text>
    </comment>
    <comment ref="L9" authorId="0" shapeId="0" xr:uid="{0ACBFE50-42E1-4A9F-81DB-3015B430CB47}">
      <text>
        <r>
          <rPr>
            <b/>
            <sz val="9"/>
            <color indexed="81"/>
            <rFont val="Tahoma"/>
            <family val="2"/>
          </rPr>
          <t>11400   450   4044  CINT FLA</t>
        </r>
        <r>
          <rPr>
            <sz val="9"/>
            <color indexed="81"/>
            <rFont val="Tahoma"/>
            <family val="2"/>
          </rPr>
          <t xml:space="preserve">
</t>
        </r>
      </text>
    </comment>
    <comment ref="O9" authorId="0" shapeId="0" xr:uid="{0EB50D9D-AFB4-4547-A20C-E9E6292E6524}">
      <text>
        <r>
          <rPr>
            <b/>
            <sz val="9"/>
            <color indexed="81"/>
            <rFont val="Tahoma"/>
            <family val="2"/>
          </rPr>
          <t>11397   389   4012  CINT   FLA
11397   204   4012  CINT   FLA</t>
        </r>
        <r>
          <rPr>
            <sz val="9"/>
            <color indexed="81"/>
            <rFont val="Tahoma"/>
            <family val="2"/>
          </rPr>
          <t xml:space="preserve">
</t>
        </r>
        <r>
          <rPr>
            <b/>
            <sz val="9"/>
            <color indexed="81"/>
            <rFont val="Tahoma"/>
            <family val="2"/>
          </rPr>
          <t>11398        3   4008  CINT   FLA</t>
        </r>
      </text>
    </comment>
    <comment ref="D10" authorId="0" shapeId="0" xr:uid="{A8709614-8EE2-4308-B647-033E74F9CE5D}">
      <text>
        <r>
          <rPr>
            <b/>
            <sz val="9"/>
            <color indexed="81"/>
            <rFont val="Tahoma"/>
            <family val="2"/>
          </rPr>
          <t>11431  510  4076   CINT REC
11433  350  4029   CINT FLA
11434  610  4021   CINT TOBI
11440  116  4059   CINT REC</t>
        </r>
        <r>
          <rPr>
            <sz val="9"/>
            <color indexed="81"/>
            <rFont val="Tahoma"/>
            <family val="2"/>
          </rPr>
          <t xml:space="preserve">
</t>
        </r>
      </text>
    </comment>
    <comment ref="E10" authorId="0" shapeId="0" xr:uid="{0BD8D0F5-BCA0-4023-B9AE-31EFFF281DD4}">
      <text>
        <r>
          <rPr>
            <b/>
            <sz val="9"/>
            <color indexed="81"/>
            <rFont val="Tahoma"/>
            <family val="2"/>
          </rPr>
          <t xml:space="preserve">961017   1   4047  CINT TOB
</t>
        </r>
        <r>
          <rPr>
            <sz val="9"/>
            <color indexed="81"/>
            <rFont val="Tahoma"/>
            <family val="2"/>
          </rPr>
          <t xml:space="preserve">
</t>
        </r>
      </text>
    </comment>
    <comment ref="F10" authorId="0" shapeId="0" xr:uid="{A25C0402-179D-4124-B1FB-5633B481ECCC}">
      <text>
        <r>
          <rPr>
            <b/>
            <sz val="9"/>
            <color indexed="81"/>
            <rFont val="Tahoma"/>
            <family val="2"/>
          </rPr>
          <t>11426   250   4010  CINT TOB</t>
        </r>
        <r>
          <rPr>
            <sz val="9"/>
            <color indexed="81"/>
            <rFont val="Tahoma"/>
            <family val="2"/>
          </rPr>
          <t xml:space="preserve">
</t>
        </r>
      </text>
    </comment>
    <comment ref="F11" authorId="0" shapeId="0" xr:uid="{CB5B4359-5354-4518-A833-94735A5C2933}">
      <text>
        <r>
          <rPr>
            <b/>
            <sz val="9"/>
            <color indexed="81"/>
            <rFont val="Tahoma"/>
            <family val="2"/>
          </rPr>
          <t>11426   250   4010  CINT TOB</t>
        </r>
        <r>
          <rPr>
            <sz val="9"/>
            <color indexed="81"/>
            <rFont val="Tahoma"/>
            <family val="2"/>
          </rPr>
          <t xml:space="preserve">
</t>
        </r>
      </text>
    </comment>
    <comment ref="G11" authorId="0" shapeId="0" xr:uid="{EE32657A-AFC9-457B-A30B-CA12A5C5CD64}">
      <text>
        <r>
          <rPr>
            <sz val="9"/>
            <color indexed="81"/>
            <rFont val="Tahoma"/>
            <family val="2"/>
          </rPr>
          <t xml:space="preserve">961005   1  4101  Gillette MHC
961012   1  4104  Gillette MHC
961013   1  4105  Shorts
</t>
        </r>
      </text>
    </comment>
    <comment ref="L11" authorId="0" shapeId="0" xr:uid="{4D48A1F7-699C-4CCB-A285-5A4081FD3487}">
      <text>
        <r>
          <rPr>
            <b/>
            <sz val="9"/>
            <color indexed="81"/>
            <rFont val="Tahoma"/>
            <family val="2"/>
          </rPr>
          <t>11391   129    4015  CIN  TOB
11396   320    4002  MED OXF</t>
        </r>
      </text>
    </comment>
    <comment ref="O11" authorId="0" shapeId="0" xr:uid="{2156F50C-66EE-4FD2-9FFB-CDCA73C28002}">
      <text>
        <r>
          <rPr>
            <b/>
            <sz val="9"/>
            <color indexed="81"/>
            <rFont val="Tahoma"/>
            <family val="2"/>
          </rPr>
          <t>11400  601  4044  CINT FLA</t>
        </r>
        <r>
          <rPr>
            <sz val="9"/>
            <color indexed="81"/>
            <rFont val="Tahoma"/>
            <family val="2"/>
          </rPr>
          <t xml:space="preserve">
</t>
        </r>
      </text>
    </comment>
    <comment ref="D12" authorId="0" shapeId="0" xr:uid="{88CF18D3-028D-4C74-A1D0-A782CB038643}">
      <text>
        <r>
          <rPr>
            <b/>
            <sz val="9"/>
            <color indexed="81"/>
            <rFont val="Tahoma"/>
            <family val="2"/>
          </rPr>
          <t>11437  30   4002  MED OXF
11441  30   4042  MED TOB</t>
        </r>
      </text>
    </comment>
    <comment ref="F12" authorId="0" shapeId="0" xr:uid="{95CB98B3-43BB-4BBE-A61C-BD7C23CB6656}">
      <text>
        <r>
          <rPr>
            <b/>
            <sz val="9"/>
            <color indexed="81"/>
            <rFont val="Tahoma"/>
            <family val="2"/>
          </rPr>
          <t>11428  4017  CIN TOBI</t>
        </r>
        <r>
          <rPr>
            <sz val="9"/>
            <color indexed="81"/>
            <rFont val="Tahoma"/>
            <family val="2"/>
          </rPr>
          <t xml:space="preserve">
</t>
        </r>
      </text>
    </comment>
    <comment ref="L12" authorId="0" shapeId="0" xr:uid="{A4D18234-DC0D-4470-AB89-5779849BEFB9}">
      <text>
        <r>
          <rPr>
            <b/>
            <sz val="9"/>
            <color indexed="81"/>
            <rFont val="Tahoma"/>
            <family val="2"/>
          </rPr>
          <t>11396   160   4002  MED OXF
11396   132   4002  MED OXF</t>
        </r>
        <r>
          <rPr>
            <sz val="9"/>
            <color indexed="81"/>
            <rFont val="Tahoma"/>
            <family val="2"/>
          </rPr>
          <t xml:space="preserve">
</t>
        </r>
      </text>
    </comment>
    <comment ref="O12" authorId="0" shapeId="0" xr:uid="{0456A0AE-76C6-47B0-A706-ADD37920DACC}">
      <text>
        <r>
          <rPr>
            <b/>
            <sz val="9"/>
            <color indexed="81"/>
            <rFont val="Tahoma"/>
            <family val="2"/>
          </rPr>
          <t>11396 400  4002  MED OXF
11404  49    4019  MED PIT
11430  101  4044  CIN  FLA</t>
        </r>
        <r>
          <rPr>
            <sz val="9"/>
            <color indexed="81"/>
            <rFont val="Tahoma"/>
            <family val="2"/>
          </rPr>
          <t xml:space="preserve">
</t>
        </r>
      </text>
    </comment>
    <comment ref="E13" authorId="0" shapeId="0" xr:uid="{E11BE2E4-DD93-44DA-B4AE-7770EB9B61BC}">
      <text>
        <r>
          <rPr>
            <b/>
            <sz val="9"/>
            <color indexed="81"/>
            <rFont val="Tahoma"/>
            <family val="2"/>
          </rPr>
          <t>961018  1   4108   CINT PALA
961019  1   4112   CINT FLA
961020  1   4111   MED TOBI
961022  1   4106   CINT PAL
961023  1   4020   CINT PIT
961024  1   4055   CINT CROOP
961025  1   4113   CINT FLA
961026  1   4110   CINT FLA</t>
        </r>
        <r>
          <rPr>
            <sz val="9"/>
            <color indexed="81"/>
            <rFont val="Tahoma"/>
            <family val="2"/>
          </rPr>
          <t xml:space="preserve">
</t>
        </r>
      </text>
    </comment>
    <comment ref="F13" authorId="0" shapeId="0" xr:uid="{3AF29333-55DC-4759-8FD3-B37EFA511504}">
      <text>
        <r>
          <rPr>
            <b/>
            <sz val="9"/>
            <color indexed="81"/>
            <rFont val="Tahoma"/>
            <family val="2"/>
          </rPr>
          <t>11428   250  4017  CINT TOBI</t>
        </r>
        <r>
          <rPr>
            <sz val="9"/>
            <color indexed="81"/>
            <rFont val="Tahoma"/>
            <family val="2"/>
          </rPr>
          <t xml:space="preserve">
</t>
        </r>
      </text>
    </comment>
    <comment ref="G13" authorId="0" shapeId="0" xr:uid="{FEAF1A14-E460-4BFE-9AEF-6D78B2E941EF}">
      <text>
        <r>
          <rPr>
            <b/>
            <sz val="9"/>
            <color indexed="81"/>
            <rFont val="Tahoma"/>
            <family val="2"/>
          </rPr>
          <t>961014   1   4107  CIN WLEG
961017   1   4047  CIN TOB
961015   1   4109  CIN PAL</t>
        </r>
        <r>
          <rPr>
            <sz val="9"/>
            <color indexed="81"/>
            <rFont val="Tahoma"/>
            <family val="2"/>
          </rPr>
          <t xml:space="preserve">
</t>
        </r>
      </text>
    </comment>
    <comment ref="H13" authorId="0" shapeId="0" xr:uid="{EB8383D1-E7EF-4408-BF77-11CFF1C4C68C}">
      <text>
        <r>
          <rPr>
            <b/>
            <sz val="9"/>
            <color indexed="81"/>
            <rFont val="Tahoma"/>
            <family val="2"/>
          </rPr>
          <t>11442     60   4004  CINT  OXF</t>
        </r>
        <r>
          <rPr>
            <sz val="9"/>
            <color indexed="81"/>
            <rFont val="Tahoma"/>
            <family val="2"/>
          </rPr>
          <t xml:space="preserve">
</t>
        </r>
      </text>
    </comment>
    <comment ref="L13" authorId="0" shapeId="0" xr:uid="{C6B3F920-EF0A-41FE-B297-05FDB887F092}">
      <text>
        <r>
          <rPr>
            <b/>
            <sz val="9"/>
            <color indexed="81"/>
            <rFont val="Tahoma"/>
            <family val="2"/>
          </rPr>
          <t>11412  431  4009  CINT OXF</t>
        </r>
        <r>
          <rPr>
            <sz val="9"/>
            <color indexed="81"/>
            <rFont val="Tahoma"/>
            <family val="2"/>
          </rPr>
          <t xml:space="preserve">
</t>
        </r>
      </text>
    </comment>
    <comment ref="O13" authorId="0" shapeId="0" xr:uid="{855935AB-7CC8-4575-BA8C-2EE1EB2E7CA5}">
      <text>
        <r>
          <rPr>
            <b/>
            <sz val="9"/>
            <color indexed="81"/>
            <rFont val="Tahoma"/>
            <family val="2"/>
          </rPr>
          <t>11391  125  4015  CINT PIT</t>
        </r>
        <r>
          <rPr>
            <sz val="9"/>
            <color indexed="81"/>
            <rFont val="Tahoma"/>
            <family val="2"/>
          </rPr>
          <t xml:space="preserve">
</t>
        </r>
      </text>
    </comment>
    <comment ref="D14" authorId="0" shapeId="0" xr:uid="{DEE8BD18-D1DC-4C52-B333-92973443A986}">
      <text>
        <r>
          <rPr>
            <b/>
            <sz val="9"/>
            <color indexed="81"/>
            <rFont val="Tahoma"/>
            <family val="2"/>
          </rPr>
          <t>11429   450   4012   CIN  FLA</t>
        </r>
        <r>
          <rPr>
            <sz val="9"/>
            <color indexed="81"/>
            <rFont val="Tahoma"/>
            <family val="2"/>
          </rPr>
          <t xml:space="preserve">
</t>
        </r>
      </text>
    </comment>
    <comment ref="F14" authorId="0" shapeId="0" xr:uid="{DF805D52-A75E-4C06-A20F-24EC35BB0E7E}">
      <text>
        <r>
          <rPr>
            <b/>
            <sz val="9"/>
            <color indexed="81"/>
            <rFont val="Tahoma"/>
            <family val="2"/>
          </rPr>
          <t>11422   692   4021  CINT  TOBI</t>
        </r>
        <r>
          <rPr>
            <sz val="9"/>
            <color indexed="81"/>
            <rFont val="Tahoma"/>
            <family val="2"/>
          </rPr>
          <t xml:space="preserve">
</t>
        </r>
      </text>
    </comment>
    <comment ref="L14" authorId="0" shapeId="0" xr:uid="{9820B37F-0FAC-48DA-A945-51F52697B91F}">
      <text>
        <r>
          <rPr>
            <b/>
            <sz val="9"/>
            <color indexed="81"/>
            <rFont val="Tahoma"/>
            <family val="2"/>
          </rPr>
          <t>11412  267  4009  CINT OXF</t>
        </r>
        <r>
          <rPr>
            <sz val="9"/>
            <color indexed="81"/>
            <rFont val="Tahoma"/>
            <family val="2"/>
          </rPr>
          <t xml:space="preserve">
</t>
        </r>
      </text>
    </comment>
    <comment ref="D17" authorId="0" shapeId="0" xr:uid="{FE24B89C-4F15-4B77-A789-1B3EF47F77A8}">
      <text>
        <r>
          <rPr>
            <b/>
            <sz val="9"/>
            <color indexed="81"/>
            <rFont val="Tahoma"/>
            <family val="2"/>
          </rPr>
          <t>11443  580  4007  CINT  PIT</t>
        </r>
        <r>
          <rPr>
            <sz val="9"/>
            <color indexed="81"/>
            <rFont val="Tahoma"/>
            <family val="2"/>
          </rPr>
          <t xml:space="preserve">
</t>
        </r>
        <r>
          <rPr>
            <b/>
            <sz val="9"/>
            <color indexed="81"/>
            <rFont val="Tahoma"/>
            <family val="2"/>
          </rPr>
          <t>11429  121  4012  CINT FLA</t>
        </r>
        <r>
          <rPr>
            <sz val="9"/>
            <color indexed="81"/>
            <rFont val="Tahoma"/>
            <family val="2"/>
          </rPr>
          <t xml:space="preserve">
</t>
        </r>
      </text>
    </comment>
    <comment ref="F17" authorId="0" shapeId="0" xr:uid="{240702B3-6530-43A8-A13B-F22799191F44}">
      <text>
        <r>
          <rPr>
            <b/>
            <sz val="9"/>
            <color indexed="81"/>
            <rFont val="Tahoma"/>
            <family val="2"/>
          </rPr>
          <t>11430  250    4044  CINT FLA
11428  150   4017   CINT TOB</t>
        </r>
        <r>
          <rPr>
            <sz val="9"/>
            <color indexed="81"/>
            <rFont val="Tahoma"/>
            <family val="2"/>
          </rPr>
          <t xml:space="preserve">
</t>
        </r>
      </text>
    </comment>
    <comment ref="J17" authorId="0" shapeId="0" xr:uid="{9E2E24A7-E775-40F4-B5A7-7126311A03D2}">
      <text>
        <r>
          <rPr>
            <b/>
            <sz val="9"/>
            <color indexed="81"/>
            <rFont val="Tahoma"/>
            <family val="2"/>
          </rPr>
          <t>11415  300   4027   CINT FLA
11422  692   4021   CINT TOB
11413  453   4001   MED  PAL</t>
        </r>
        <r>
          <rPr>
            <sz val="9"/>
            <color indexed="81"/>
            <rFont val="Tahoma"/>
            <family val="2"/>
          </rPr>
          <t xml:space="preserve">
</t>
        </r>
      </text>
    </comment>
    <comment ref="L17" authorId="0" shapeId="0" xr:uid="{83378B55-142D-4695-AC88-C69D9D5DD36D}">
      <text>
        <r>
          <rPr>
            <b/>
            <sz val="9"/>
            <color indexed="81"/>
            <rFont val="Tahoma"/>
            <family val="2"/>
          </rPr>
          <t>11414  187   4011 CINT FLA
11421  334   4024 CINT PAL</t>
        </r>
        <r>
          <rPr>
            <sz val="9"/>
            <color indexed="81"/>
            <rFont val="Tahoma"/>
            <family val="2"/>
          </rPr>
          <t xml:space="preserve">
</t>
        </r>
      </text>
    </comment>
    <comment ref="O17" authorId="0" shapeId="0" xr:uid="{6780CE9F-F7B4-4A7A-BE7A-A3C990F8ED8E}">
      <text>
        <r>
          <rPr>
            <b/>
            <sz val="9"/>
            <color indexed="81"/>
            <rFont val="Tahoma"/>
            <family val="2"/>
          </rPr>
          <t>11412  500   4009  CIN  OXF</t>
        </r>
        <r>
          <rPr>
            <sz val="9"/>
            <color indexed="81"/>
            <rFont val="Tahoma"/>
            <family val="2"/>
          </rPr>
          <t xml:space="preserve">
</t>
        </r>
      </text>
    </comment>
    <comment ref="D18" authorId="0" shapeId="0" xr:uid="{08279757-B951-49CA-8129-F58B12EB9B64}">
      <text>
        <r>
          <rPr>
            <b/>
            <sz val="9"/>
            <color indexed="81"/>
            <rFont val="Tahoma"/>
            <family val="2"/>
          </rPr>
          <t>11418  206   4036  CIN PAL
11444  381   4059  CIN REC</t>
        </r>
        <r>
          <rPr>
            <sz val="9"/>
            <color indexed="81"/>
            <rFont val="Tahoma"/>
            <family val="2"/>
          </rPr>
          <t xml:space="preserve">
</t>
        </r>
      </text>
    </comment>
    <comment ref="F18" authorId="0" shapeId="0" xr:uid="{283222FF-B4C8-4B5E-B660-085430819B94}">
      <text>
        <r>
          <rPr>
            <b/>
            <sz val="9"/>
            <color indexed="81"/>
            <rFont val="Tahoma"/>
            <family val="2"/>
          </rPr>
          <t xml:space="preserve">11429  571  4012  CINT FLA
11430  256  4044  CINT FLA
</t>
        </r>
        <r>
          <rPr>
            <sz val="9"/>
            <color indexed="81"/>
            <rFont val="Tahoma"/>
            <family val="2"/>
          </rPr>
          <t xml:space="preserve">
</t>
        </r>
      </text>
    </comment>
    <comment ref="J18" authorId="0" shapeId="0" xr:uid="{2ECBC554-B888-4BCE-8117-2B9A02B495AB}">
      <text>
        <r>
          <rPr>
            <b/>
            <sz val="9"/>
            <color indexed="81"/>
            <rFont val="Tahoma"/>
            <family val="2"/>
          </rPr>
          <t>11417  600  4052  MED FLA</t>
        </r>
        <r>
          <rPr>
            <sz val="9"/>
            <color indexed="81"/>
            <rFont val="Tahoma"/>
            <family val="2"/>
          </rPr>
          <t xml:space="preserve">
</t>
        </r>
      </text>
    </comment>
    <comment ref="L18" authorId="0" shapeId="0" xr:uid="{A8D1D105-7F00-42A2-8B26-A09D33B24C7D}">
      <text>
        <r>
          <rPr>
            <b/>
            <sz val="9"/>
            <color indexed="81"/>
            <rFont val="Tahoma"/>
            <family val="2"/>
          </rPr>
          <t>11421  172  4024  CINT  PAL</t>
        </r>
        <r>
          <rPr>
            <sz val="9"/>
            <color indexed="81"/>
            <rFont val="Tahoma"/>
            <family val="2"/>
          </rPr>
          <t xml:space="preserve">
</t>
        </r>
      </text>
    </comment>
    <comment ref="O18" authorId="0" shapeId="0" xr:uid="{FB1CDCF3-C3A9-4B35-B3A1-9F5712570177}">
      <text>
        <r>
          <rPr>
            <b/>
            <sz val="9"/>
            <color indexed="81"/>
            <rFont val="Tahoma"/>
            <family val="2"/>
          </rPr>
          <t>11412   197    4009  CINT OXF
11392     63    3920   MED  FLA
11404     13    4019   MED  PIT
11414   187    4011  CIN    FLA</t>
        </r>
      </text>
    </comment>
    <comment ref="D19" authorId="0" shapeId="0" xr:uid="{DEECBCEF-1B40-44DF-A4EA-397C26A1CD32}">
      <text>
        <r>
          <rPr>
            <b/>
            <sz val="9"/>
            <color indexed="81"/>
            <rFont val="Tahoma"/>
            <family val="2"/>
          </rPr>
          <t>11445   494   4011  CIN FLA</t>
        </r>
        <r>
          <rPr>
            <sz val="9"/>
            <color indexed="81"/>
            <rFont val="Tahoma"/>
            <family val="2"/>
          </rPr>
          <t xml:space="preserve">
</t>
        </r>
        <r>
          <rPr>
            <b/>
            <sz val="9"/>
            <color indexed="81"/>
            <rFont val="Tahoma"/>
            <family val="2"/>
          </rPr>
          <t>11438     50   4008   CIN FLA</t>
        </r>
      </text>
    </comment>
    <comment ref="F19" authorId="0" shapeId="0" xr:uid="{2947383F-C293-4814-A013-F40468FCB6EE}">
      <text>
        <r>
          <rPr>
            <b/>
            <sz val="9"/>
            <color indexed="81"/>
            <rFont val="Tahoma"/>
            <family val="2"/>
          </rPr>
          <t>11435  350  4007  CIN PIT</t>
        </r>
      </text>
    </comment>
    <comment ref="L19" authorId="0" shapeId="0" xr:uid="{A8E22573-CBB8-4C8C-91C2-8EE90B90189D}">
      <text>
        <r>
          <rPr>
            <b/>
            <sz val="9"/>
            <color indexed="81"/>
            <rFont val="Tahoma"/>
            <family val="2"/>
          </rPr>
          <t>11406  346   4023    CIN TOB
11407  402   4004    CIN OXF</t>
        </r>
        <r>
          <rPr>
            <sz val="9"/>
            <color indexed="81"/>
            <rFont val="Tahoma"/>
            <family val="2"/>
          </rPr>
          <t xml:space="preserve">
</t>
        </r>
      </text>
    </comment>
    <comment ref="O19" authorId="0" shapeId="0" xr:uid="{A24142A6-AE3F-422D-8D66-1B355DB1A94C}">
      <text>
        <r>
          <rPr>
            <b/>
            <sz val="9"/>
            <color indexed="81"/>
            <rFont val="Tahoma"/>
            <family val="2"/>
          </rPr>
          <t>11421  506  4024  CIN PAL</t>
        </r>
        <r>
          <rPr>
            <sz val="9"/>
            <color indexed="81"/>
            <rFont val="Tahoma"/>
            <family val="2"/>
          </rPr>
          <t xml:space="preserve">
</t>
        </r>
      </text>
    </comment>
    <comment ref="D20" authorId="0" shapeId="0" xr:uid="{9398A623-9C79-4B32-B242-467A9351FD7E}">
      <text>
        <r>
          <rPr>
            <b/>
            <sz val="9"/>
            <color indexed="81"/>
            <rFont val="Tahoma"/>
            <family val="2"/>
          </rPr>
          <t>11447  562   4059   CIN REC</t>
        </r>
        <r>
          <rPr>
            <sz val="9"/>
            <color indexed="81"/>
            <rFont val="Tahoma"/>
            <family val="2"/>
          </rPr>
          <t xml:space="preserve">
</t>
        </r>
      </text>
    </comment>
    <comment ref="F20" authorId="0" shapeId="0" xr:uid="{E4366511-8B54-4131-A93E-B2544DDBB5A7}">
      <text>
        <r>
          <rPr>
            <b/>
            <sz val="9"/>
            <color indexed="81"/>
            <rFont val="Tahoma"/>
            <family val="2"/>
          </rPr>
          <t>11418  206     4036  CIN  PAL
11436    54     4018  CIN  PIT</t>
        </r>
      </text>
    </comment>
    <comment ref="L20" authorId="0" shapeId="0" xr:uid="{3A8BE7E9-5487-4DB2-ABA1-1DA6D4CC8E01}">
      <text>
        <r>
          <rPr>
            <b/>
            <sz val="9"/>
            <color indexed="81"/>
            <rFont val="Tahoma"/>
            <family val="2"/>
          </rPr>
          <t>11406   346    4023  CIN TOB
11420   379    4010  CIN TOB</t>
        </r>
      </text>
    </comment>
    <comment ref="O20" authorId="0" shapeId="0" xr:uid="{599FFEF8-4A59-456A-AD85-B0EEEC404583}">
      <text>
        <r>
          <rPr>
            <b/>
            <sz val="9"/>
            <color indexed="81"/>
            <rFont val="Tahoma"/>
            <family val="2"/>
          </rPr>
          <t>11407    402    4004  CIN  OXF</t>
        </r>
      </text>
    </comment>
    <comment ref="O26" authorId="0" shapeId="0" xr:uid="{9BD6C429-46D5-44E9-AF23-D7E67EEAB710}">
      <text>
        <r>
          <rPr>
            <b/>
            <sz val="9"/>
            <color indexed="81"/>
            <rFont val="Tahoma"/>
            <family val="2"/>
          </rPr>
          <t xml:space="preserve">Art. 4010  320
</t>
        </r>
        <r>
          <rPr>
            <sz val="9"/>
            <color indexed="81"/>
            <rFont val="Tahoma"/>
            <family val="2"/>
          </rPr>
          <t xml:space="preserve">
</t>
        </r>
      </text>
    </comment>
    <comment ref="D27" authorId="0" shapeId="0" xr:uid="{0227338B-0922-4E84-BE69-7C06CFDB1839}">
      <text>
        <r>
          <rPr>
            <b/>
            <sz val="9"/>
            <color indexed="81"/>
            <rFont val="Tahoma"/>
            <family val="2"/>
          </rPr>
          <t>11446  260   4029</t>
        </r>
        <r>
          <rPr>
            <sz val="9"/>
            <color indexed="81"/>
            <rFont val="Tahoma"/>
            <family val="2"/>
          </rPr>
          <t xml:space="preserve">
</t>
        </r>
      </text>
    </comment>
    <comment ref="F27" authorId="0" shapeId="0" xr:uid="{5867044F-BB36-43AF-AA7E-34E04B7AC547}">
      <text>
        <r>
          <rPr>
            <b/>
            <sz val="9"/>
            <color indexed="81"/>
            <rFont val="Tahoma"/>
            <family val="2"/>
          </rPr>
          <t>4021   dif corte 260
4007  100</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Angelica Gonzalez</author>
  </authors>
  <commentList>
    <comment ref="D31" authorId="0" shapeId="0" xr:uid="{1AF2AC56-0FCB-404C-9639-8FCC02B91856}">
      <text>
        <r>
          <rPr>
            <b/>
            <sz val="9"/>
            <color indexed="81"/>
            <rFont val="Tahoma"/>
            <family val="2"/>
          </rPr>
          <t>600 Art. 4121  OC 11472</t>
        </r>
        <r>
          <rPr>
            <sz val="9"/>
            <color indexed="81"/>
            <rFont val="Tahoma"/>
            <family val="2"/>
          </rPr>
          <t xml:space="preserve">
</t>
        </r>
      </text>
    </comment>
    <comment ref="F31" authorId="0" shapeId="0" xr:uid="{548BED51-E559-43EC-B08E-4CA3B2C5559E}">
      <text>
        <r>
          <rPr>
            <b/>
            <sz val="9"/>
            <color indexed="81"/>
            <rFont val="Tahoma"/>
            <family val="2"/>
          </rPr>
          <t>364 Art. 4060  OC 11465
105 Art. 4061  OC 11466</t>
        </r>
      </text>
    </comment>
    <comment ref="D32" authorId="0" shapeId="0" xr:uid="{CB5AC6E9-283E-476B-B1A4-8F7A4C169355}">
      <text>
        <r>
          <rPr>
            <b/>
            <sz val="9"/>
            <color indexed="81"/>
            <rFont val="Tahoma"/>
            <family val="2"/>
          </rPr>
          <t>600 Art. 4122
Se tendió 4125</t>
        </r>
        <r>
          <rPr>
            <sz val="9"/>
            <color indexed="81"/>
            <rFont val="Tahoma"/>
            <family val="2"/>
          </rPr>
          <t xml:space="preserve">
</t>
        </r>
      </text>
    </comment>
    <comment ref="F32" authorId="0" shapeId="0" xr:uid="{7FD37EA2-A064-4EB0-8D98-B85837A29EDF}">
      <text>
        <r>
          <rPr>
            <b/>
            <sz val="9"/>
            <color indexed="81"/>
            <rFont val="Tahoma"/>
            <family val="2"/>
          </rPr>
          <t>Art. 4061 OC 11467</t>
        </r>
        <r>
          <rPr>
            <sz val="9"/>
            <color indexed="81"/>
            <rFont val="Tahoma"/>
            <family val="2"/>
          </rPr>
          <t xml:space="preserve">
</t>
        </r>
      </text>
    </comment>
    <comment ref="D33" authorId="0" shapeId="0" xr:uid="{57D0CD71-3597-468D-83C5-325BA2CCB7FE}">
      <text>
        <r>
          <rPr>
            <b/>
            <sz val="9"/>
            <color indexed="81"/>
            <rFont val="Tahoma"/>
            <family val="2"/>
          </rPr>
          <t xml:space="preserve">Art. 4125  202
</t>
        </r>
        <r>
          <rPr>
            <sz val="9"/>
            <color indexed="81"/>
            <rFont val="Tahoma"/>
            <family val="2"/>
          </rPr>
          <t xml:space="preserve">
</t>
        </r>
      </text>
    </comment>
    <comment ref="F33" authorId="0" shapeId="0" xr:uid="{EA306C62-51B2-4B91-87F6-8BD12CDE599A}">
      <text>
        <r>
          <rPr>
            <b/>
            <sz val="9"/>
            <color indexed="81"/>
            <rFont val="Tahoma"/>
            <family val="2"/>
          </rPr>
          <t>Art. 4062 OC 11466</t>
        </r>
        <r>
          <rPr>
            <sz val="9"/>
            <color indexed="81"/>
            <rFont val="Tahoma"/>
            <family val="2"/>
          </rPr>
          <t xml:space="preserve">
</t>
        </r>
      </text>
    </comment>
    <comment ref="D37" authorId="0" shapeId="0" xr:uid="{14836288-BB75-434B-B395-0E7F998821E6}">
      <text>
        <r>
          <rPr>
            <b/>
            <sz val="9"/>
            <color indexed="81"/>
            <rFont val="Tahoma"/>
            <family val="2"/>
          </rPr>
          <t>422 Art. 4064 OC 11466</t>
        </r>
        <r>
          <rPr>
            <sz val="9"/>
            <color indexed="81"/>
            <rFont val="Tahoma"/>
            <family val="2"/>
          </rPr>
          <t xml:space="preserve">
</t>
        </r>
      </text>
    </comment>
    <comment ref="F37" authorId="0" shapeId="0" xr:uid="{3952D152-FADD-49E5-94E2-88A711652E11}">
      <text>
        <r>
          <rPr>
            <b/>
            <sz val="9"/>
            <color indexed="81"/>
            <rFont val="Tahoma"/>
            <family val="2"/>
          </rPr>
          <t>428 Art. 4062 OC 11466</t>
        </r>
        <r>
          <rPr>
            <sz val="9"/>
            <color indexed="81"/>
            <rFont val="Tahoma"/>
            <family val="2"/>
          </rPr>
          <t xml:space="preserve">
</t>
        </r>
      </text>
    </comment>
    <comment ref="D38" authorId="0" shapeId="0" xr:uid="{260F7FDA-9E3C-4BEF-846F-35EEEAD0066C}">
      <text>
        <r>
          <rPr>
            <b/>
            <sz val="9"/>
            <color indexed="81"/>
            <rFont val="Tahoma"/>
            <family val="2"/>
          </rPr>
          <t>Art. 4016</t>
        </r>
        <r>
          <rPr>
            <sz val="9"/>
            <color indexed="81"/>
            <rFont val="Tahoma"/>
            <family val="2"/>
          </rPr>
          <t xml:space="preserve">
</t>
        </r>
      </text>
    </comment>
    <comment ref="F38" authorId="0" shapeId="0" xr:uid="{018EB1CD-6686-4D9B-96F2-D03A6D8056F2}">
      <text>
        <r>
          <rPr>
            <b/>
            <sz val="9"/>
            <color indexed="81"/>
            <rFont val="Tahoma"/>
            <family val="2"/>
          </rPr>
          <t>484 Art. 4070 OC 11468</t>
        </r>
      </text>
    </comment>
    <comment ref="L38" authorId="0" shapeId="0" xr:uid="{C1579C9A-AAD8-4B9C-B139-3D60E2DE9AD7}">
      <text>
        <r>
          <rPr>
            <b/>
            <sz val="9"/>
            <color indexed="81"/>
            <rFont val="Tahoma"/>
            <family val="2"/>
          </rPr>
          <t>140 Art. 4011
272 Art. 4027</t>
        </r>
        <r>
          <rPr>
            <sz val="9"/>
            <color indexed="81"/>
            <rFont val="Tahoma"/>
            <family val="2"/>
          </rPr>
          <t xml:space="preserve">
</t>
        </r>
      </text>
    </comment>
    <comment ref="N38" authorId="0" shapeId="0" xr:uid="{CCD409B3-F3CC-4F15-A9D1-A4996F4A57D3}">
      <text>
        <r>
          <rPr>
            <b/>
            <sz val="9"/>
            <color indexed="81"/>
            <rFont val="Tahoma"/>
            <family val="2"/>
          </rPr>
          <t>Art. 3941</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Angelica Gonzalez</author>
  </authors>
  <commentList>
    <comment ref="D5" authorId="0" shapeId="0" xr:uid="{A353D9A6-0F48-449C-89A2-642406EAB552}">
      <text>
        <r>
          <rPr>
            <b/>
            <sz val="9"/>
            <color indexed="81"/>
            <rFont val="Tahoma"/>
            <family val="2"/>
          </rPr>
          <t xml:space="preserve">Art. 4010 280 </t>
        </r>
        <r>
          <rPr>
            <sz val="9"/>
            <color indexed="81"/>
            <rFont val="Tahoma"/>
            <family val="2"/>
          </rPr>
          <t xml:space="preserve">
</t>
        </r>
      </text>
    </comment>
    <comment ref="E5" authorId="0" shapeId="0" xr:uid="{81A20134-438B-4EEA-85F5-8E71D3EC73A8}">
      <text>
        <r>
          <rPr>
            <b/>
            <sz val="9"/>
            <color indexed="81"/>
            <rFont val="Tahoma"/>
            <family val="2"/>
          </rPr>
          <t>Tenía 30</t>
        </r>
        <r>
          <rPr>
            <sz val="9"/>
            <color indexed="81"/>
            <rFont val="Tahoma"/>
            <family val="2"/>
          </rPr>
          <t xml:space="preserve">
</t>
        </r>
      </text>
    </comment>
    <comment ref="F5" authorId="0" shapeId="0" xr:uid="{4D85CC56-0154-4191-B008-B882382BE3C5}">
      <text>
        <r>
          <rPr>
            <b/>
            <sz val="9"/>
            <color indexed="81"/>
            <rFont val="Tahoma"/>
            <family val="2"/>
          </rPr>
          <t>150 Art. 4065 OC 11470</t>
        </r>
        <r>
          <rPr>
            <sz val="9"/>
            <color indexed="81"/>
            <rFont val="Tahoma"/>
            <family val="2"/>
          </rPr>
          <t xml:space="preserve">
</t>
        </r>
      </text>
    </comment>
    <comment ref="D6" authorId="0" shapeId="0" xr:uid="{10529BA9-737E-4AAF-8013-D127D93C7CC4}">
      <text>
        <r>
          <rPr>
            <b/>
            <sz val="9"/>
            <color indexed="81"/>
            <rFont val="Tahoma"/>
            <family val="2"/>
          </rPr>
          <t xml:space="preserve">Art. 4130 597 prendas
</t>
        </r>
        <r>
          <rPr>
            <sz val="9"/>
            <color indexed="81"/>
            <rFont val="Tahoma"/>
            <family val="2"/>
          </rPr>
          <t xml:space="preserve">
</t>
        </r>
      </text>
    </comment>
    <comment ref="F6" authorId="0" shapeId="0" xr:uid="{A48E4B0E-F727-49F0-B571-A63DE6A04924}">
      <text>
        <r>
          <rPr>
            <b/>
            <sz val="9"/>
            <color indexed="81"/>
            <rFont val="Tahoma"/>
            <family val="2"/>
          </rPr>
          <t>208 Art. 4065 resto OC 11470</t>
        </r>
        <r>
          <rPr>
            <sz val="9"/>
            <color indexed="81"/>
            <rFont val="Tahoma"/>
            <family val="2"/>
          </rPr>
          <t xml:space="preserve">
</t>
        </r>
      </text>
    </comment>
    <comment ref="D7" authorId="0" shapeId="0" xr:uid="{60C7E4EC-AEA7-4AB9-93ED-BCA26F4E5337}">
      <text>
        <r>
          <rPr>
            <b/>
            <sz val="9"/>
            <color indexed="81"/>
            <rFont val="Tahoma"/>
            <family val="2"/>
          </rPr>
          <t>114 Art. 4106
Tendió Art. 4080</t>
        </r>
        <r>
          <rPr>
            <sz val="9"/>
            <color indexed="81"/>
            <rFont val="Tahoma"/>
            <family val="2"/>
          </rPr>
          <t xml:space="preserve">
</t>
        </r>
      </text>
    </comment>
    <comment ref="F7" authorId="0" shapeId="0" xr:uid="{57E97962-22ED-49BF-B2BA-77CC4BFF36B0}">
      <text>
        <r>
          <rPr>
            <b/>
            <sz val="9"/>
            <color indexed="81"/>
            <rFont val="Tahoma"/>
            <family val="2"/>
          </rPr>
          <t>300 Art. 4064  OC 11453</t>
        </r>
        <r>
          <rPr>
            <sz val="9"/>
            <color indexed="81"/>
            <rFont val="Tahoma"/>
            <family val="2"/>
          </rPr>
          <t xml:space="preserve">
</t>
        </r>
      </text>
    </comment>
    <comment ref="D11" authorId="0" shapeId="0" xr:uid="{093265BE-AD64-472F-B966-1B463A97E3F7}">
      <text>
        <r>
          <rPr>
            <b/>
            <sz val="9"/>
            <color indexed="81"/>
            <rFont val="Tahoma"/>
            <family val="2"/>
          </rPr>
          <t>152 Art. 4080</t>
        </r>
        <r>
          <rPr>
            <sz val="9"/>
            <color indexed="81"/>
            <rFont val="Tahoma"/>
            <family val="2"/>
          </rPr>
          <t xml:space="preserve">
</t>
        </r>
      </text>
    </comment>
    <comment ref="F11" authorId="0" shapeId="0" xr:uid="{E0F142DD-876B-4ADE-A025-F2D7D875CA19}">
      <text>
        <r>
          <rPr>
            <b/>
            <sz val="9"/>
            <color indexed="81"/>
            <rFont val="Tahoma"/>
            <family val="2"/>
          </rPr>
          <t xml:space="preserve">300 Art. 4064  OC. 11453
</t>
        </r>
        <r>
          <rPr>
            <sz val="9"/>
            <color indexed="81"/>
            <rFont val="Tahoma"/>
            <family val="2"/>
          </rPr>
          <t xml:space="preserve">
</t>
        </r>
      </text>
    </comment>
    <comment ref="D12" authorId="0" shapeId="0" xr:uid="{46CA8926-D0AF-4A8D-B5B5-38673A084491}">
      <text>
        <r>
          <rPr>
            <b/>
            <sz val="9"/>
            <color indexed="81"/>
            <rFont val="Tahoma"/>
            <family val="2"/>
          </rPr>
          <t>114 art.4106 forros de bolsillo
402 art. 4157 o/c 11481</t>
        </r>
        <r>
          <rPr>
            <sz val="9"/>
            <color indexed="81"/>
            <rFont val="Tahoma"/>
            <family val="2"/>
          </rPr>
          <t xml:space="preserve">
</t>
        </r>
      </text>
    </comment>
    <comment ref="F12" authorId="0" shapeId="0" xr:uid="{4AFB1430-AD24-47E7-AA1A-E9A3491D2420}">
      <text>
        <r>
          <rPr>
            <b/>
            <sz val="9"/>
            <color indexed="81"/>
            <rFont val="Tahoma"/>
            <family val="2"/>
          </rPr>
          <t>299 Art. 4016  OC. 11475</t>
        </r>
      </text>
    </comment>
    <comment ref="D13" authorId="0" shapeId="0" xr:uid="{1DDF0424-3126-47BD-902F-7BAC63574536}">
      <text>
        <r>
          <rPr>
            <b/>
            <sz val="9"/>
            <color indexed="81"/>
            <rFont val="Tahoma"/>
            <family val="2"/>
          </rPr>
          <t xml:space="preserve">150 Art. 4001 OC </t>
        </r>
        <r>
          <rPr>
            <b/>
            <sz val="9"/>
            <color indexed="81"/>
            <rFont val="Tahoma"/>
            <family val="2"/>
          </rPr>
          <t>11482</t>
        </r>
      </text>
    </comment>
    <comment ref="F13" authorId="0" shapeId="0" xr:uid="{23E28C3C-3384-4F1D-A6F8-42A14E49158A}">
      <text>
        <r>
          <rPr>
            <b/>
            <sz val="9"/>
            <color indexed="81"/>
            <rFont val="Tahoma"/>
            <family val="2"/>
          </rPr>
          <t>202 Art. 4125 corte 11474
100 Art. 4010 corte 11476</t>
        </r>
        <r>
          <rPr>
            <sz val="9"/>
            <color indexed="81"/>
            <rFont val="Tahoma"/>
            <family val="2"/>
          </rPr>
          <t xml:space="preserve">
</t>
        </r>
      </text>
    </comment>
    <comment ref="D14" authorId="0" shapeId="0" xr:uid="{B18469DB-EA8A-43F8-BDEF-1D84C936948F}">
      <text>
        <r>
          <rPr>
            <b/>
            <sz val="9"/>
            <color indexed="81"/>
            <rFont val="Tahoma"/>
            <family val="2"/>
          </rPr>
          <t>Se terminó de tender y se cortó art. 4116 o/c 11484=602</t>
        </r>
        <r>
          <rPr>
            <sz val="9"/>
            <color indexed="81"/>
            <rFont val="Tahoma"/>
            <family val="2"/>
          </rPr>
          <t xml:space="preserve">
</t>
        </r>
      </text>
    </comment>
    <comment ref="F14" authorId="0" shapeId="0" xr:uid="{84B8680C-252E-40C4-AA4E-5C23FAAB80B3}">
      <text>
        <r>
          <rPr>
            <b/>
            <sz val="9"/>
            <color indexed="81"/>
            <rFont val="Tahoma"/>
            <family val="2"/>
          </rPr>
          <t>180 Dif. Art. 4010 corte 11476</t>
        </r>
        <r>
          <rPr>
            <sz val="9"/>
            <color indexed="81"/>
            <rFont val="Tahoma"/>
            <family val="2"/>
          </rPr>
          <t xml:space="preserve">
</t>
        </r>
      </text>
    </comment>
    <comment ref="D15" authorId="0" shapeId="0" xr:uid="{A18A1F63-194D-49D9-A489-FCE372897CC1}">
      <text>
        <r>
          <rPr>
            <b/>
            <sz val="9"/>
            <color indexed="81"/>
            <rFont val="Tahoma"/>
            <family val="2"/>
          </rPr>
          <t>290 Art.4012 o/c 11480</t>
        </r>
        <r>
          <rPr>
            <sz val="9"/>
            <color indexed="81"/>
            <rFont val="Tahoma"/>
            <family val="2"/>
          </rPr>
          <t xml:space="preserve">
  </t>
        </r>
        <r>
          <rPr>
            <b/>
            <sz val="9"/>
            <color indexed="81"/>
            <rFont val="Tahoma"/>
            <family val="2"/>
          </rPr>
          <t>54 Art.4064 o/c 11486</t>
        </r>
      </text>
    </comment>
    <comment ref="F15" authorId="0" shapeId="0" xr:uid="{559E68E2-5310-487B-A81F-B4BA95613BA0}">
      <text>
        <r>
          <rPr>
            <b/>
            <sz val="9"/>
            <color indexed="81"/>
            <rFont val="Tahoma"/>
            <family val="2"/>
          </rPr>
          <t>152 Art. 4080 OC 11478</t>
        </r>
        <r>
          <rPr>
            <sz val="9"/>
            <color indexed="81"/>
            <rFont val="Tahoma"/>
            <family val="2"/>
          </rPr>
          <t xml:space="preserve">
</t>
        </r>
      </text>
    </comment>
    <comment ref="N15" authorId="0" shapeId="0" xr:uid="{041E2E09-669B-458A-BA27-D0404723CDFF}">
      <text>
        <r>
          <rPr>
            <sz val="9"/>
            <color indexed="81"/>
            <rFont val="Tahoma"/>
            <family val="2"/>
          </rPr>
          <t xml:space="preserve">4023-01=71
</t>
        </r>
      </text>
    </comment>
    <comment ref="D19" authorId="0" shapeId="0" xr:uid="{FA3E3FEA-0558-47E3-9C63-41AF1887E58E}">
      <text>
        <r>
          <rPr>
            <sz val="9"/>
            <color indexed="81"/>
            <rFont val="Tahoma"/>
            <family val="2"/>
          </rPr>
          <t xml:space="preserve">298 Art. 4004 OC 11485
</t>
        </r>
      </text>
    </comment>
    <comment ref="F19" authorId="0" shapeId="0" xr:uid="{4C67D4FB-BACF-416E-96DE-7D0CF39EC432}">
      <text>
        <r>
          <rPr>
            <b/>
            <sz val="9"/>
            <color indexed="81"/>
            <rFont val="Tahoma"/>
            <family val="2"/>
          </rPr>
          <t>250 Art 4130 OC 11477</t>
        </r>
        <r>
          <rPr>
            <sz val="9"/>
            <color indexed="81"/>
            <rFont val="Tahoma"/>
            <family val="2"/>
          </rPr>
          <t xml:space="preserve">
</t>
        </r>
      </text>
    </comment>
    <comment ref="D20" authorId="0" shapeId="0" xr:uid="{98B01B15-0F2A-4555-B18F-F70E04D38DB4}">
      <text>
        <r>
          <rPr>
            <b/>
            <sz val="9"/>
            <color indexed="81"/>
            <rFont val="Tahoma"/>
            <family val="2"/>
          </rPr>
          <t>298 Forro art. 4004
602 Art. 4044 OC 11487</t>
        </r>
        <r>
          <rPr>
            <sz val="9"/>
            <color indexed="81"/>
            <rFont val="Tahoma"/>
            <family val="2"/>
          </rPr>
          <t xml:space="preserve">
</t>
        </r>
      </text>
    </comment>
    <comment ref="F20" authorId="0" shapeId="0" xr:uid="{BAD61C5D-7802-4881-9135-6E8975096A86}">
      <text>
        <r>
          <rPr>
            <sz val="9"/>
            <color indexed="81"/>
            <rFont val="Tahoma"/>
            <family val="2"/>
          </rPr>
          <t xml:space="preserve">347 Art. 4130 corte 11477
</t>
        </r>
      </text>
    </comment>
    <comment ref="D21" authorId="0" shapeId="0" xr:uid="{B6143749-BFEE-4E9A-BD68-6CE04DA223FB}">
      <text>
        <r>
          <rPr>
            <b/>
            <sz val="9"/>
            <color indexed="81"/>
            <rFont val="Tahoma"/>
            <family val="2"/>
          </rPr>
          <t>500 Art. 4122 OC 11488</t>
        </r>
        <r>
          <rPr>
            <sz val="9"/>
            <color indexed="81"/>
            <rFont val="Tahoma"/>
            <family val="2"/>
          </rPr>
          <t xml:space="preserve">
</t>
        </r>
      </text>
    </comment>
    <comment ref="F21" authorId="0" shapeId="0" xr:uid="{E4BC5272-7F4C-4C10-8EF8-A8EAB8201B8D}">
      <text>
        <r>
          <rPr>
            <b/>
            <sz val="9"/>
            <color indexed="81"/>
            <rFont val="Tahoma"/>
            <family val="2"/>
          </rPr>
          <t>150 Art. 4001 OC 11482
114 Art. 4106 OC 11479</t>
        </r>
        <r>
          <rPr>
            <sz val="9"/>
            <color indexed="81"/>
            <rFont val="Tahoma"/>
            <family val="2"/>
          </rPr>
          <t xml:space="preserve">
</t>
        </r>
      </text>
    </comment>
    <comment ref="F22" authorId="0" shapeId="0" xr:uid="{770DA5A8-E138-4C34-A424-845982520769}">
      <text>
        <r>
          <rPr>
            <b/>
            <sz val="9"/>
            <color indexed="81"/>
            <rFont val="Tahoma"/>
            <family val="2"/>
          </rPr>
          <t>290 Art 4012 OC 11480</t>
        </r>
        <r>
          <rPr>
            <sz val="9"/>
            <color indexed="81"/>
            <rFont val="Tahoma"/>
            <family val="2"/>
          </rPr>
          <t xml:space="preserve">
</t>
        </r>
      </text>
    </comment>
    <comment ref="D27" authorId="0" shapeId="0" xr:uid="{7FC21949-59AC-44C9-B477-504F4B96597A}">
      <text>
        <r>
          <rPr>
            <b/>
            <sz val="9"/>
            <color indexed="81"/>
            <rFont val="Tahoma"/>
            <family val="2"/>
          </rPr>
          <t xml:space="preserve">500 Art. 4165 OC 11483
</t>
        </r>
        <r>
          <rPr>
            <sz val="9"/>
            <color indexed="81"/>
            <rFont val="Tahoma"/>
            <family val="2"/>
          </rPr>
          <t xml:space="preserve">
</t>
        </r>
      </text>
    </comment>
    <comment ref="F27" authorId="0" shapeId="0" xr:uid="{2C350101-666F-41CE-A465-AF375FD2742A}">
      <text>
        <r>
          <rPr>
            <b/>
            <sz val="9"/>
            <color indexed="81"/>
            <rFont val="Tahoma"/>
            <family val="2"/>
          </rPr>
          <t xml:space="preserve">   54 Art. 4064 OC 11486</t>
        </r>
        <r>
          <rPr>
            <sz val="9"/>
            <color indexed="81"/>
            <rFont val="Tahoma"/>
            <family val="2"/>
          </rPr>
          <t xml:space="preserve">
</t>
        </r>
        <r>
          <rPr>
            <b/>
            <sz val="9"/>
            <color indexed="81"/>
            <rFont val="Tahoma"/>
            <family val="2"/>
          </rPr>
          <t>100 Art. 4116 OC 11484</t>
        </r>
      </text>
    </comment>
    <comment ref="D28" authorId="0" shapeId="0" xr:uid="{C9692714-79E1-4E88-AC03-606DF3820A19}">
      <text>
        <r>
          <rPr>
            <b/>
            <sz val="9"/>
            <color indexed="81"/>
            <rFont val="Tahoma"/>
            <family val="2"/>
          </rPr>
          <t>102 Art. 4165 OC 11483</t>
        </r>
        <r>
          <rPr>
            <sz val="9"/>
            <color indexed="81"/>
            <rFont val="Tahoma"/>
            <family val="2"/>
          </rPr>
          <t xml:space="preserve">
</t>
        </r>
      </text>
    </comment>
    <comment ref="F28" authorId="0" shapeId="0" xr:uid="{B7F8AF48-CA98-4A95-98BC-22F0C897A41D}">
      <text>
        <r>
          <rPr>
            <b/>
            <sz val="9"/>
            <color indexed="81"/>
            <rFont val="Tahoma"/>
            <family val="2"/>
          </rPr>
          <t>300 Art. 4116 OC 11484</t>
        </r>
        <r>
          <rPr>
            <sz val="9"/>
            <color indexed="81"/>
            <rFont val="Tahoma"/>
            <family val="2"/>
          </rPr>
          <t xml:space="preserve">
</t>
        </r>
      </text>
    </comment>
    <comment ref="D29" authorId="0" shapeId="0" xr:uid="{0FF707DB-C118-401F-9C89-B9C8FFAE860C}">
      <text>
        <r>
          <rPr>
            <b/>
            <sz val="9"/>
            <color indexed="81"/>
            <rFont val="Tahoma"/>
            <family val="2"/>
          </rPr>
          <t>300 Art 4021 OC 11490</t>
        </r>
        <r>
          <rPr>
            <sz val="9"/>
            <color indexed="81"/>
            <rFont val="Tahoma"/>
            <family val="2"/>
          </rPr>
          <t xml:space="preserve">
</t>
        </r>
      </text>
    </comment>
    <comment ref="F29" authorId="0" shapeId="0" xr:uid="{E01EE99C-3B10-4439-A684-BAF1D0D1F7EE}">
      <text>
        <r>
          <rPr>
            <b/>
            <sz val="9"/>
            <color indexed="81"/>
            <rFont val="Tahoma"/>
            <family val="2"/>
          </rPr>
          <t>202 Art. 4116 OC 11484</t>
        </r>
        <r>
          <rPr>
            <sz val="9"/>
            <color indexed="81"/>
            <rFont val="Tahoma"/>
            <family val="2"/>
          </rPr>
          <t xml:space="preserve">
</t>
        </r>
        <r>
          <rPr>
            <b/>
            <sz val="9"/>
            <color indexed="81"/>
            <rFont val="Tahoma"/>
            <family val="2"/>
          </rPr>
          <t>100 Art. 4124 OC 11489</t>
        </r>
      </text>
    </comment>
    <comment ref="H29" authorId="0" shapeId="0" xr:uid="{554F6558-CE9C-44CF-8A9A-3F96CCFD59B0}">
      <text>
        <r>
          <rPr>
            <b/>
            <sz val="9"/>
            <color indexed="81"/>
            <rFont val="Tahoma"/>
            <family val="2"/>
          </rPr>
          <t xml:space="preserve">234 Art 3-4072 OC 11471 </t>
        </r>
        <r>
          <rPr>
            <sz val="9"/>
            <color indexed="81"/>
            <rFont val="Tahoma"/>
            <family val="2"/>
          </rPr>
          <t xml:space="preserve">
</t>
        </r>
        <r>
          <rPr>
            <b/>
            <sz val="9"/>
            <color indexed="81"/>
            <rFont val="Tahoma"/>
            <family val="2"/>
          </rPr>
          <t>600 Art. 4121 OC 11472
600 Art. 4122 OC 11473</t>
        </r>
      </text>
    </comment>
    <comment ref="D30" authorId="0" shapeId="0" xr:uid="{96010D6F-FB57-441E-93A2-61F905C945A0}">
      <text>
        <r>
          <rPr>
            <b/>
            <sz val="9"/>
            <color indexed="81"/>
            <rFont val="Tahoma"/>
            <family val="2"/>
          </rPr>
          <t>138 Art. 4021 OC 11490</t>
        </r>
        <r>
          <rPr>
            <sz val="9"/>
            <color indexed="81"/>
            <rFont val="Tahoma"/>
            <family val="2"/>
          </rPr>
          <t xml:space="preserve">
</t>
        </r>
      </text>
    </comment>
    <comment ref="F30" authorId="0" shapeId="0" xr:uid="{BFBAFAD3-FF96-4EAE-9F32-E40DDDF1C8D4}">
      <text>
        <r>
          <rPr>
            <b/>
            <sz val="9"/>
            <color indexed="81"/>
            <rFont val="Tahoma"/>
            <family val="2"/>
          </rPr>
          <t>300 Art. 4124 OC 11489</t>
        </r>
        <r>
          <rPr>
            <sz val="9"/>
            <color indexed="81"/>
            <rFont val="Tahoma"/>
            <family val="2"/>
          </rPr>
          <t xml:space="preserve">
</t>
        </r>
      </text>
    </comment>
    <comment ref="W30" authorId="0" shapeId="0" xr:uid="{44694801-F338-45F1-9632-5417956D0718}">
      <text>
        <r>
          <rPr>
            <sz val="9"/>
            <color indexed="81"/>
            <rFont val="Tahoma"/>
            <family val="2"/>
          </rPr>
          <t xml:space="preserve">AM traslado de muebles. RCuevas
</t>
        </r>
      </text>
    </comment>
    <comment ref="D31" authorId="0" shapeId="0" xr:uid="{540C1EA5-C553-4660-98E3-9785BEA58517}">
      <text>
        <r>
          <rPr>
            <b/>
            <sz val="9"/>
            <color indexed="81"/>
            <rFont val="Tahoma"/>
            <family val="2"/>
          </rPr>
          <t>602 Art. 4155 OC 11493</t>
        </r>
        <r>
          <rPr>
            <sz val="9"/>
            <color indexed="81"/>
            <rFont val="Tahoma"/>
            <family val="2"/>
          </rPr>
          <t xml:space="preserve">
</t>
        </r>
      </text>
    </comment>
    <comment ref="F31" authorId="0" shapeId="0" xr:uid="{98EB5B88-0857-4762-876B-6F88ADE89D79}">
      <text>
        <r>
          <rPr>
            <b/>
            <sz val="9"/>
            <color indexed="81"/>
            <rFont val="Tahoma"/>
            <family val="2"/>
          </rPr>
          <t>100 Art 4124
200 Art 4044 OC 11487</t>
        </r>
        <r>
          <rPr>
            <sz val="9"/>
            <color indexed="81"/>
            <rFont val="Tahoma"/>
            <family val="2"/>
          </rPr>
          <t xml:space="preserve">
</t>
        </r>
      </text>
    </comment>
    <comment ref="D32" authorId="0" shapeId="0" xr:uid="{F0F8D964-3261-483C-AFD4-A6D7BE6DD61F}">
      <text>
        <r>
          <rPr>
            <b/>
            <sz val="9"/>
            <color indexed="81"/>
            <rFont val="Tahoma"/>
            <family val="2"/>
          </rPr>
          <t>452 Art. 4137 OC 11492</t>
        </r>
        <r>
          <rPr>
            <sz val="9"/>
            <color indexed="81"/>
            <rFont val="Tahoma"/>
            <family val="2"/>
          </rPr>
          <t xml:space="preserve">
</t>
        </r>
      </text>
    </comment>
    <comment ref="D35" authorId="0" shapeId="0" xr:uid="{5F013C25-3F21-4DE5-A93B-3FCE4207E84A}">
      <text>
        <r>
          <rPr>
            <b/>
            <sz val="9"/>
            <color indexed="81"/>
            <rFont val="Tahoma"/>
            <family val="2"/>
          </rPr>
          <t xml:space="preserve">140 Art. 4110 </t>
        </r>
        <r>
          <rPr>
            <sz val="9"/>
            <color indexed="81"/>
            <rFont val="Tahoma"/>
            <family val="2"/>
          </rPr>
          <t xml:space="preserve">
</t>
        </r>
      </text>
    </comment>
    <comment ref="F35" authorId="0" shapeId="0" xr:uid="{C1913C80-2B15-41EA-B79A-2C9F3118FD31}">
      <text>
        <r>
          <rPr>
            <b/>
            <sz val="9"/>
            <color indexed="81"/>
            <rFont val="Tahoma"/>
            <family val="2"/>
          </rPr>
          <t>300 Art. 4044 OC 11487</t>
        </r>
        <r>
          <rPr>
            <sz val="9"/>
            <color indexed="81"/>
            <rFont val="Tahoma"/>
            <family val="2"/>
          </rPr>
          <t xml:space="preserve">
</t>
        </r>
      </text>
    </comment>
    <comment ref="D36" authorId="0" shapeId="0" xr:uid="{ECAB6CA1-CF67-44CC-B7A6-D77E509722B7}">
      <text>
        <r>
          <rPr>
            <b/>
            <sz val="9"/>
            <color indexed="81"/>
            <rFont val="Tahoma"/>
            <family val="2"/>
          </rPr>
          <t>462 Art. 4110 OC 11491</t>
        </r>
        <r>
          <rPr>
            <sz val="9"/>
            <color indexed="81"/>
            <rFont val="Tahoma"/>
            <family val="2"/>
          </rPr>
          <t xml:space="preserve">
</t>
        </r>
      </text>
    </comment>
    <comment ref="F36" authorId="0" shapeId="0" xr:uid="{36095176-1806-44BC-B9ED-8AB4E4A063D7}">
      <text>
        <r>
          <rPr>
            <b/>
            <sz val="9"/>
            <color indexed="81"/>
            <rFont val="Tahoma"/>
            <family val="2"/>
          </rPr>
          <t>100 Art. 4044  OC 11487</t>
        </r>
        <r>
          <rPr>
            <sz val="9"/>
            <color indexed="81"/>
            <rFont val="Tahoma"/>
            <family val="2"/>
          </rPr>
          <t xml:space="preserve">
</t>
        </r>
        <r>
          <rPr>
            <b/>
            <sz val="9"/>
            <color indexed="81"/>
            <rFont val="Tahoma"/>
            <family val="2"/>
          </rPr>
          <t>350 Art. 4165 OC 11483</t>
        </r>
      </text>
    </comment>
    <comment ref="D37" authorId="0" shapeId="0" xr:uid="{37A91B7D-7C9D-444D-B3E6-7D5EC234931D}">
      <text>
        <r>
          <rPr>
            <b/>
            <sz val="9"/>
            <color indexed="81"/>
            <rFont val="Tahoma"/>
            <family val="2"/>
          </rPr>
          <t>608 Art. 4100 OC 11494</t>
        </r>
        <r>
          <rPr>
            <sz val="9"/>
            <color indexed="81"/>
            <rFont val="Tahoma"/>
            <family val="2"/>
          </rPr>
          <t xml:space="preserve">
</t>
        </r>
      </text>
    </comment>
    <comment ref="F37" authorId="0" shapeId="0" xr:uid="{8FD63ECF-F7CA-4F46-8926-27EC47976B05}">
      <text>
        <r>
          <rPr>
            <b/>
            <sz val="9"/>
            <color indexed="81"/>
            <rFont val="Tahoma"/>
            <family val="2"/>
          </rPr>
          <t>252 Art. 4165 OC 11483
200 Art. 4155 OC 11493</t>
        </r>
        <r>
          <rPr>
            <sz val="9"/>
            <color indexed="81"/>
            <rFont val="Tahoma"/>
            <family val="2"/>
          </rPr>
          <t xml:space="preserve">
</t>
        </r>
      </text>
    </comment>
    <comment ref="D38" authorId="0" shapeId="0" xr:uid="{BF9D7DD4-62A8-4EC5-89EE-D591D47D8F4E}">
      <text>
        <r>
          <rPr>
            <b/>
            <sz val="9"/>
            <color indexed="81"/>
            <rFont val="Tahoma"/>
            <family val="2"/>
          </rPr>
          <t>508 Art 4169-01 OC 11494</t>
        </r>
        <r>
          <rPr>
            <sz val="9"/>
            <color indexed="81"/>
            <rFont val="Tahoma"/>
            <family val="2"/>
          </rPr>
          <t xml:space="preserve">
</t>
        </r>
      </text>
    </comment>
    <comment ref="F38" authorId="0" shapeId="0" xr:uid="{4E02F00B-FB7D-4E0C-A419-BCE5650EFDF7}">
      <text>
        <r>
          <rPr>
            <b/>
            <sz val="9"/>
            <color indexed="81"/>
            <rFont val="Tahoma"/>
            <family val="2"/>
          </rPr>
          <t xml:space="preserve">402 Art. 4155 OC 11493
</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Angelica Gonzalez</author>
  </authors>
  <commentList>
    <comment ref="D5" authorId="0" shapeId="0" xr:uid="{D3D00DB1-2A0A-41C4-BE11-F3E75EE04902}">
      <text>
        <r>
          <rPr>
            <b/>
            <sz val="9"/>
            <color indexed="81"/>
            <rFont val="Tahoma"/>
            <family val="2"/>
          </rPr>
          <t>529 Art. 4166 OC 11498</t>
        </r>
        <r>
          <rPr>
            <sz val="9"/>
            <color indexed="81"/>
            <rFont val="Tahoma"/>
            <family val="2"/>
          </rPr>
          <t xml:space="preserve">
</t>
        </r>
        <r>
          <rPr>
            <b/>
            <sz val="9"/>
            <color indexed="81"/>
            <rFont val="Tahoma"/>
            <family val="2"/>
          </rPr>
          <t>420 Art. 4015 OC 11499</t>
        </r>
      </text>
    </comment>
    <comment ref="D8" authorId="0" shapeId="0" xr:uid="{1229C36F-DF3C-4153-9EEF-433457761AD6}">
      <text>
        <r>
          <rPr>
            <b/>
            <sz val="9"/>
            <color indexed="81"/>
            <rFont val="Tahoma"/>
            <family val="2"/>
          </rPr>
          <t>126 Art. 4008 OC 11447</t>
        </r>
        <r>
          <rPr>
            <sz val="9"/>
            <color indexed="81"/>
            <rFont val="Tahoma"/>
            <family val="2"/>
          </rPr>
          <t xml:space="preserve">
 </t>
        </r>
        <r>
          <rPr>
            <b/>
            <sz val="9"/>
            <color indexed="81"/>
            <rFont val="Tahoma"/>
            <family val="2"/>
          </rPr>
          <t>56 Art. 4012 OC 11496</t>
        </r>
      </text>
    </comment>
    <comment ref="F8" authorId="0" shapeId="0" xr:uid="{55372EA5-E7C5-4EF6-BD70-73FE40ED0380}">
      <text>
        <r>
          <rPr>
            <b/>
            <sz val="9"/>
            <color indexed="81"/>
            <rFont val="Tahoma"/>
            <family val="2"/>
          </rPr>
          <t xml:space="preserve">150 Art 4137 OC 11492
</t>
        </r>
      </text>
    </comment>
    <comment ref="D9" authorId="0" shapeId="0" xr:uid="{EF50CB82-C7FF-4893-B652-D9B960177D86}">
      <text>
        <r>
          <rPr>
            <b/>
            <sz val="9"/>
            <color indexed="81"/>
            <rFont val="Tahoma"/>
            <family val="2"/>
          </rPr>
          <t>502 Art. 4166 OC 11501</t>
        </r>
        <r>
          <rPr>
            <sz val="9"/>
            <color indexed="81"/>
            <rFont val="Tahoma"/>
            <family val="2"/>
          </rPr>
          <t xml:space="preserve">
</t>
        </r>
      </text>
    </comment>
    <comment ref="F9" authorId="0" shapeId="0" xr:uid="{EC135705-58C8-4711-8C50-2EA324DE083B}">
      <text>
        <r>
          <rPr>
            <b/>
            <sz val="9"/>
            <color indexed="81"/>
            <rFont val="Tahoma"/>
            <family val="2"/>
          </rPr>
          <t>302 Art 4137 OC 11492</t>
        </r>
        <r>
          <rPr>
            <sz val="9"/>
            <color indexed="81"/>
            <rFont val="Tahoma"/>
            <family val="2"/>
          </rPr>
          <t xml:space="preserve">
</t>
        </r>
      </text>
    </comment>
    <comment ref="D10" authorId="0" shapeId="0" xr:uid="{F176FB15-3867-4C48-B3AE-1A6174954FF3}">
      <text>
        <r>
          <rPr>
            <b/>
            <sz val="9"/>
            <color indexed="81"/>
            <rFont val="Tahoma"/>
            <family val="2"/>
          </rPr>
          <t>501 Art. 4113 OC 11502</t>
        </r>
        <r>
          <rPr>
            <sz val="9"/>
            <color indexed="81"/>
            <rFont val="Tahoma"/>
            <family val="2"/>
          </rPr>
          <t xml:space="preserve">
</t>
        </r>
      </text>
    </comment>
    <comment ref="F10" authorId="0" shapeId="0" xr:uid="{630383DE-2BBF-44C4-B936-7A488555A84D}">
      <text>
        <r>
          <rPr>
            <b/>
            <sz val="9"/>
            <color indexed="81"/>
            <rFont val="Tahoma"/>
            <family val="2"/>
          </rPr>
          <t>250 Art. 4169 OC 11494</t>
        </r>
        <r>
          <rPr>
            <sz val="9"/>
            <color indexed="81"/>
            <rFont val="Tahoma"/>
            <family val="2"/>
          </rPr>
          <t xml:space="preserve">
</t>
        </r>
      </text>
    </comment>
    <comment ref="F11" authorId="0" shapeId="0" xr:uid="{A434B44D-1656-4EB2-846C-64FF5A50F16E}">
      <text>
        <r>
          <rPr>
            <b/>
            <sz val="9"/>
            <color indexed="81"/>
            <rFont val="Tahoma"/>
            <family val="2"/>
          </rPr>
          <t xml:space="preserve">358 Art. 4169 </t>
        </r>
        <r>
          <rPr>
            <sz val="9"/>
            <color indexed="81"/>
            <rFont val="Tahoma"/>
            <family val="2"/>
          </rPr>
          <t xml:space="preserve">
</t>
        </r>
      </text>
    </comment>
    <comment ref="F12" authorId="0" shapeId="0" xr:uid="{946386D9-B026-4CDC-9546-E0E215E73DF7}">
      <text>
        <r>
          <rPr>
            <b/>
            <sz val="9"/>
            <color indexed="81"/>
            <rFont val="Tahoma"/>
            <family val="2"/>
          </rPr>
          <t xml:space="preserve">150 Art. 4015 OC 11499
</t>
        </r>
        <r>
          <rPr>
            <sz val="9"/>
            <color indexed="81"/>
            <rFont val="Tahoma"/>
            <family val="2"/>
          </rPr>
          <t xml:space="preserve">
</t>
        </r>
      </text>
    </comment>
    <comment ref="D13" authorId="0" shapeId="0" xr:uid="{498C371D-6E34-42D6-A1FD-03C9DBE3896E}">
      <text>
        <r>
          <rPr>
            <b/>
            <sz val="9"/>
            <color indexed="81"/>
            <rFont val="Tahoma"/>
            <family val="2"/>
          </rPr>
          <t>602 Art. 4109 OC 11503</t>
        </r>
      </text>
    </comment>
    <comment ref="D17" authorId="0" shapeId="0" xr:uid="{7D9AC082-2D43-46E4-8ED4-FEB7B8BF0D2C}">
      <text>
        <r>
          <rPr>
            <b/>
            <sz val="9"/>
            <color indexed="81"/>
            <rFont val="Tahoma"/>
            <family val="2"/>
          </rPr>
          <t>608 Art. 4170  OC 11504</t>
        </r>
      </text>
    </comment>
    <comment ref="F17" authorId="0" shapeId="0" xr:uid="{ABF05DD3-C2E1-43B2-8372-4820B6E71930}">
      <text>
        <r>
          <rPr>
            <b/>
            <sz val="9"/>
            <color indexed="81"/>
            <rFont val="Tahoma"/>
            <family val="2"/>
          </rPr>
          <t>126 Art. 4008 OC 11497
  56 Art. 4012 OC 11496
150 Art. 4113 OC 11502</t>
        </r>
      </text>
    </comment>
    <comment ref="D18" authorId="0" shapeId="0" xr:uid="{E7708DA9-E07C-4AB9-AE81-1F7A2F9CB86F}">
      <text>
        <r>
          <rPr>
            <b/>
            <sz val="9"/>
            <color indexed="81"/>
            <rFont val="Tahoma"/>
            <family val="2"/>
          </rPr>
          <t>500 Art. 4168  OC 11505</t>
        </r>
      </text>
    </comment>
    <comment ref="F18" authorId="0" shapeId="0" xr:uid="{97858DA6-0400-4747-A424-2AE2CDFF08DB}">
      <text>
        <r>
          <rPr>
            <b/>
            <sz val="9"/>
            <color indexed="81"/>
            <rFont val="Tahoma"/>
            <family val="2"/>
          </rPr>
          <t>351 Art. 4113 OC 11502</t>
        </r>
        <r>
          <rPr>
            <sz val="9"/>
            <color indexed="81"/>
            <rFont val="Tahoma"/>
            <family val="2"/>
          </rPr>
          <t xml:space="preserve">
</t>
        </r>
      </text>
    </comment>
    <comment ref="D19" authorId="0" shapeId="0" xr:uid="{B5E5D91F-EEF3-418B-A61C-C499372CFC6B}">
      <text>
        <r>
          <rPr>
            <b/>
            <sz val="9"/>
            <color indexed="81"/>
            <rFont val="Tahoma"/>
            <family val="2"/>
          </rPr>
          <t>500 Art. 4168  OC 11505</t>
        </r>
        <r>
          <rPr>
            <sz val="9"/>
            <color indexed="81"/>
            <rFont val="Tahoma"/>
            <family val="2"/>
          </rPr>
          <t xml:space="preserve">
</t>
        </r>
      </text>
    </comment>
    <comment ref="F19" authorId="0" shapeId="0" xr:uid="{A2C5BAB5-1C1C-4EDC-8FB9-1FDEA3B47506}">
      <text>
        <r>
          <rPr>
            <b/>
            <sz val="9"/>
            <color indexed="81"/>
            <rFont val="Tahoma"/>
            <family val="2"/>
          </rPr>
          <t>200 Art. 4109 OC 11503</t>
        </r>
        <r>
          <rPr>
            <sz val="9"/>
            <color indexed="81"/>
            <rFont val="Tahoma"/>
            <family val="2"/>
          </rPr>
          <t xml:space="preserve">
</t>
        </r>
      </text>
    </comment>
    <comment ref="D20" authorId="0" shapeId="0" xr:uid="{0E26740A-1FB4-4E36-8CF2-5F069FD26AB4}">
      <text>
        <r>
          <rPr>
            <b/>
            <sz val="9"/>
            <color indexed="81"/>
            <rFont val="Tahoma"/>
            <family val="2"/>
          </rPr>
          <t>522 Art. 4136 OC 11506</t>
        </r>
        <r>
          <rPr>
            <sz val="9"/>
            <color indexed="81"/>
            <rFont val="Tahoma"/>
            <family val="2"/>
          </rPr>
          <t xml:space="preserve">
</t>
        </r>
      </text>
    </comment>
    <comment ref="F20" authorId="0" shapeId="0" xr:uid="{B6719089-3505-4B17-8B41-3951B086AD4E}">
      <text>
        <r>
          <rPr>
            <b/>
            <sz val="9"/>
            <color indexed="81"/>
            <rFont val="Tahoma"/>
            <family val="2"/>
          </rPr>
          <t>300 Art. 4109 OC 11503</t>
        </r>
        <r>
          <rPr>
            <sz val="9"/>
            <color indexed="81"/>
            <rFont val="Tahoma"/>
            <family val="2"/>
          </rPr>
          <t xml:space="preserve">
</t>
        </r>
      </text>
    </comment>
    <comment ref="F24" authorId="0" shapeId="0" xr:uid="{D1DA2C9F-45A5-4708-B38D-D02BA1882026}">
      <text>
        <r>
          <rPr>
            <b/>
            <sz val="9"/>
            <color indexed="81"/>
            <rFont val="Tahoma"/>
            <family val="2"/>
          </rPr>
          <t xml:space="preserve">102 Art. 4109 OC 11503
200 Art. 4170 OC 11504 </t>
        </r>
      </text>
    </comment>
    <comment ref="F25" authorId="0" shapeId="0" xr:uid="{87A8B3AE-9FF1-4E39-98A1-4128F768EFA0}">
      <text>
        <r>
          <rPr>
            <b/>
            <sz val="9"/>
            <color indexed="81"/>
            <rFont val="Tahoma"/>
            <family val="2"/>
          </rPr>
          <t>308 Art. 4170 OC 11504</t>
        </r>
        <r>
          <rPr>
            <sz val="9"/>
            <color indexed="81"/>
            <rFont val="Tahoma"/>
            <family val="2"/>
          </rPr>
          <t xml:space="preserve">
</t>
        </r>
      </text>
    </comment>
    <comment ref="D26" authorId="0" shapeId="0" xr:uid="{FE2FE405-2CA7-4371-A097-10550B23374E}">
      <text>
        <r>
          <rPr>
            <b/>
            <sz val="9"/>
            <color indexed="81"/>
            <rFont val="Tahoma"/>
            <family val="2"/>
          </rPr>
          <t>562 Art. 4201 OC 11507</t>
        </r>
        <r>
          <rPr>
            <sz val="9"/>
            <color indexed="81"/>
            <rFont val="Tahoma"/>
            <family val="2"/>
          </rPr>
          <t xml:space="preserve">
</t>
        </r>
      </text>
    </comment>
    <comment ref="F26" authorId="0" shapeId="0" xr:uid="{A5DAF0E8-BE44-4901-AA5A-6D12A637B766}">
      <text>
        <r>
          <rPr>
            <b/>
            <sz val="9"/>
            <color indexed="81"/>
            <rFont val="Tahoma"/>
            <family val="2"/>
          </rPr>
          <t>100 Art. 4170 OC 11504
200 Art. 4136 OC 11505</t>
        </r>
      </text>
    </comment>
    <comment ref="W27" authorId="0" shapeId="0" xr:uid="{3D98D49B-667E-4177-BB55-DBB13E8B7975}">
      <text>
        <r>
          <rPr>
            <sz val="9"/>
            <color indexed="81"/>
            <rFont val="Tahoma"/>
            <family val="2"/>
          </rPr>
          <t xml:space="preserve">AM traslado de muebles. RCuevas
</t>
        </r>
      </text>
    </comment>
    <comment ref="A42" authorId="0" shapeId="0" xr:uid="{58FF4A6D-BC85-45FD-85D0-8D8A55458DA4}">
      <text>
        <r>
          <rPr>
            <b/>
            <sz val="9"/>
            <color indexed="81"/>
            <rFont val="Tahoma"/>
            <family val="2"/>
          </rPr>
          <t xml:space="preserve">2️⃣ Indicador 2: AVANCE A LA FECHA (vs Calendario Laboral)
👉 Representa: </t>
        </r>
        <r>
          <rPr>
            <sz val="9"/>
            <color indexed="81"/>
            <rFont val="Tahoma"/>
            <family val="2"/>
          </rPr>
          <t xml:space="preserve">Si la producción acumulada corresponde, excede o está por debajo del nivel que deberíamos tener según los días hábiles consumidos.
</t>
        </r>
      </text>
    </comment>
    <comment ref="A43" authorId="0" shapeId="0" xr:uid="{98804FCE-DC78-45C1-BA8E-ED60E376184C}">
      <text>
        <r>
          <rPr>
            <b/>
            <sz val="9"/>
            <color indexed="81"/>
            <rFont val="Tahoma"/>
            <family val="2"/>
          </rPr>
          <t>1️⃣</t>
        </r>
        <r>
          <rPr>
            <sz val="9"/>
            <color indexed="81"/>
            <rFont val="Tahoma"/>
            <family val="2"/>
          </rPr>
          <t xml:space="preserve"> </t>
        </r>
        <r>
          <rPr>
            <b/>
            <sz val="9"/>
            <color indexed="81"/>
            <rFont val="Tahoma"/>
            <family val="2"/>
          </rPr>
          <t>Indicador 1:</t>
        </r>
        <r>
          <rPr>
            <sz val="9"/>
            <color indexed="81"/>
            <rFont val="Tahoma"/>
            <family val="2"/>
          </rPr>
          <t xml:space="preserve"> </t>
        </r>
        <r>
          <rPr>
            <b/>
            <sz val="9"/>
            <color indexed="81"/>
            <rFont val="Tahoma"/>
            <family val="2"/>
          </rPr>
          <t>CUMPLIMIENTO MENSUAL</t>
        </r>
        <r>
          <rPr>
            <sz val="9"/>
            <color indexed="81"/>
            <rFont val="Tahoma"/>
            <family val="2"/>
          </rPr>
          <t xml:space="preserve"> (vs Meta Total)
👉 </t>
        </r>
        <r>
          <rPr>
            <b/>
            <sz val="9"/>
            <color indexed="81"/>
            <rFont val="Tahoma"/>
            <family val="2"/>
          </rPr>
          <t>Representa:</t>
        </r>
        <r>
          <rPr>
            <sz val="9"/>
            <color indexed="81"/>
            <rFont val="Tahoma"/>
            <family val="2"/>
          </rPr>
          <t xml:space="preserve"> Cuánto del objetivo total del mes ya está logrado, sin importar cuántos días han transcurrido.
</t>
        </r>
      </text>
    </comment>
    <comment ref="A44" authorId="0" shapeId="0" xr:uid="{A12FB8A4-2F3D-48F3-A89A-63BFAE8B5E51}">
      <text>
        <r>
          <rPr>
            <b/>
            <sz val="9"/>
            <color indexed="81"/>
            <rFont val="Tahoma"/>
            <family val="2"/>
          </rPr>
          <t>(Acumulado / días hábiles transcurridos)* días hábiles mes</t>
        </r>
        <r>
          <rPr>
            <sz val="9"/>
            <color indexed="81"/>
            <rFont val="Tahoma"/>
            <family val="2"/>
          </rPr>
          <t xml:space="preserve">
</t>
        </r>
      </text>
    </comment>
    <comment ref="A45" authorId="0" shapeId="0" xr:uid="{2C119A4F-DA3B-4A2B-9988-9CC6F5E60D17}">
      <text>
        <r>
          <rPr>
            <b/>
            <sz val="9"/>
            <color indexed="81"/>
            <rFont val="Tahoma"/>
            <family val="2"/>
          </rPr>
          <t>(Meta mes-acumulado)</t>
        </r>
        <r>
          <rPr>
            <sz val="9"/>
            <color indexed="81"/>
            <rFont val="Tahoma"/>
            <family val="2"/>
          </rPr>
          <t xml:space="preserve">
</t>
        </r>
      </text>
    </comment>
    <comment ref="A46" authorId="0" shapeId="0" xr:uid="{D70951BC-18EE-4F19-B1F0-3D3FE38EEB75}">
      <text>
        <r>
          <rPr>
            <sz val="9"/>
            <color indexed="81"/>
            <rFont val="Tahoma"/>
            <family val="2"/>
          </rPr>
          <t xml:space="preserve">(faltante meta mensual/días hábiles restantes del mes)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Angelica Gonzalez</author>
  </authors>
  <commentList>
    <comment ref="D4" authorId="0" shapeId="0" xr:uid="{4C3C83E5-401B-4D6A-9005-1D251145D74E}">
      <text>
        <r>
          <rPr>
            <b/>
            <sz val="9"/>
            <color indexed="81"/>
            <rFont val="Tahoma"/>
            <family val="2"/>
          </rPr>
          <t>529 Art. 4166 OC 11498</t>
        </r>
        <r>
          <rPr>
            <sz val="9"/>
            <color indexed="81"/>
            <rFont val="Tahoma"/>
            <family val="2"/>
          </rPr>
          <t xml:space="preserve">
</t>
        </r>
        <r>
          <rPr>
            <b/>
            <sz val="9"/>
            <color indexed="81"/>
            <rFont val="Tahoma"/>
            <family val="2"/>
          </rPr>
          <t>420 Art. 4015 OC 11499</t>
        </r>
      </text>
    </comment>
    <comment ref="D7" authorId="0" shapeId="0" xr:uid="{7F684FDE-CEB6-49BA-9F07-91E738A58AB6}">
      <text>
        <r>
          <rPr>
            <b/>
            <sz val="9"/>
            <color indexed="81"/>
            <rFont val="Tahoma"/>
            <family val="2"/>
          </rPr>
          <t>126 Art. 4008 OC 11447</t>
        </r>
        <r>
          <rPr>
            <sz val="9"/>
            <color indexed="81"/>
            <rFont val="Tahoma"/>
            <family val="2"/>
          </rPr>
          <t xml:space="preserve">
 </t>
        </r>
        <r>
          <rPr>
            <b/>
            <sz val="9"/>
            <color indexed="81"/>
            <rFont val="Tahoma"/>
            <family val="2"/>
          </rPr>
          <t>56 Art. 4012 OC 11496</t>
        </r>
      </text>
    </comment>
    <comment ref="E7" authorId="0" shapeId="0" xr:uid="{4FC995D1-38D3-4A51-BD9A-0622C2322F6D}">
      <text>
        <r>
          <rPr>
            <b/>
            <sz val="9"/>
            <color indexed="81"/>
            <rFont val="Tahoma"/>
            <family val="2"/>
          </rPr>
          <t xml:space="preserve">150 Art 4137 OC 11492
</t>
        </r>
      </text>
    </comment>
    <comment ref="D8" authorId="0" shapeId="0" xr:uid="{3589CFDC-6682-47D5-BCB7-7F28BD1B68ED}">
      <text>
        <r>
          <rPr>
            <b/>
            <sz val="9"/>
            <color indexed="81"/>
            <rFont val="Tahoma"/>
            <family val="2"/>
          </rPr>
          <t>502 Art. 4166 OC 11501</t>
        </r>
        <r>
          <rPr>
            <sz val="9"/>
            <color indexed="81"/>
            <rFont val="Tahoma"/>
            <family val="2"/>
          </rPr>
          <t xml:space="preserve">
</t>
        </r>
      </text>
    </comment>
    <comment ref="E8" authorId="0" shapeId="0" xr:uid="{8D8178A6-6799-4EBF-829C-2B38CC048E87}">
      <text>
        <r>
          <rPr>
            <b/>
            <sz val="9"/>
            <color indexed="81"/>
            <rFont val="Tahoma"/>
            <family val="2"/>
          </rPr>
          <t>302 Art 4137 OC 11492</t>
        </r>
        <r>
          <rPr>
            <sz val="9"/>
            <color indexed="81"/>
            <rFont val="Tahoma"/>
            <family val="2"/>
          </rPr>
          <t xml:space="preserve">
</t>
        </r>
      </text>
    </comment>
    <comment ref="D9" authorId="0" shapeId="0" xr:uid="{E2FA36F0-3A9E-4084-BBED-309D67E98021}">
      <text>
        <r>
          <rPr>
            <b/>
            <sz val="9"/>
            <color indexed="81"/>
            <rFont val="Tahoma"/>
            <family val="2"/>
          </rPr>
          <t>501 Art. 4113 OC 11502</t>
        </r>
        <r>
          <rPr>
            <sz val="9"/>
            <color indexed="81"/>
            <rFont val="Tahoma"/>
            <family val="2"/>
          </rPr>
          <t xml:space="preserve">
</t>
        </r>
      </text>
    </comment>
    <comment ref="E9" authorId="0" shapeId="0" xr:uid="{939F6A7F-35D3-47AD-9622-CFE746B08A0E}">
      <text>
        <r>
          <rPr>
            <b/>
            <sz val="9"/>
            <color indexed="81"/>
            <rFont val="Tahoma"/>
            <family val="2"/>
          </rPr>
          <t>250 Art. 4169 OC 11494</t>
        </r>
        <r>
          <rPr>
            <sz val="9"/>
            <color indexed="81"/>
            <rFont val="Tahoma"/>
            <family val="2"/>
          </rPr>
          <t xml:space="preserve">
</t>
        </r>
      </text>
    </comment>
    <comment ref="E10" authorId="0" shapeId="0" xr:uid="{D9BE5033-82C0-4F2D-9C65-C1342454E661}">
      <text>
        <r>
          <rPr>
            <b/>
            <sz val="9"/>
            <color indexed="81"/>
            <rFont val="Tahoma"/>
            <family val="2"/>
          </rPr>
          <t xml:space="preserve">358 Art. 4169 </t>
        </r>
        <r>
          <rPr>
            <sz val="9"/>
            <color indexed="81"/>
            <rFont val="Tahoma"/>
            <family val="2"/>
          </rPr>
          <t xml:space="preserve">
</t>
        </r>
      </text>
    </comment>
    <comment ref="E11" authorId="0" shapeId="0" xr:uid="{7C998494-03ED-4E69-8E46-40561213E518}">
      <text>
        <r>
          <rPr>
            <b/>
            <sz val="9"/>
            <color indexed="81"/>
            <rFont val="Tahoma"/>
            <family val="2"/>
          </rPr>
          <t xml:space="preserve">150 Art. 4015 OC 11499
</t>
        </r>
        <r>
          <rPr>
            <sz val="9"/>
            <color indexed="81"/>
            <rFont val="Tahoma"/>
            <family val="2"/>
          </rPr>
          <t xml:space="preserve">
</t>
        </r>
      </text>
    </comment>
    <comment ref="D12" authorId="0" shapeId="0" xr:uid="{CC11BC41-D544-4098-B581-B606FB0CF718}">
      <text>
        <r>
          <rPr>
            <b/>
            <sz val="9"/>
            <color indexed="81"/>
            <rFont val="Tahoma"/>
            <family val="2"/>
          </rPr>
          <t>602 Art. 4109 OC 11503</t>
        </r>
      </text>
    </comment>
    <comment ref="D16" authorId="0" shapeId="0" xr:uid="{1F50A70D-F37F-427B-B354-3EB45F2DD6C1}">
      <text>
        <r>
          <rPr>
            <b/>
            <sz val="9"/>
            <color indexed="81"/>
            <rFont val="Tahoma"/>
            <family val="2"/>
          </rPr>
          <t>608 Art. 4170  OC 11504</t>
        </r>
      </text>
    </comment>
    <comment ref="E16" authorId="0" shapeId="0" xr:uid="{657CB82D-FE1F-461F-A91E-03B10CD20723}">
      <text>
        <r>
          <rPr>
            <b/>
            <sz val="9"/>
            <color indexed="81"/>
            <rFont val="Tahoma"/>
            <family val="2"/>
          </rPr>
          <t>126 Art. 4008 OC 11497
  56 Art. 4012 OC 11496
150 Art. 4113 OC 11502</t>
        </r>
      </text>
    </comment>
    <comment ref="D17" authorId="0" shapeId="0" xr:uid="{2EF35797-C9B0-4AFE-925E-3337A2CF927C}">
      <text>
        <r>
          <rPr>
            <b/>
            <sz val="9"/>
            <color indexed="81"/>
            <rFont val="Tahoma"/>
            <family val="2"/>
          </rPr>
          <t>500 Art. 4168  OC 11505</t>
        </r>
      </text>
    </comment>
    <comment ref="E17" authorId="0" shapeId="0" xr:uid="{FEEE0342-1B7C-46A4-A192-8005E835ACAB}">
      <text>
        <r>
          <rPr>
            <b/>
            <sz val="9"/>
            <color indexed="81"/>
            <rFont val="Tahoma"/>
            <family val="2"/>
          </rPr>
          <t>351 Art. 4113 OC 11502</t>
        </r>
        <r>
          <rPr>
            <sz val="9"/>
            <color indexed="81"/>
            <rFont val="Tahoma"/>
            <family val="2"/>
          </rPr>
          <t xml:space="preserve">
</t>
        </r>
      </text>
    </comment>
    <comment ref="D18" authorId="0" shapeId="0" xr:uid="{69F63C98-C906-4748-8226-CEEE3D53BC2C}">
      <text>
        <r>
          <rPr>
            <b/>
            <sz val="9"/>
            <color indexed="81"/>
            <rFont val="Tahoma"/>
            <family val="2"/>
          </rPr>
          <t>500 Art. 4168  OC 11505</t>
        </r>
        <r>
          <rPr>
            <sz val="9"/>
            <color indexed="81"/>
            <rFont val="Tahoma"/>
            <family val="2"/>
          </rPr>
          <t xml:space="preserve">
</t>
        </r>
      </text>
    </comment>
    <comment ref="E18" authorId="0" shapeId="0" xr:uid="{6F4AD6EC-B1DD-4C4F-8FD4-CBD60C05F1F5}">
      <text>
        <r>
          <rPr>
            <b/>
            <sz val="9"/>
            <color indexed="81"/>
            <rFont val="Tahoma"/>
            <family val="2"/>
          </rPr>
          <t>200 Art. 4109 OC 11503</t>
        </r>
        <r>
          <rPr>
            <sz val="9"/>
            <color indexed="81"/>
            <rFont val="Tahoma"/>
            <family val="2"/>
          </rPr>
          <t xml:space="preserve">
</t>
        </r>
      </text>
    </comment>
    <comment ref="D19" authorId="0" shapeId="0" xr:uid="{6A56F439-E820-4C06-9C07-5EC5A5B6D76F}">
      <text>
        <r>
          <rPr>
            <b/>
            <sz val="9"/>
            <color indexed="81"/>
            <rFont val="Tahoma"/>
            <family val="2"/>
          </rPr>
          <t>522 Art. 4136 OC 11506</t>
        </r>
        <r>
          <rPr>
            <sz val="9"/>
            <color indexed="81"/>
            <rFont val="Tahoma"/>
            <family val="2"/>
          </rPr>
          <t xml:space="preserve">
</t>
        </r>
      </text>
    </comment>
    <comment ref="E19" authorId="0" shapeId="0" xr:uid="{2939BE15-5BF9-44ED-AF45-2F6FD24A916A}">
      <text>
        <r>
          <rPr>
            <b/>
            <sz val="9"/>
            <color indexed="81"/>
            <rFont val="Tahoma"/>
            <family val="2"/>
          </rPr>
          <t>300 Art. 4109 OC 11503</t>
        </r>
        <r>
          <rPr>
            <sz val="9"/>
            <color indexed="81"/>
            <rFont val="Tahoma"/>
            <family val="2"/>
          </rPr>
          <t xml:space="preserve">
</t>
        </r>
      </text>
    </comment>
    <comment ref="E23" authorId="0" shapeId="0" xr:uid="{E2D9148B-1414-45D1-92EF-E420B050ACF9}">
      <text>
        <r>
          <rPr>
            <b/>
            <sz val="9"/>
            <color indexed="81"/>
            <rFont val="Tahoma"/>
            <family val="2"/>
          </rPr>
          <t xml:space="preserve">102 Art. 4109 OC 11503
200 Art. 4170 OC 11504 </t>
        </r>
      </text>
    </comment>
    <comment ref="E24" authorId="0" shapeId="0" xr:uid="{652BC5A8-2313-4484-85E1-05FEEBBFD5F5}">
      <text>
        <r>
          <rPr>
            <b/>
            <sz val="9"/>
            <color indexed="81"/>
            <rFont val="Tahoma"/>
            <family val="2"/>
          </rPr>
          <t>308 Art. 4170 OC 11504</t>
        </r>
        <r>
          <rPr>
            <sz val="9"/>
            <color indexed="81"/>
            <rFont val="Tahoma"/>
            <family val="2"/>
          </rPr>
          <t xml:space="preserve">
</t>
        </r>
      </text>
    </comment>
    <comment ref="D25" authorId="0" shapeId="0" xr:uid="{EEBF33BD-37A0-4141-AF55-C4B2BF8C5C9E}">
      <text>
        <r>
          <rPr>
            <b/>
            <sz val="9"/>
            <color indexed="81"/>
            <rFont val="Tahoma"/>
            <family val="2"/>
          </rPr>
          <t>562 Art. 4201 OC 11507</t>
        </r>
        <r>
          <rPr>
            <sz val="9"/>
            <color indexed="81"/>
            <rFont val="Tahoma"/>
            <family val="2"/>
          </rPr>
          <t xml:space="preserve">
</t>
        </r>
      </text>
    </comment>
    <comment ref="E25" authorId="0" shapeId="0" xr:uid="{EBCAE0B7-2D6B-4E81-BF4F-73B82221E399}">
      <text>
        <r>
          <rPr>
            <b/>
            <sz val="9"/>
            <color indexed="81"/>
            <rFont val="Tahoma"/>
            <family val="2"/>
          </rPr>
          <t>100 Art. 4170 OC 11504
200 Art. 4136 OC 11505</t>
        </r>
      </text>
    </comment>
    <comment ref="D26" authorId="0" shapeId="0" xr:uid="{6B4D4216-2977-4EE3-BB83-895C0BC6630A}">
      <text>
        <r>
          <rPr>
            <b/>
            <sz val="9"/>
            <color indexed="81"/>
            <rFont val="Tahoma"/>
            <family val="2"/>
          </rPr>
          <t>589 Art. 4135 OC 11508</t>
        </r>
        <r>
          <rPr>
            <sz val="9"/>
            <color indexed="81"/>
            <rFont val="Tahoma"/>
            <family val="2"/>
          </rPr>
          <t xml:space="preserve">
</t>
        </r>
      </text>
    </comment>
    <comment ref="E26" authorId="0" shapeId="0" xr:uid="{1910C09B-9A55-4327-A9BA-416350FD0EEB}">
      <text>
        <r>
          <rPr>
            <b/>
            <sz val="9"/>
            <color indexed="81"/>
            <rFont val="Tahoma"/>
            <family val="2"/>
          </rPr>
          <t>322 Art. 4136 Oc 11505</t>
        </r>
        <r>
          <rPr>
            <sz val="9"/>
            <color indexed="81"/>
            <rFont val="Tahoma"/>
            <family val="2"/>
          </rPr>
          <t xml:space="preserve">
</t>
        </r>
      </text>
    </comment>
    <comment ref="I26" authorId="0" shapeId="0" xr:uid="{A91CB36C-8F1F-454D-A20F-9FA14FFCDB34}">
      <text>
        <r>
          <rPr>
            <b/>
            <sz val="9"/>
            <color indexed="81"/>
            <rFont val="Tahoma"/>
            <family val="2"/>
          </rPr>
          <t xml:space="preserve">Reproceso con Glitter Art. </t>
        </r>
        <r>
          <rPr>
            <sz val="9"/>
            <color indexed="81"/>
            <rFont val="Tahoma"/>
            <family val="2"/>
          </rPr>
          <t xml:space="preserve">
</t>
        </r>
      </text>
    </comment>
    <comment ref="D27" authorId="0" shapeId="0" xr:uid="{DF7877A9-DDF8-4841-BE38-7145A355505C}">
      <text>
        <r>
          <rPr>
            <b/>
            <sz val="9"/>
            <color indexed="81"/>
            <rFont val="Tahoma"/>
            <family val="2"/>
          </rPr>
          <t>470 Art. 4124 OC 11510</t>
        </r>
        <r>
          <rPr>
            <sz val="9"/>
            <color indexed="81"/>
            <rFont val="Tahoma"/>
            <family val="2"/>
          </rPr>
          <t xml:space="preserve">
</t>
        </r>
      </text>
    </comment>
    <comment ref="E27" authorId="0" shapeId="0" xr:uid="{7C3DCD24-FFE2-468F-96A4-4991D7A06E9E}">
      <text>
        <r>
          <rPr>
            <b/>
            <sz val="9"/>
            <color indexed="81"/>
            <rFont val="Tahoma"/>
            <family val="2"/>
          </rPr>
          <t>300 Art. 4201 corte 11507</t>
        </r>
        <r>
          <rPr>
            <sz val="9"/>
            <color indexed="81"/>
            <rFont val="Tahoma"/>
            <family val="2"/>
          </rPr>
          <t xml:space="preserve">
</t>
        </r>
      </text>
    </comment>
    <comment ref="D28" authorId="0" shapeId="0" xr:uid="{88F04B5B-49D5-45C4-8D6E-0BB623AF8816}">
      <text>
        <r>
          <rPr>
            <b/>
            <sz val="9"/>
            <color indexed="81"/>
            <rFont val="Tahoma"/>
            <family val="2"/>
          </rPr>
          <t>490 Art. 4189 OC 11509</t>
        </r>
      </text>
    </comment>
    <comment ref="D31" authorId="0" shapeId="0" xr:uid="{489E45FE-FBD0-4305-8B61-0DFD19F181AD}">
      <text>
        <r>
          <rPr>
            <b/>
            <sz val="9"/>
            <color indexed="81"/>
            <rFont val="Tahoma"/>
            <family val="2"/>
          </rPr>
          <t>112 Art. 4189 OC 11509</t>
        </r>
        <r>
          <rPr>
            <sz val="9"/>
            <color indexed="81"/>
            <rFont val="Tahoma"/>
            <family val="2"/>
          </rPr>
          <t xml:space="preserve">
  </t>
        </r>
        <r>
          <rPr>
            <b/>
            <sz val="9"/>
            <color indexed="81"/>
            <rFont val="Tahoma"/>
            <family val="2"/>
          </rPr>
          <t>26 Art. 4123 OC 11511</t>
        </r>
      </text>
    </comment>
    <comment ref="E31" authorId="0" shapeId="0" xr:uid="{7848C741-030E-4133-AE17-168635A3EB14}">
      <text>
        <r>
          <rPr>
            <b/>
            <sz val="9"/>
            <color indexed="81"/>
            <rFont val="Tahoma"/>
            <family val="2"/>
          </rPr>
          <t>262 Art. 4201 OC 11507
150 Art. 4135 OC 11508</t>
        </r>
        <r>
          <rPr>
            <sz val="9"/>
            <color indexed="81"/>
            <rFont val="Tahoma"/>
            <family val="2"/>
          </rPr>
          <t xml:space="preserve">
</t>
        </r>
      </text>
    </comment>
    <comment ref="D32" authorId="0" shapeId="0" xr:uid="{B3B8B00A-4A6E-4015-A71D-E762A6FD07D4}">
      <text>
        <r>
          <rPr>
            <b/>
            <sz val="9"/>
            <color indexed="81"/>
            <rFont val="Tahoma"/>
            <charset val="1"/>
          </rPr>
          <t xml:space="preserve">   88 Art. 4123 OC 11511
104 Bolsas
323 Bolsillos</t>
        </r>
        <r>
          <rPr>
            <sz val="9"/>
            <color indexed="81"/>
            <rFont val="Tahoma"/>
            <charset val="1"/>
          </rPr>
          <t xml:space="preserve">
</t>
        </r>
      </text>
    </comment>
    <comment ref="E32" authorId="0" shapeId="0" xr:uid="{AE5A2F5F-E484-4796-AD5F-85222618A3EC}">
      <text>
        <r>
          <rPr>
            <b/>
            <sz val="9"/>
            <color indexed="81"/>
            <rFont val="Tahoma"/>
            <charset val="1"/>
          </rPr>
          <t>439 Art. 4135 OC 11508</t>
        </r>
        <r>
          <rPr>
            <sz val="9"/>
            <color indexed="81"/>
            <rFont val="Tahoma"/>
            <charset val="1"/>
          </rPr>
          <t xml:space="preserve">
</t>
        </r>
      </text>
    </comment>
    <comment ref="D33" authorId="0" shapeId="0" xr:uid="{951AFAF1-DDE5-4432-8F25-0F1832C11628}">
      <text>
        <r>
          <rPr>
            <b/>
            <sz val="9"/>
            <color indexed="81"/>
            <rFont val="Tahoma"/>
            <charset val="1"/>
          </rPr>
          <t>400 Art. 4202 OC 11514</t>
        </r>
        <r>
          <rPr>
            <sz val="9"/>
            <color indexed="81"/>
            <rFont val="Tahoma"/>
            <charset val="1"/>
          </rPr>
          <t xml:space="preserve">
</t>
        </r>
      </text>
    </comment>
    <comment ref="E33" authorId="0" shapeId="0" xr:uid="{F4563055-57C8-43AA-AB71-5164548F0BFD}">
      <text>
        <r>
          <rPr>
            <b/>
            <sz val="9"/>
            <color indexed="81"/>
            <rFont val="Tahoma"/>
            <charset val="1"/>
          </rPr>
          <t>300 Art 4124 OC 11410</t>
        </r>
        <r>
          <rPr>
            <sz val="9"/>
            <color indexed="81"/>
            <rFont val="Tahoma"/>
            <charset val="1"/>
          </rPr>
          <t xml:space="preserve">
</t>
        </r>
      </text>
    </comment>
    <comment ref="I33" authorId="0" shapeId="0" xr:uid="{0338F343-BE4D-4611-A384-9FD213BCEB63}">
      <text>
        <r>
          <rPr>
            <b/>
            <sz val="9"/>
            <color indexed="81"/>
            <rFont val="Tahoma"/>
            <charset val="1"/>
          </rPr>
          <t>83 Art 3774 OC 11297</t>
        </r>
        <r>
          <rPr>
            <sz val="9"/>
            <color indexed="81"/>
            <rFont val="Tahoma"/>
            <charset val="1"/>
          </rPr>
          <t xml:space="preserve">
</t>
        </r>
      </text>
    </comment>
    <comment ref="D34" authorId="0" shapeId="0" xr:uid="{F51FCDF1-7D66-4F96-A417-6B3EAB5BA4A0}">
      <text>
        <r>
          <rPr>
            <b/>
            <sz val="9"/>
            <color indexed="81"/>
            <rFont val="Tahoma"/>
            <charset val="1"/>
          </rPr>
          <t>106 Art. 4202  OC 11514</t>
        </r>
        <r>
          <rPr>
            <sz val="9"/>
            <color indexed="81"/>
            <rFont val="Tahoma"/>
            <charset val="1"/>
          </rPr>
          <t xml:space="preserve">
</t>
        </r>
      </text>
    </comment>
    <comment ref="E34" authorId="0" shapeId="0" xr:uid="{A97AE13A-EDC7-4497-BAA6-D5ED2A253932}">
      <text>
        <r>
          <rPr>
            <sz val="9"/>
            <color indexed="81"/>
            <rFont val="Tahoma"/>
            <family val="2"/>
          </rPr>
          <t xml:space="preserve">179 Art. 4124 
200 Art. 4202 OC 11514
</t>
        </r>
      </text>
    </comment>
    <comment ref="D35" authorId="0" shapeId="0" xr:uid="{F284F0CB-980B-41B1-BBF4-FC5F65DEE3D4}">
      <text>
        <r>
          <rPr>
            <b/>
            <sz val="9"/>
            <color indexed="81"/>
            <rFont val="Tahoma"/>
            <charset val="1"/>
          </rPr>
          <t>250 Art. 4171 OC 11515
603 Art. 4142 OC 11518</t>
        </r>
        <r>
          <rPr>
            <sz val="9"/>
            <color indexed="81"/>
            <rFont val="Tahoma"/>
            <charset val="1"/>
          </rPr>
          <t xml:space="preserve">
</t>
        </r>
      </text>
    </comment>
    <comment ref="E35" authorId="0" shapeId="0" xr:uid="{F1393842-BACC-4985-BDE8-FAF42EE3DAF6}">
      <text>
        <r>
          <rPr>
            <b/>
            <sz val="9"/>
            <color indexed="81"/>
            <rFont val="Tahoma"/>
            <family val="2"/>
          </rPr>
          <t>306 Art. 4202 OC 11514</t>
        </r>
        <r>
          <rPr>
            <sz val="9"/>
            <color indexed="81"/>
            <rFont val="Tahoma"/>
            <family val="2"/>
          </rPr>
          <t xml:space="preserve">
</t>
        </r>
      </text>
    </comment>
    <comment ref="A41" authorId="0" shapeId="0" xr:uid="{AD653E85-1539-4E66-96F0-836957E32E69}">
      <text>
        <r>
          <rPr>
            <b/>
            <sz val="9"/>
            <color indexed="81"/>
            <rFont val="Tahoma"/>
            <family val="2"/>
          </rPr>
          <t xml:space="preserve">2️⃣ Indicador 2: AVANCE A LA FECHA (vs Calendario Laboral)
👉 Representa: </t>
        </r>
        <r>
          <rPr>
            <sz val="9"/>
            <color indexed="81"/>
            <rFont val="Tahoma"/>
            <family val="2"/>
          </rPr>
          <t xml:space="preserve">Si la producción acumulada corresponde, excede o está por debajo del nivel que deberíamos tener según los días hábiles consumidos.
</t>
        </r>
      </text>
    </comment>
    <comment ref="A42" authorId="0" shapeId="0" xr:uid="{D1746512-2ADE-4896-B441-398096E53E15}">
      <text>
        <r>
          <rPr>
            <b/>
            <sz val="9"/>
            <color indexed="81"/>
            <rFont val="Tahoma"/>
            <family val="2"/>
          </rPr>
          <t>1️⃣</t>
        </r>
        <r>
          <rPr>
            <sz val="9"/>
            <color indexed="81"/>
            <rFont val="Tahoma"/>
            <family val="2"/>
          </rPr>
          <t xml:space="preserve"> </t>
        </r>
        <r>
          <rPr>
            <b/>
            <sz val="9"/>
            <color indexed="81"/>
            <rFont val="Tahoma"/>
            <family val="2"/>
          </rPr>
          <t>Indicador 1:</t>
        </r>
        <r>
          <rPr>
            <sz val="9"/>
            <color indexed="81"/>
            <rFont val="Tahoma"/>
            <family val="2"/>
          </rPr>
          <t xml:space="preserve"> </t>
        </r>
        <r>
          <rPr>
            <b/>
            <sz val="9"/>
            <color indexed="81"/>
            <rFont val="Tahoma"/>
            <family val="2"/>
          </rPr>
          <t>CUMPLIMIENTO MENSUAL</t>
        </r>
        <r>
          <rPr>
            <sz val="9"/>
            <color indexed="81"/>
            <rFont val="Tahoma"/>
            <family val="2"/>
          </rPr>
          <t xml:space="preserve"> (vs Meta Total)
👉 </t>
        </r>
        <r>
          <rPr>
            <b/>
            <sz val="9"/>
            <color indexed="81"/>
            <rFont val="Tahoma"/>
            <family val="2"/>
          </rPr>
          <t>Representa:</t>
        </r>
        <r>
          <rPr>
            <sz val="9"/>
            <color indexed="81"/>
            <rFont val="Tahoma"/>
            <family val="2"/>
          </rPr>
          <t xml:space="preserve"> Cuánto del objetivo total del mes ya está logrado, sin importar cuántos días han transcurrido.
</t>
        </r>
      </text>
    </comment>
    <comment ref="A43" authorId="0" shapeId="0" xr:uid="{B4B5CC76-9050-414B-AE86-6BD2749DFB73}">
      <text>
        <r>
          <rPr>
            <b/>
            <sz val="9"/>
            <color indexed="81"/>
            <rFont val="Tahoma"/>
            <family val="2"/>
          </rPr>
          <t>(Acumulado / días hábiles transcurridos)* días hábiles mes</t>
        </r>
        <r>
          <rPr>
            <sz val="9"/>
            <color indexed="81"/>
            <rFont val="Tahoma"/>
            <family val="2"/>
          </rPr>
          <t xml:space="preserve">
</t>
        </r>
      </text>
    </comment>
    <comment ref="A44" authorId="0" shapeId="0" xr:uid="{2E2D0EDF-A3AC-4F40-BF02-78AE761CDE2F}">
      <text>
        <r>
          <rPr>
            <b/>
            <sz val="9"/>
            <color indexed="81"/>
            <rFont val="Tahoma"/>
            <family val="2"/>
          </rPr>
          <t>(Meta mes-acumulado)</t>
        </r>
        <r>
          <rPr>
            <sz val="9"/>
            <color indexed="81"/>
            <rFont val="Tahoma"/>
            <family val="2"/>
          </rPr>
          <t xml:space="preserve">
</t>
        </r>
      </text>
    </comment>
    <comment ref="A45" authorId="0" shapeId="0" xr:uid="{F6AA39D3-0DE1-4D66-A2F1-7AC603E430E7}">
      <text>
        <r>
          <rPr>
            <sz val="9"/>
            <color indexed="81"/>
            <rFont val="Tahoma"/>
            <family val="2"/>
          </rPr>
          <t xml:space="preserve">(faltante meta mensual/días hábiles restantes del mes)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Angelica Gonzalez</author>
  </authors>
  <commentList>
    <comment ref="D4" authorId="0" shapeId="0" xr:uid="{E13F6F84-C1EE-4A21-8EFC-135D0489D6CD}">
      <text>
        <r>
          <rPr>
            <b/>
            <sz val="9"/>
            <color indexed="81"/>
            <rFont val="Tahoma"/>
            <family val="2"/>
          </rPr>
          <t xml:space="preserve"> 70 Art. 4192  OC 11516
419 Art. 4176 OC 11519</t>
        </r>
        <r>
          <rPr>
            <sz val="9"/>
            <color indexed="81"/>
            <rFont val="Tahoma"/>
            <family val="2"/>
          </rPr>
          <t xml:space="preserve">
</t>
        </r>
      </text>
    </comment>
    <comment ref="D5" authorId="0" shapeId="0" xr:uid="{623C7805-70BA-4BDE-97BB-2578BA01C69F}">
      <text>
        <r>
          <rPr>
            <b/>
            <sz val="9"/>
            <color indexed="81"/>
            <rFont val="Tahoma"/>
            <charset val="1"/>
          </rPr>
          <t>428 Art 4128 OC 11521</t>
        </r>
        <r>
          <rPr>
            <sz val="9"/>
            <color indexed="81"/>
            <rFont val="Tahoma"/>
            <charset val="1"/>
          </rPr>
          <t xml:space="preserve">
</t>
        </r>
      </text>
    </comment>
    <comment ref="E5" authorId="0" shapeId="0" xr:uid="{2C5B098A-32E4-408F-80D7-E848F60D0AC1}">
      <text>
        <r>
          <rPr>
            <b/>
            <sz val="9"/>
            <color indexed="81"/>
            <rFont val="Tahoma"/>
            <family val="2"/>
          </rPr>
          <t xml:space="preserve">   70 Art.      4192 OC 11516
114 Art. 10 4123 OC 11551 </t>
        </r>
        <r>
          <rPr>
            <sz val="9"/>
            <color indexed="81"/>
            <rFont val="Tahoma"/>
            <family val="2"/>
          </rPr>
          <t xml:space="preserve">
</t>
        </r>
      </text>
    </comment>
    <comment ref="D6" authorId="0" shapeId="0" xr:uid="{B814D996-718F-49D0-8AB8-53ED846AA028}">
      <text>
        <r>
          <rPr>
            <b/>
            <sz val="9"/>
            <color indexed="81"/>
            <rFont val="Tahoma"/>
            <family val="2"/>
          </rPr>
          <t>Art. 4158 OC 11522</t>
        </r>
        <r>
          <rPr>
            <sz val="9"/>
            <color indexed="81"/>
            <rFont val="Tahoma"/>
            <family val="2"/>
          </rPr>
          <t xml:space="preserve">
</t>
        </r>
      </text>
    </comment>
    <comment ref="E6" authorId="0" shapeId="0" xr:uid="{32E14950-56F9-4624-8811-9C24DD437869}">
      <text>
        <r>
          <rPr>
            <sz val="9"/>
            <color indexed="81"/>
            <rFont val="Tahoma"/>
            <family val="2"/>
          </rPr>
          <t xml:space="preserve">300 Art. 4142 OC 11518 
</t>
        </r>
      </text>
    </comment>
    <comment ref="I38" authorId="0" shapeId="0" xr:uid="{B31DF6B0-7815-48FD-8CBE-0E123FF48D97}">
      <text>
        <r>
          <rPr>
            <b/>
            <sz val="9"/>
            <color indexed="81"/>
            <rFont val="Tahoma"/>
            <charset val="1"/>
          </rPr>
          <t>83 Art 3774 OC 11297</t>
        </r>
        <r>
          <rPr>
            <sz val="9"/>
            <color indexed="81"/>
            <rFont val="Tahoma"/>
            <charset val="1"/>
          </rPr>
          <t xml:space="preserve">
</t>
        </r>
      </text>
    </comment>
    <comment ref="A42" authorId="0" shapeId="0" xr:uid="{060F8B39-73E8-42D5-8498-EB53E6EA9437}">
      <text>
        <r>
          <rPr>
            <b/>
            <sz val="9"/>
            <color indexed="81"/>
            <rFont val="Tahoma"/>
            <family val="2"/>
          </rPr>
          <t xml:space="preserve">2️⃣ Indicador 2: AVANCE A LA FECHA (vs Calendario Laboral)
👉 Representa: </t>
        </r>
        <r>
          <rPr>
            <sz val="9"/>
            <color indexed="81"/>
            <rFont val="Tahoma"/>
            <family val="2"/>
          </rPr>
          <t xml:space="preserve">Si la producción acumulada corresponde, excede o está por debajo del nivel que deberíamos tener según los días hábiles consumidos.
</t>
        </r>
      </text>
    </comment>
    <comment ref="A43" authorId="0" shapeId="0" xr:uid="{E90DA0F7-41DE-47EC-A02E-B97D937E9B6C}">
      <text>
        <r>
          <rPr>
            <b/>
            <sz val="9"/>
            <color indexed="81"/>
            <rFont val="Tahoma"/>
            <family val="2"/>
          </rPr>
          <t>1️⃣</t>
        </r>
        <r>
          <rPr>
            <sz val="9"/>
            <color indexed="81"/>
            <rFont val="Tahoma"/>
            <family val="2"/>
          </rPr>
          <t xml:space="preserve"> </t>
        </r>
        <r>
          <rPr>
            <b/>
            <sz val="9"/>
            <color indexed="81"/>
            <rFont val="Tahoma"/>
            <family val="2"/>
          </rPr>
          <t>Indicador 1:</t>
        </r>
        <r>
          <rPr>
            <sz val="9"/>
            <color indexed="81"/>
            <rFont val="Tahoma"/>
            <family val="2"/>
          </rPr>
          <t xml:space="preserve"> </t>
        </r>
        <r>
          <rPr>
            <b/>
            <sz val="9"/>
            <color indexed="81"/>
            <rFont val="Tahoma"/>
            <family val="2"/>
          </rPr>
          <t>CUMPLIMIENTO MENSUAL</t>
        </r>
        <r>
          <rPr>
            <sz val="9"/>
            <color indexed="81"/>
            <rFont val="Tahoma"/>
            <family val="2"/>
          </rPr>
          <t xml:space="preserve"> (vs Meta Total)
👉 </t>
        </r>
        <r>
          <rPr>
            <b/>
            <sz val="9"/>
            <color indexed="81"/>
            <rFont val="Tahoma"/>
            <family val="2"/>
          </rPr>
          <t>Representa:</t>
        </r>
        <r>
          <rPr>
            <sz val="9"/>
            <color indexed="81"/>
            <rFont val="Tahoma"/>
            <family val="2"/>
          </rPr>
          <t xml:space="preserve"> Cuánto del objetivo total del mes ya está logrado, sin importar cuántos días han transcurrido.
</t>
        </r>
      </text>
    </comment>
    <comment ref="A44" authorId="0" shapeId="0" xr:uid="{540625AC-8D09-479D-A304-C62A0CD8B9AC}">
      <text>
        <r>
          <rPr>
            <b/>
            <sz val="9"/>
            <color indexed="81"/>
            <rFont val="Tahoma"/>
            <family val="2"/>
          </rPr>
          <t>(Acumulado / días hábiles transcurridos)* días hábiles mes</t>
        </r>
        <r>
          <rPr>
            <sz val="9"/>
            <color indexed="81"/>
            <rFont val="Tahoma"/>
            <family val="2"/>
          </rPr>
          <t xml:space="preserve">
</t>
        </r>
      </text>
    </comment>
    <comment ref="A45" authorId="0" shapeId="0" xr:uid="{3AE2C2F0-993B-43FE-95C1-787F2C687839}">
      <text>
        <r>
          <rPr>
            <b/>
            <sz val="9"/>
            <color indexed="81"/>
            <rFont val="Tahoma"/>
            <family val="2"/>
          </rPr>
          <t>(Meta mes-acumulado)</t>
        </r>
        <r>
          <rPr>
            <sz val="9"/>
            <color indexed="81"/>
            <rFont val="Tahoma"/>
            <family val="2"/>
          </rPr>
          <t xml:space="preserve">
</t>
        </r>
      </text>
    </comment>
    <comment ref="A46" authorId="0" shapeId="0" xr:uid="{2C027EA4-B0BB-4300-A41E-18CD06174E0A}">
      <text>
        <r>
          <rPr>
            <sz val="9"/>
            <color indexed="81"/>
            <rFont val="Tahoma"/>
            <family val="2"/>
          </rPr>
          <t xml:space="preserve">(faltante meta mensual/días hábiles restantes del mes)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Angelica Gonzalez</author>
  </authors>
  <commentList>
    <comment ref="D2" authorId="0" shapeId="0" xr:uid="{CF7F7B1E-F703-41D6-9698-62C3FB0F2CA8}">
      <text>
        <r>
          <rPr>
            <b/>
            <sz val="9"/>
            <color indexed="81"/>
            <rFont val="Tahoma"/>
            <family val="2"/>
          </rPr>
          <t xml:space="preserve">440
</t>
        </r>
      </text>
    </comment>
    <comment ref="F2" authorId="0" shapeId="0" xr:uid="{158EB543-0F07-4C66-B76F-10C0DE67A07F}">
      <text>
        <r>
          <rPr>
            <b/>
            <sz val="9"/>
            <color indexed="81"/>
            <rFont val="Tahoma"/>
            <family val="2"/>
          </rPr>
          <t>402</t>
        </r>
        <r>
          <rPr>
            <sz val="9"/>
            <color indexed="81"/>
            <rFont val="Tahoma"/>
            <family val="2"/>
          </rPr>
          <t xml:space="preserve">
</t>
        </r>
      </text>
    </comment>
    <comment ref="D3" authorId="0" shapeId="0" xr:uid="{059DED8A-BDB6-4464-99B9-8A704BC343FA}">
      <text>
        <r>
          <rPr>
            <b/>
            <sz val="9"/>
            <color indexed="81"/>
            <rFont val="Tahoma"/>
            <family val="2"/>
          </rPr>
          <t>318</t>
        </r>
      </text>
    </comment>
    <comment ref="F3" authorId="0" shapeId="0" xr:uid="{CFB2960A-80BC-4BCE-B695-C2A09D1DBCDC}">
      <text>
        <r>
          <rPr>
            <b/>
            <sz val="9"/>
            <color indexed="81"/>
            <rFont val="Tahoma"/>
            <family val="2"/>
          </rPr>
          <t>298</t>
        </r>
      </text>
    </comment>
    <comment ref="D4" authorId="0" shapeId="0" xr:uid="{2C0C78C1-91F0-43C5-A95A-13EA71120B4C}">
      <text>
        <r>
          <rPr>
            <b/>
            <sz val="9"/>
            <color indexed="81"/>
            <rFont val="Tahoma"/>
            <family val="2"/>
          </rPr>
          <t>284</t>
        </r>
      </text>
    </comment>
    <comment ref="D5" authorId="0" shapeId="0" xr:uid="{AAB2B798-1488-45E6-AC95-D932E144A9A8}">
      <text>
        <r>
          <rPr>
            <b/>
            <sz val="9"/>
            <color indexed="81"/>
            <rFont val="Tahoma"/>
            <family val="2"/>
          </rPr>
          <t>534</t>
        </r>
      </text>
    </comment>
    <comment ref="D6" authorId="0" shapeId="0" xr:uid="{FD817835-314A-4AEF-98C2-D3707318CCA4}">
      <text>
        <r>
          <rPr>
            <b/>
            <sz val="9"/>
            <color indexed="81"/>
            <rFont val="Tahoma"/>
            <family val="2"/>
          </rPr>
          <t>598</t>
        </r>
      </text>
    </comment>
    <comment ref="D7" authorId="0" shapeId="0" xr:uid="{09CFC0A3-94E5-427B-8FC3-25BF23D73EC6}">
      <text>
        <r>
          <rPr>
            <b/>
            <sz val="9"/>
            <color indexed="81"/>
            <rFont val="Tahoma"/>
            <family val="2"/>
          </rPr>
          <t>298</t>
        </r>
      </text>
    </comment>
    <comment ref="D8" authorId="0" shapeId="0" xr:uid="{7467BFA8-2B9D-4CB6-92DA-F3E5D72E05E0}">
      <text>
        <r>
          <rPr>
            <b/>
            <sz val="9"/>
            <color indexed="81"/>
            <rFont val="Tahoma"/>
            <family val="2"/>
          </rPr>
          <t>600</t>
        </r>
      </text>
    </comment>
    <comment ref="D9" authorId="0" shapeId="0" xr:uid="{615CED85-AFAB-45FD-B35C-C4A4E479E1D9}">
      <text>
        <r>
          <rPr>
            <b/>
            <sz val="9"/>
            <color indexed="81"/>
            <rFont val="Tahoma"/>
            <family val="2"/>
          </rPr>
          <t>500</t>
        </r>
      </text>
    </comment>
  </commentList>
</comments>
</file>

<file path=xl/sharedStrings.xml><?xml version="1.0" encoding="utf-8"?>
<sst xmlns="http://schemas.openxmlformats.org/spreadsheetml/2006/main" count="1886" uniqueCount="357">
  <si>
    <t>Días hábiles restantes</t>
  </si>
  <si>
    <t>ÁREA</t>
  </si>
  <si>
    <t>CORTE</t>
  </si>
  <si>
    <t>TALLER</t>
  </si>
  <si>
    <t>TALLER EXT</t>
  </si>
  <si>
    <t>LIMPIADO</t>
  </si>
  <si>
    <t>LAVANDERIA</t>
  </si>
  <si>
    <t>TERMINACIÓN</t>
  </si>
  <si>
    <t>TER EXTERNA</t>
  </si>
  <si>
    <t>BODEGA</t>
  </si>
  <si>
    <t>OBSERVACIONES</t>
  </si>
  <si>
    <t>TIPO</t>
  </si>
  <si>
    <t>MUES</t>
  </si>
  <si>
    <t>PROD</t>
  </si>
  <si>
    <t>VALOR</t>
  </si>
  <si>
    <t>META FIJA DIA</t>
  </si>
  <si>
    <t>L</t>
  </si>
  <si>
    <t>M</t>
  </si>
  <si>
    <t>J</t>
  </si>
  <si>
    <t>V</t>
  </si>
  <si>
    <t>S</t>
  </si>
  <si>
    <t>D</t>
  </si>
  <si>
    <t>TOTAL SEM 1</t>
  </si>
  <si>
    <t>TOTAL SEM 2</t>
  </si>
  <si>
    <t>Corte de Luz desde 11:00 a las 18:00 hrs app</t>
  </si>
  <si>
    <t>TOTAL SEM 3</t>
  </si>
  <si>
    <t>TOTAL SEM 4</t>
  </si>
  <si>
    <t>TOTAL SEM 5</t>
  </si>
  <si>
    <t>PROD. ACUM</t>
  </si>
  <si>
    <t xml:space="preserve">CANTIDAD DE INCIDENTES: </t>
  </si>
  <si>
    <t>META MES</t>
  </si>
  <si>
    <t>DIFERENCIAS</t>
  </si>
  <si>
    <t xml:space="preserve">FALLA DE MAQUINARIA: </t>
  </si>
  <si>
    <t>DÍAS RESTAN</t>
  </si>
  <si>
    <t xml:space="preserve">FALTA DE PERSONAL: </t>
  </si>
  <si>
    <t>MES DE PROCESO ENERO 2025</t>
  </si>
  <si>
    <t>Feriado</t>
  </si>
  <si>
    <t>MES DE PROCESO FEBRERO 2025</t>
  </si>
  <si>
    <t>N°</t>
  </si>
  <si>
    <t>Task Name</t>
  </si>
  <si>
    <t>Subtareas</t>
  </si>
  <si>
    <t xml:space="preserve">Usuario </t>
  </si>
  <si>
    <t>Solicitado</t>
  </si>
  <si>
    <t>Priority</t>
  </si>
  <si>
    <t>Status</t>
  </si>
  <si>
    <t>Comment</t>
  </si>
  <si>
    <t>Control de metas por área</t>
  </si>
  <si>
    <t>En la trazabilidad, se requiere contar con la opción de consulta de entregas diarias por área, de manera que sea posible consultar por fecha las entregas realizadas por:
      Corte
      Taller
      Taller Externo
      Limpiado
      Lavandería
      Terminación
      Bodega</t>
  </si>
  <si>
    <t>G. Jeldes
J. Salinas</t>
  </si>
  <si>
    <t>URGENT</t>
  </si>
  <si>
    <t>REALIZADO</t>
  </si>
  <si>
    <r>
      <t xml:space="preserve">Es posible consultar las entregas diarias por área en la ruta
   Producción
       Secciones
            I. Informe Resumido por artículo
</t>
    </r>
    <r>
      <rPr>
        <b/>
        <sz val="10"/>
        <rFont val="Roboto"/>
      </rPr>
      <t xml:space="preserve">Propuesta de formato reesumido con metas diarias enviada a Calvarez
</t>
    </r>
    <r>
      <rPr>
        <sz val="10"/>
        <rFont val="Roboto"/>
        <family val="2"/>
      </rPr>
      <t xml:space="preserve">
</t>
    </r>
    <r>
      <rPr>
        <b/>
        <sz val="10"/>
        <color rgb="FFFF0000"/>
        <rFont val="Roboto"/>
      </rPr>
      <t>Se habilitó la distinción de OC por Muestras / Producción / Maquila /</t>
    </r>
    <r>
      <rPr>
        <sz val="10"/>
        <rFont val="Roboto"/>
        <family val="2"/>
      </rPr>
      <t xml:space="preserve"> </t>
    </r>
    <r>
      <rPr>
        <b/>
        <sz val="10"/>
        <color theme="3" tint="0.39997558519241921"/>
        <rFont val="Roboto"/>
      </rPr>
      <t>Se requiere incorporar las ódenes por SET</t>
    </r>
    <r>
      <rPr>
        <sz val="10"/>
        <rFont val="Roboto"/>
        <family val="2"/>
      </rPr>
      <t xml:space="preserve">
</t>
    </r>
    <r>
      <rPr>
        <b/>
        <sz val="10"/>
        <color theme="3" tint="0.39997558519241921"/>
        <rFont val="Roboto"/>
      </rPr>
      <t>Sra. Jacqueline enviará archivo con números de OC y su respectiva categoría, para hacer una carga masiva de la distinsión en el sistema desde el mes de Agosto</t>
    </r>
  </si>
  <si>
    <t>Ingreso de pedidos directo por vendedor</t>
  </si>
  <si>
    <r>
      <t xml:space="preserve">1. Funcionalidad disponible a partir de la próxima colección_ </t>
    </r>
    <r>
      <rPr>
        <b/>
        <sz val="10"/>
        <color rgb="FFFF0000"/>
        <rFont val="Aptos Narrow"/>
        <family val="2"/>
        <scheme val="minor"/>
      </rPr>
      <t>OK</t>
    </r>
    <r>
      <rPr>
        <sz val="10"/>
        <rFont val="Aptos Narrow"/>
        <family val="2"/>
        <scheme val="minor"/>
      </rPr>
      <t xml:space="preserve">
2. Todos los vendedores deben ser capacitados
Modificaciones necesarias para optimizar tiempo y recursos_</t>
    </r>
    <r>
      <rPr>
        <b/>
        <sz val="10"/>
        <color rgb="FFFF0000"/>
        <rFont val="Aptos Narrow"/>
        <family val="2"/>
        <scheme val="minor"/>
      </rPr>
      <t>OK</t>
    </r>
    <r>
      <rPr>
        <sz val="10"/>
        <rFont val="Aptos Narrow"/>
        <family val="2"/>
        <scheme val="minor"/>
      </rPr>
      <t xml:space="preserve">
3. Nota de pedido debe contar con acceso a cuenta corriente de clientes, para poder consultar su estado de cuenta, motivo de bloqueo y agilizar la cobranza.
</t>
    </r>
    <r>
      <rPr>
        <b/>
        <sz val="10"/>
        <color rgb="FFFF0000"/>
        <rFont val="Aptos Narrow"/>
        <family val="2"/>
        <scheme val="minor"/>
      </rPr>
      <t>OK</t>
    </r>
  </si>
  <si>
    <t>P. Cuevas</t>
  </si>
  <si>
    <t/>
  </si>
  <si>
    <t>Accesos instalados en equipos de vendedores, SK capacitado, HC pendiente de capacitar</t>
  </si>
  <si>
    <t>Ingreso de ficha de insumos por artículo al sistema</t>
  </si>
  <si>
    <t>1. Se realizará el registro de las fichas de insumos por cada artículo creado para la venta, de manera que el sistema tenga la capacidad de estimar la necesidad de consumo de telas e insumos para atender una orden de producción 
2. El sistema deberá tener la capacidad de comparar la necesidad total de consumo de materias primas e insumos con el inventario disponible por sistema, generando alertas tempranas de bajas o quiebres de stock para el proceso productivo.</t>
  </si>
  <si>
    <t>J. Salinas</t>
  </si>
  <si>
    <t>Este tema se encuentra habilitado debe ser alimentado por el usuario
1. Se realizó prueba de ingreso, no reconoce todos los códigos de insumos, Calvarez instalará una funcionalidad para traspasar automáticamente  información desde los Componentes hacia las Fórmulas. ( Materias Primas e Insumos)
2.   Ventas
         Pedidos
              I. Informe Resumido por artículo</t>
  </si>
  <si>
    <t>Optimizar la generación de OC automáticas, a partir de la venta</t>
  </si>
  <si>
    <t>1. Con el procesamiento de la información de ventas, el sistema generará las OC en forma automática, determinando:
a) Metas de producción
b) Priorización para despacho de pedidos
2) Se requiere la aplicación de modificaciones, al módulo de ventas, opción de Informe de pedido por tallas. Esta herramienta debe vincular la información de la necesidad de corte, más la existencia de materias primas e insumos para la generación de órdenes de producción.</t>
  </si>
  <si>
    <t>G.Jeldes</t>
  </si>
  <si>
    <t>PENDIENTE</t>
  </si>
  <si>
    <t>Rebaja automática stock prendas 2da Selección</t>
  </si>
  <si>
    <t>Stock de bodega debe restar las prendas de segunda selección, las que se identifican anteponiendo el número 99 previo a la talla del artículo. Ej: 0136909936</t>
  </si>
  <si>
    <t>Sólo en bodega se segregan los productos de segunda, se rebajan del stock útil, se van arrastrando dentro de los productos en proceso, pero no es observable hasta cuando llegan a Bodega</t>
  </si>
  <si>
    <r>
      <t xml:space="preserve">Opción para registrar el </t>
    </r>
    <r>
      <rPr>
        <b/>
        <sz val="11"/>
        <color rgb="FFFF0000"/>
        <rFont val="Aptos Narrow"/>
        <family val="2"/>
        <scheme val="minor"/>
      </rPr>
      <t>origen de las órdenes de producción</t>
    </r>
  </si>
  <si>
    <t>El viernes 2 de agosto se habilitó la opción de registrar el origen de la Orden de Produccion, (Produccion, Muestra, maquillaje, etc.) La semana del 5 de Agosto quedaría habilitada la opción para poder filtrar por este nuevo atibuto, en los informes que se utilizan.</t>
  </si>
  <si>
    <t>VERIFICAR</t>
  </si>
  <si>
    <t>Información en línea y actualizada de acuerdo con los movimientos:</t>
  </si>
  <si>
    <r>
      <rPr>
        <b/>
        <sz val="10"/>
        <rFont val="Aptos Narrow"/>
        <family val="2"/>
        <scheme val="minor"/>
      </rPr>
      <t>COMPRAS</t>
    </r>
    <r>
      <rPr>
        <sz val="10"/>
        <rFont val="Aptos Narrow"/>
        <family val="2"/>
        <scheme val="minor"/>
      </rPr>
      <t xml:space="preserve">
1. Registrar en bodega que corresponda para stock; Materias Primas, Insumos o Avisos, Insumos Lavandería, Servicios Externos, etc.
2. Generar libro de compra
3. Cuentas por pagar</t>
    </r>
  </si>
  <si>
    <t>J. Cuevas
J.Salinas</t>
  </si>
  <si>
    <t>Consulta de pedidos realizados por artículo, con separación de cantidades pendientes por despachar</t>
  </si>
  <si>
    <t>Consulta integrada de pedidos - Producción y saldos de telas.  
Ordenar pedidos por cantidades pendientes y marcar clientes bloqueados</t>
  </si>
  <si>
    <t>Respaldo Servidor Adecom</t>
  </si>
  <si>
    <t>Respaldo servicor Linux Base de Datos Mohicano Jeans</t>
  </si>
  <si>
    <t>A.Gonzalez</t>
  </si>
  <si>
    <t>Traspaso información de Magic World hacia el F29</t>
  </si>
  <si>
    <t>El ingreso de información se realiza manualmente desde el mes de Septiembre-24</t>
  </si>
  <si>
    <t>Contabilidad</t>
  </si>
  <si>
    <t>Separación de Menú para la ejecución de consultas varias</t>
  </si>
  <si>
    <t>??????</t>
  </si>
  <si>
    <t>J.Salinas</t>
  </si>
  <si>
    <t>Envío correo automático, informando recepción satisfactoria de pago una vez que se realice la recaudación</t>
  </si>
  <si>
    <t>J. Cuevas</t>
  </si>
  <si>
    <t>Habilitar funcionalidad para refrescar de forma autónoma datos en el sistema</t>
  </si>
  <si>
    <t>Opción de reproceso de pedidos en el menu de ventas</t>
  </si>
  <si>
    <t xml:space="preserve">   Ventas
       Pedidos
          H. Reproceso Pedidos</t>
  </si>
  <si>
    <t>Listado devoluciones por cliente</t>
  </si>
  <si>
    <r>
      <t xml:space="preserve">1. Se requiere habilitar la opción de consultar el detalle de devoluciones gestionadas por cliente, actualmente el Módulo de devoluciones, cuenta con las opciones de:
a) Ingresar Devoluciones
b) Generar planilla por mes, aquí se requiere que de la opción de consulta por rut o cliente
c) Asigna devoluciones Documento
</t>
    </r>
    <r>
      <rPr>
        <b/>
        <sz val="10"/>
        <rFont val="Aptos Narrow"/>
        <family val="2"/>
        <scheme val="minor"/>
      </rPr>
      <t>d) Filtrar devoluciones por RUT</t>
    </r>
  </si>
  <si>
    <r>
      <rPr>
        <b/>
        <sz val="10"/>
        <rFont val="Roboto"/>
      </rPr>
      <t xml:space="preserve">Noviembre 2024
</t>
    </r>
    <r>
      <rPr>
        <sz val="10"/>
        <rFont val="Roboto"/>
        <family val="2"/>
      </rPr>
      <t xml:space="preserve">
Se incorporó opción
 J. Devoluciones
     C. Asigna Devolución
</t>
    </r>
    <r>
      <rPr>
        <b/>
        <sz val="10"/>
        <color rgb="FFFF0000"/>
        <rFont val="Roboto"/>
      </rPr>
      <t xml:space="preserve">
</t>
    </r>
    <r>
      <rPr>
        <b/>
        <sz val="11"/>
        <color rgb="FFFF0000"/>
        <rFont val="Roboto"/>
      </rPr>
      <t>El archivo que se descarga no muestra ningún dato del cliente involucrado</t>
    </r>
    <r>
      <rPr>
        <b/>
        <sz val="10"/>
        <color rgb="FFFF0000"/>
        <rFont val="Roboto"/>
      </rPr>
      <t xml:space="preserve">
</t>
    </r>
  </si>
  <si>
    <t>Traspaso Libro de Ventas (facturas) desde SII - Magic World</t>
  </si>
  <si>
    <t>Traer la venta generada por Bsale mediante una carga realizada desde el Sii</t>
  </si>
  <si>
    <t>El ingreso de la información es manual al sistema</t>
  </si>
  <si>
    <t>Carga Libro de Compras Magic World</t>
  </si>
  <si>
    <t>Solicitud listado clientes activos maestro para revisión plazos cobranza</t>
  </si>
  <si>
    <t>C.Alvarez  -&gt;
J.Cuevas</t>
  </si>
  <si>
    <t>Listado de Usuarios Activos y Privilegios en Sistema</t>
  </si>
  <si>
    <t>J.Cuevas</t>
  </si>
  <si>
    <t>Incorporar  resumen de artículos pendientes por despachar en informe de pedidos por vendedor</t>
  </si>
  <si>
    <t>Patricio solicita adicionar al resumen de notas de pedidos por vendedor, el detalle de artículos pendientes por despachar y sus respectivas cantidades.</t>
  </si>
  <si>
    <t>Al generar el reporte, en la lista de Marcas, despliega las temporadas.  El resumen de artículos pendientes por despachar no es claro</t>
  </si>
  <si>
    <t>Informe resumen con recaudación anual separado por mes y por forma de pagos</t>
  </si>
  <si>
    <t>Informe de recaudación con salida a archivos en forma mensual y aniual</t>
  </si>
  <si>
    <t>En Informe de Movimientos de Venta, incorporar columnas con % de descuentos aplicados y/o entregar precios con descuentos</t>
  </si>
  <si>
    <t>A. Gonzalez</t>
  </si>
  <si>
    <r>
      <t>Descarga automática de la facturación realizada desde la fábrica hacia las tiendas, para que éstas puedan</t>
    </r>
    <r>
      <rPr>
        <sz val="11"/>
        <rFont val="Aptos Narrow"/>
        <family val="2"/>
        <scheme val="minor"/>
      </rPr>
      <t xml:space="preserve"> </t>
    </r>
    <r>
      <rPr>
        <b/>
        <sz val="11"/>
        <rFont val="Aptos Narrow"/>
        <family val="2"/>
        <scheme val="minor"/>
      </rPr>
      <t>verificar mediante un formato impreso la recepción de mercadería entrante en tienda</t>
    </r>
  </si>
  <si>
    <t>R. Cuevas</t>
  </si>
  <si>
    <t>Traspaso de códigos  de materias primas e insumos a la formulación</t>
  </si>
  <si>
    <t>App para traspasar automáticamente componentes de materias primas hacia la formulación para realizar el ingreso completo al sistema de fichas ténicas</t>
  </si>
  <si>
    <t>Producción
      Fórmulas
            A. Mantención</t>
  </si>
  <si>
    <t>Informes de consumos Producción,  separar Tela por subcategoría</t>
  </si>
  <si>
    <t>En el consumo por orden de corte Separar Tela Base de la Tela de Bolsillo</t>
  </si>
  <si>
    <t xml:space="preserve">Producción
      Secciones
         J. Informe nuevo por secciones
           </t>
  </si>
  <si>
    <r>
      <t xml:space="preserve">Solicitud de apertura de </t>
    </r>
    <r>
      <rPr>
        <b/>
        <sz val="11"/>
        <color rgb="FFFF0000"/>
        <rFont val="Aptos Narrow"/>
        <family val="2"/>
        <scheme val="minor"/>
      </rPr>
      <t>Flujo de Efectivo</t>
    </r>
    <r>
      <rPr>
        <b/>
        <sz val="11"/>
        <rFont val="Aptos Narrow"/>
        <family val="2"/>
        <scheme val="minor"/>
      </rPr>
      <t xml:space="preserve"> para fines de </t>
    </r>
    <r>
      <rPr>
        <b/>
        <sz val="11"/>
        <color rgb="FFFF0000"/>
        <rFont val="Aptos Narrow"/>
        <family val="2"/>
        <scheme val="minor"/>
      </rPr>
      <t>Flujo de Caja</t>
    </r>
    <r>
      <rPr>
        <b/>
        <sz val="11"/>
        <rFont val="Aptos Narrow"/>
        <family val="2"/>
        <scheme val="minor"/>
      </rPr>
      <t>, de manera que se aposible realizar la apertura de cada ítem de gasto e ingreso respectivamente.</t>
    </r>
  </si>
  <si>
    <t xml:space="preserve">Maestros de Contabilidad
Contabilidad    
   Maestros
      C. Item de gastos
           Impresión Item de gastos
                Informe de gastos e Ingresos
Contabilidad
   Explotación
      M. Consulta de gasto por Item de Gasto
      O. Flujo efectivo
</t>
  </si>
  <si>
    <t>Implementación de partidas de presupuesto de acuerdo a orden establecido según muestra enviada en correo de fecha 01 de octubre.  Con alimentación de información desde la centralización</t>
  </si>
  <si>
    <t>Requiere demasiado tiempo generar un informe como la muestra recibida.  Se podría generar mayor apertura en base al Plan de Cuentas de Adecom.
Contabilidad
   Maestros
      A. Plan de Cuentas
          A. Mantención plan de cuentas
Contabilidad
   Explotación
      M. Consulta Gasto por Item de Gastos</t>
  </si>
  <si>
    <t>Crear botón u opción para filtrar facturas pendientes de pago a Proveedores, dentro de un período determinado de tiempo</t>
  </si>
  <si>
    <t>Cuentas Corrientes
      Explotación
         D. Informe detalle de Vcto. (opción por fecha)
         M. Consulta totales por cuenta</t>
  </si>
  <si>
    <t>Totalizar gestiones de cobranza, separando al final del informe las gestiones de cobranza automática de la gestión de cobranza personalizada</t>
  </si>
  <si>
    <t>Cuentas Corrientes
      Explotación
         L. Lista gestiones de cobranza realizada</t>
  </si>
  <si>
    <t>En el sistema de Producción, dejamos una aplicación que le permitirá crear en forma automática los productos de Existencias hacia producción, en caso que el producto exista el sistema solo actualizará el costo con la información de la última compra.</t>
  </si>
  <si>
    <t>Para esta opción solo se consideran las Categorías Materias primas e Insumos</t>
  </si>
  <si>
    <t>Producción
  Parámetros
     C: Traspasa Productos Existencias a Formulación</t>
  </si>
  <si>
    <t>En Recaudaciones/Resumen quedará habilitado para revisión un Botón que permitirá realizar la descarga a XLS por mes  con la gestión realizada.</t>
  </si>
  <si>
    <r>
      <t xml:space="preserve">Cuenta Corrientes
    Recaud
      B. Despliega
           Botón </t>
    </r>
    <r>
      <rPr>
        <b/>
        <sz val="10"/>
        <rFont val="Roboto"/>
      </rPr>
      <t>RESUMEN</t>
    </r>
  </si>
  <si>
    <t>En informe de Existencias por Artículo, se requiere agregar una línea que contenga el dato con la cantidad de CAJAS PREPARADAS SIN FACTURAR</t>
  </si>
  <si>
    <t>J Salinas</t>
  </si>
  <si>
    <t>Ventas
   Movimientos
        I. Despachos
            H. Informe de Saldos por Cajas
                 G. Consulta de Cajas</t>
  </si>
  <si>
    <t>Funcionalidad para enviar la nota de pedido por correo a un cliente</t>
  </si>
  <si>
    <t>RECHAZADO</t>
  </si>
  <si>
    <t>Cada vendedor debe imprimir la nota de pedido a PDF y enviar ese comprobante a su cliente.</t>
  </si>
  <si>
    <t>Informe automático que permita identificar cuánto dinero tenemos en la calle</t>
  </si>
  <si>
    <t>SUSPENDIDO</t>
  </si>
  <si>
    <t>Existen casos de devoluciones realizadas, que no están apareciendo cerradas en el sistema.</t>
  </si>
  <si>
    <t>Se requiere incorporar un estado asociado a CHEQUES EN TRÁNSITO, que cuando sea seleccionado solicite el ingresio de la cantidad de cheques y valores asociados, para que quede el registro de que los documentos vienen en camino</t>
  </si>
  <si>
    <t>Modificación de informe de gestión de cobranzas.</t>
  </si>
  <si>
    <t>Se requiere contar con la posibilidad se segrergar los reportes de gestión de cobranza dirigida o personal, respoecto de la cobranza automatizada. Con la opción de poder seleccionar rangos de fecha para la emisión del informe, indicando de forma automática si el compromiso asumido se cumplió o no, de acuerdo a una estructura específica de presentación de la información</t>
  </si>
  <si>
    <t>Implementar aviso repetitivo por mora cada 15 días para clientes que ya vencieron y no registran pagos</t>
  </si>
  <si>
    <t>Jorge enviará el texto con el contenido del correo a enviar</t>
  </si>
  <si>
    <t>Activar plazos y privilegios para la realización de modificaciones a pedidos</t>
  </si>
  <si>
    <t>24 horas para vendedores
Mayor plazo solo para Gerente de Adm y Fzas.</t>
  </si>
  <si>
    <t>A.González</t>
  </si>
  <si>
    <t>Jorge solicita incorporar días de mora en informe de cobranza y eliminar empresas relacionadas de este informe</t>
  </si>
  <si>
    <t>Jorge enviará condiciones de pago a las cuales se les excluirá en el envío de correos de cobranzas</t>
  </si>
  <si>
    <t>Facturas próximas por vencer</t>
  </si>
  <si>
    <t>Informe de Pedidos x fecha</t>
  </si>
  <si>
    <r>
      <t xml:space="preserve">En la opción de descarga a excel incorporar el dato de Tipo de Gestión por pedido
</t>
    </r>
    <r>
      <rPr>
        <b/>
        <sz val="11"/>
        <color theme="1"/>
        <rFont val="Aptos Narrow"/>
        <family val="2"/>
        <scheme val="minor"/>
      </rPr>
      <t>Pedidos
   C. Informes
        H. Informe de Pedidos x Fecha</t>
    </r>
  </si>
  <si>
    <t>NUEVO</t>
  </si>
  <si>
    <t>Incorporar filtro automático en la descarga de pedidos x fecha</t>
  </si>
  <si>
    <r>
      <t>La descarga de datos no debe considerar ninguna nota de pedido que se encuentre en estado</t>
    </r>
    <r>
      <rPr>
        <b/>
        <sz val="11"/>
        <rFont val="Aptos Narrow"/>
        <family val="2"/>
        <scheme val="minor"/>
      </rPr>
      <t xml:space="preserve"> ANULADA</t>
    </r>
  </si>
  <si>
    <t>Habilitar en el sistema una sección para identificar el taller asociado a cada sección de un artículo</t>
  </si>
  <si>
    <t>Es necesario tener la capacidad de separar la producción realizada en talleres propios de aquella que es realizada por talleres externos y qué taller en cada caso.</t>
  </si>
  <si>
    <t>Modificar validación de pedidos duplicados por cliente, considerando una etiqueta a implementar, que permita determinar si se trata de la misma nota de pedido o una diferente.</t>
  </si>
  <si>
    <t>A partir de la implementación de una etiqueta que permita, identificar cuando la nota de pedido que se está ingresando corresponde a:
1. Preventa
2. Venta Colección
3. Reposición</t>
  </si>
  <si>
    <t>Registro de REPROCESOS de cortes totales o parciales en Adecom.</t>
  </si>
  <si>
    <t>Habilitar una alternativa que permita el reingreso total o parcial de una OC hacia una sección, con la finalidad de que sea reprocesada para la venta por una o más áreas de la fábrica.</t>
  </si>
  <si>
    <t>E. Rubio</t>
  </si>
  <si>
    <t>Etiqueta automática de control de inventario de telas</t>
  </si>
  <si>
    <t xml:space="preserve">Se requiere contar con una funcionalidad asociada a la acción de registro de salida de cada corte, que consista en la emisión e impresión automática de.
1.- Dos etiquetas grandes con la siguiente información:
Nombre de la Tela involucrada
Número de rollo de tela
Cantidad de metros consumidos en el corte
Cantidad de metros restantes en el rollo
</t>
  </si>
  <si>
    <t>MES DE PROCESO MARZO 2025</t>
  </si>
  <si>
    <t>INICIOS CICLOS DE PRODUCCION</t>
  </si>
  <si>
    <t xml:space="preserve"> TERMINACION REPARA ART 3865 Y 3871 DE TDF </t>
  </si>
  <si>
    <t>CORTE TENDIO EN LOS MESONES HASTA LAS 17,30 PM</t>
  </si>
  <si>
    <t>INFORMACION NO SE ENCUENTRA AL DIA EN EL SISTEMA</t>
  </si>
  <si>
    <t>VARIADOS INCIDENTES :1) ATRAQUE URRUTIA 500 UNIDADES</t>
  </si>
  <si>
    <t>2)MAQUINA 420 DAÑADA A LAS 17,00 PM // ATRASO LABOR JEFE LAVAND</t>
  </si>
  <si>
    <t>CORTE DE LUZ APAGON A PARTIR DE LAS 15,15 PM</t>
  </si>
  <si>
    <t>URRUTIA : PRETINA A MANO</t>
  </si>
  <si>
    <t>CORTE SOLO HAY TENDIDO EL DIA DE AYER</t>
  </si>
  <si>
    <t>CANTIDAD DE INCIDENTES: 3</t>
  </si>
  <si>
    <t>P.EQ</t>
  </si>
  <si>
    <t xml:space="preserve">    TERMINACION:ATRASADOS CON EL CORTE DE LUZ</t>
  </si>
  <si>
    <t>AUSENCIA ESTEBAN RUBIO / SE ESTÁ GESTIONANDO CARTA DE AMONESTACIÓN</t>
  </si>
  <si>
    <r>
      <t xml:space="preserve">CUELLO BOTELLA EN PLANCHADO, RALENTIZA LINEA PRODUCTIVA DE TERMINACION, SE REQUIERE </t>
    </r>
    <r>
      <rPr>
        <b/>
        <sz val="8"/>
        <color theme="1"/>
        <rFont val="Aptos Narrow"/>
        <family val="2"/>
        <scheme val="minor"/>
      </rPr>
      <t>PASAR DE PLANCHA A TOPPER</t>
    </r>
  </si>
  <si>
    <t>Taller de Urrutia, presenta  baja productividad debido a que 5 personas se encuentran con  Licencia Médica</t>
  </si>
  <si>
    <t xml:space="preserve">Lavandería ayer estuvo bajo debido a que los corrtes han ingresado desde el limpiado por partes. </t>
  </si>
  <si>
    <t>Producción esperada para el día en lavandería no se alcanzó debido a Fallo en Máquina Tonello G1-420 y desabastecimiento de agua a Caldera por problemas de presión.</t>
  </si>
  <si>
    <t>Lavandería se encontraba con un proceso lento y poca carga, recién el día viernes le ingresó un corte grande.</t>
  </si>
  <si>
    <t>Ausencia una persona en Terminación / Urrutia 3 personas con LM</t>
  </si>
  <si>
    <t>Ausencia Juan y Gigi en Terminación  /   Fallo máquina Lavandería, Prendas en focalizado y láser serán entregadas hoy / Ausencia Denisse Saavedra</t>
  </si>
  <si>
    <t>Se está gravillando una orden de 1.270, este proceso ralentiza la producción de lavandería, Gustavo evaluará posibilidad de trabajar sobretiempo hoy.</t>
  </si>
  <si>
    <t>Corte concluyó un saldo que quedaba desde el día anterior, y el resto del día se tendió tela en ambos mesones</t>
  </si>
  <si>
    <t>Rotura de un flexible de lavadora G130 más nueva, el día sábado se hizo el retiro del flexible.</t>
  </si>
  <si>
    <t>Reemplazo de flexible en Máquina G130 más nueva</t>
  </si>
  <si>
    <t>Devolución 26 prendas de Albasini Hermanos y 4 más de distintos clientes.</t>
  </si>
  <si>
    <t>Ausencia Marcela Abarca en Terminación</t>
  </si>
  <si>
    <t xml:space="preserve">Ausencia Marcela Abarca en Terminación, 7 días de reposo por Mutual de Seguridad </t>
  </si>
  <si>
    <t>MES DE PROCESO ABRIL 2025</t>
  </si>
  <si>
    <t>Corte ayer tendió para realizar 2 cortes hoy  OC 11361-Art. 2747 y OC 11353- Art. 3894, se cortaron  11 muestras.</t>
  </si>
  <si>
    <t>Fuga en Caldera por falla en sistema automático de control de funcionamiento, se cambia a modalidad manual de trabajo, para no detener la producción / 2 ausencias (Román Caballero e Ivonne Osorio)  y 1 LM en Terminación</t>
  </si>
  <si>
    <t>Esteban Rubio, ingresa más tarde y se retira antes por problemas de salud.</t>
  </si>
  <si>
    <t>Cliente Albasini e Hijos Ltda. devolvió 39 prendas $1.159.785.-, correspondientes a 3 art.  no solicitados éste, los cuales venían incluidos en nota de pedido enviada por P.Cuevas</t>
  </si>
  <si>
    <t>Fallo en funcionamiento de Secadora Aloña, y 2 Lavadoras Tonello, una lavadora se reestableció ayer con una revisión realizada por Gustavo, al término de la jornada don Manuel trabajó en la secadora y la otra Lavadora, ambas quedaron funcionando. Gustavo insiste en la propuesta de cofinanciar con Mavesa el viaje de un técnico italiano principalmente para la revisión y/o reparación de los sistemas eléctricos, como el reemplazo de variadores de frecuencia que están acusando termino de su vida útil y podrían paralizar la producción.
Corte tendió en los dos mesones el día martes, realizará el corte de 1.240 prendas.</t>
  </si>
  <si>
    <t>Cliente Multicentro devuelve 30 prendas $814.687 debido a doble facturación de 2 artículos, se reportará situación a don Carlos Alvarez, para revisar y/o activar medidas de mitigación ante este tipo de errorres.</t>
  </si>
  <si>
    <t>TOTAL</t>
  </si>
  <si>
    <t>OC</t>
  </si>
  <si>
    <t>FECHA</t>
  </si>
  <si>
    <t>TOTAL REPROCESOS MIE 09 ABR</t>
  </si>
  <si>
    <r>
      <t xml:space="preserve">Se realizaron </t>
    </r>
    <r>
      <rPr>
        <b/>
        <sz val="9"/>
        <color theme="1"/>
        <rFont val="Aptos Narrow"/>
        <family val="2"/>
        <scheme val="minor"/>
      </rPr>
      <t>147 reprocesos en prendas de Segunda Selección</t>
    </r>
    <r>
      <rPr>
        <sz val="9"/>
        <color theme="1"/>
        <rFont val="Aptos Narrow"/>
        <family val="2"/>
        <scheme val="minor"/>
      </rPr>
      <t>.  Falla funcionamiento Plotter San Gerardo, Alejandro Flores se encuentra trabajando hoy  Jueves 10.  Lavandería ayer hizo parte de un proceso que hubo que devolver a limpiado, por lo que hoy debe registrar producción.</t>
    </r>
  </si>
  <si>
    <r>
      <t xml:space="preserve">Cliente Sabina Quispe devuelve </t>
    </r>
    <r>
      <rPr>
        <b/>
        <sz val="9"/>
        <rFont val="Aptos Narrow"/>
        <family val="2"/>
        <scheme val="minor"/>
      </rPr>
      <t>48</t>
    </r>
    <r>
      <rPr>
        <sz val="9"/>
        <rFont val="Aptos Narrow"/>
        <family val="2"/>
        <scheme val="minor"/>
      </rPr>
      <t xml:space="preserve"> prendas </t>
    </r>
    <r>
      <rPr>
        <b/>
        <sz val="9"/>
        <rFont val="Aptos Narrow"/>
        <family val="2"/>
        <scheme val="minor"/>
      </rPr>
      <t>$1.427.429</t>
    </r>
    <r>
      <rPr>
        <sz val="9"/>
        <rFont val="Aptos Narrow"/>
        <family val="2"/>
        <scheme val="minor"/>
      </rPr>
      <t xml:space="preserve"> debido a Art. </t>
    </r>
    <r>
      <rPr>
        <b/>
        <sz val="9"/>
        <rFont val="Aptos Narrow"/>
        <family val="2"/>
        <scheme val="minor"/>
      </rPr>
      <t>3871 (25)</t>
    </r>
    <r>
      <rPr>
        <sz val="9"/>
        <rFont val="Aptos Narrow"/>
        <family val="2"/>
        <scheme val="minor"/>
      </rPr>
      <t xml:space="preserve"> - </t>
    </r>
    <r>
      <rPr>
        <b/>
        <sz val="9"/>
        <rFont val="Aptos Narrow"/>
        <family val="2"/>
        <scheme val="minor"/>
      </rPr>
      <t>3871-01  (23)</t>
    </r>
    <r>
      <rPr>
        <sz val="9"/>
        <rFont val="Aptos Narrow"/>
        <family val="2"/>
        <scheme val="minor"/>
      </rPr>
      <t>,  por baja venta de los artículos/ disconformidad con la tela.</t>
    </r>
  </si>
  <si>
    <t>Sin giro para corte / Trabajo nocturno sólo para postura  de metales (2 personas)</t>
  </si>
  <si>
    <t>Corte de Luz a las 14:52 hrs. detención de la producción hasta el día siguiente.</t>
  </si>
  <si>
    <t>En el Corte ayer se tendió tela y se cortaron 13 muestras</t>
  </si>
  <si>
    <t xml:space="preserve">                                                  </t>
  </si>
  <si>
    <t xml:space="preserve">                                                                                                                                                     </t>
  </si>
  <si>
    <t>Máquina G1 420 LW1 detenida por problemas de comunicación con PLC
Máquina G1 420 L1 detenida por : Problemas sensor sesto / Problemas con el llenado de agua muy lento /  Problemas con el indicador de temperatura / PLC desconecta abruptamente cuando la máquina está trabajando / Problemas con el variador de frecuencia, al 90% y la pantalla no está visible / PLC no mostró inicio , no contaba con sus luces, nosotros entre nuestros repuestos contábamos con uno y  lo cambiamos.</t>
  </si>
  <si>
    <t>Días hábiles restantes de 21</t>
  </si>
  <si>
    <t>EN DÍAS RESTANTES</t>
  </si>
  <si>
    <t>VALOR  NETO</t>
  </si>
  <si>
    <t>No hubo corte debido a la ausencia de Cortadores.</t>
  </si>
  <si>
    <t>MES DE PROCESO MAYO 2025</t>
  </si>
  <si>
    <t>Días hábiles restantes de 20</t>
  </si>
  <si>
    <t xml:space="preserve"> Se encuentran detenidos 590 prendas del Art. 3853 a la espera de hebilla de cinturon, se encuentran con metales aplicados y planchados.</t>
  </si>
  <si>
    <t>FACT. NETA</t>
  </si>
  <si>
    <t>Producción de lavandería menor debido a proceso de ajuste con cloro en el tono de fondo del Art. 3905, posteriormente hay que neutralizar y terminar el lavado, ralentizando  la producción. Terminación se encuentra con bajo flujo de ingreso al área.</t>
  </si>
  <si>
    <t>RECUPERA</t>
  </si>
  <si>
    <t>PRENDAS</t>
  </si>
  <si>
    <t>Ayer hubo corte de muestras y se tendió telas.</t>
  </si>
  <si>
    <t>Sin prendas para cortar</t>
  </si>
  <si>
    <t>12:30 hrs. rotura manguera aire acondicionado Laser Blaze</t>
  </si>
  <si>
    <t>MES DE PROCESO JUNIO 2025</t>
  </si>
  <si>
    <t xml:space="preserve">412 prendas art. 3941, presenta problemas con su  basta, Catálogo está con basta descosida y la producción se realizó con basta normal debido a que ficha técnica indica basta cosida. </t>
  </si>
  <si>
    <t xml:space="preserve">OC 11375 Art. 3954 Cantidad 1,002 (de Porvenir procesado en lavandería desde 10 jun 25), presenta pretinas reventadas , tiradores descosidos, costuras cortadas, saltadas y mal terminadas.  Corte se divide en 3 colores,  (1) Negro de 617 se arreglaron 320 (2) Gris de 160 practicamente todos presentan algún problema (3) Gravillado en proceso </t>
  </si>
  <si>
    <t>FACT. NETA  A MAYORISTAS</t>
  </si>
  <si>
    <t>FACT. NETA  A MAGIC WORLD</t>
  </si>
  <si>
    <t>MES DE PROCESO JULIO 2025</t>
  </si>
  <si>
    <t>Días hábiles restantes de 22</t>
  </si>
  <si>
    <t>MW</t>
  </si>
  <si>
    <t>MAYORISTA</t>
  </si>
  <si>
    <t>TOT SEM 1</t>
  </si>
  <si>
    <t>TOT  SEM 4</t>
  </si>
  <si>
    <t>TOT  SEM 3</t>
  </si>
  <si>
    <t>TOT  SEM 2</t>
  </si>
  <si>
    <t>TOT  SEM 5</t>
  </si>
  <si>
    <t>400+</t>
  </si>
  <si>
    <t>600+</t>
  </si>
  <si>
    <t>20+</t>
  </si>
  <si>
    <t>Evento con clientes en fábrica / Desfile</t>
  </si>
  <si>
    <t>META x DIA</t>
  </si>
  <si>
    <t>ACUMULADO</t>
  </si>
  <si>
    <t>POR DÍA RESTANTE</t>
  </si>
  <si>
    <t>599 a 500</t>
  </si>
  <si>
    <t>&lt;499</t>
  </si>
  <si>
    <t>&lt;299</t>
  </si>
  <si>
    <t>399 a 300</t>
  </si>
  <si>
    <t>20 a 10</t>
  </si>
  <si>
    <t>&lt;9</t>
  </si>
  <si>
    <t>DESPACHOS DIARIOS</t>
  </si>
  <si>
    <t xml:space="preserve">DESP. </t>
  </si>
  <si>
    <t>DESP</t>
  </si>
  <si>
    <t>MES DE PROCESO AGO 2025</t>
  </si>
  <si>
    <t>S/FASCO</t>
  </si>
  <si>
    <t>TOTAL REPROCESOS LUN 04 AGO</t>
  </si>
  <si>
    <t>Producción de lavandería baja debido a distintos tonos en la tela dentro de un mismo corte.</t>
  </si>
  <si>
    <r>
      <t xml:space="preserve">Corte ayer presentó problemas con el tendido de un corte en tela Ayla, debido a diferencia de color casi a la mitad del ancho de la tela en todo el largo del rollo.  Se tendió otro rollo de tela y se ingresó a lavandería una muestra para realizar una prueba de lavado. Gerente de producción envió video informativo y ssostuvo reunión con representantes del provedor para gestinar la situación y negociar compensación correspondiente. </t>
    </r>
    <r>
      <rPr>
        <b/>
        <sz val="9"/>
        <color theme="1"/>
        <rFont val="Aptos Narrow"/>
        <family val="2"/>
        <scheme val="minor"/>
      </rPr>
      <t xml:space="preserve">Nota: </t>
    </r>
    <r>
      <rPr>
        <sz val="9"/>
        <color theme="1"/>
        <rFont val="Aptos Narrow"/>
        <family val="2"/>
        <scheme val="minor"/>
      </rPr>
      <t xml:space="preserve"> El despacho de clientes es un número negativo debido a que la cantidad de prendas facturadas es inferior a las cantidad de prendas involucradas en las notas de crédito emitidas.</t>
    </r>
  </si>
  <si>
    <t>DÍA</t>
  </si>
  <si>
    <t>H</t>
  </si>
  <si>
    <t>F</t>
  </si>
  <si>
    <t>TALLER SYM</t>
  </si>
  <si>
    <t>La producción de lavandería es baja, ayer se procesaron 4 avances de producción de artículos que serán lavados hoy.</t>
  </si>
  <si>
    <r>
      <t xml:space="preserve">Ayer quedó tendido para corte hoy </t>
    </r>
    <r>
      <rPr>
        <b/>
        <sz val="9"/>
        <color theme="1"/>
        <rFont val="Aptos Narrow"/>
        <family val="2"/>
        <scheme val="minor"/>
      </rPr>
      <t>4059</t>
    </r>
    <r>
      <rPr>
        <sz val="9"/>
        <color theme="1"/>
        <rFont val="Aptos Narrow"/>
        <family val="2"/>
        <scheme val="minor"/>
      </rPr>
      <t xml:space="preserve"> (564 prendas), Taller entregó el corte completo e inició un corte de </t>
    </r>
    <r>
      <rPr>
        <b/>
        <sz val="9"/>
        <color theme="1"/>
        <rFont val="Aptos Narrow"/>
        <family val="2"/>
        <scheme val="minor"/>
      </rPr>
      <t xml:space="preserve">50 prendas (4056) </t>
    </r>
    <r>
      <rPr>
        <sz val="9"/>
        <color theme="1"/>
        <rFont val="Aptos Narrow"/>
        <family val="2"/>
        <scheme val="minor"/>
      </rPr>
      <t xml:space="preserve">y continuará con otro de </t>
    </r>
    <r>
      <rPr>
        <b/>
        <sz val="9"/>
        <color theme="1"/>
        <rFont val="Aptos Narrow"/>
        <family val="2"/>
        <scheme val="minor"/>
      </rPr>
      <t>610 prendas (4021)</t>
    </r>
    <r>
      <rPr>
        <sz val="9"/>
        <color theme="1"/>
        <rFont val="Aptos Narrow"/>
        <family val="2"/>
        <scheme val="minor"/>
      </rPr>
      <t xml:space="preserve">. </t>
    </r>
  </si>
  <si>
    <r>
      <t xml:space="preserve">Producción de terminación sin concluir sólo por problema con término de la bota del art. </t>
    </r>
    <r>
      <rPr>
        <b/>
        <sz val="9"/>
        <color theme="1"/>
        <rFont val="Aptos Narrow"/>
        <family val="2"/>
        <scheme val="minor"/>
      </rPr>
      <t>4023 (692 prendas)</t>
    </r>
    <r>
      <rPr>
        <sz val="9"/>
        <color theme="1"/>
        <rFont val="Aptos Narrow"/>
        <family val="2"/>
        <scheme val="minor"/>
      </rPr>
      <t>, el resto (metales, atraques, etiquetas, hang tags) se encuentran listos.</t>
    </r>
  </si>
  <si>
    <t>Corte de electricidad en Taller Urrutia a partir de las  11:30 hrs.  El personal  hizo retiro  alrededor de las 12:00 del taller, concretandose el cierre total por parte de la Jefe de Taller  aprox. 12:50</t>
  </si>
  <si>
    <t>El día sábado hubo problemas con la presión del agua, la piscina se vació, se pudo cargar una máquina, no fue posible completar producción, el día lunes debiera salir una producción estimada de 900 prendas.</t>
  </si>
  <si>
    <t>|</t>
  </si>
  <si>
    <t>Corte de luz programado en San Gerardo 1079, que se concretó aprox. a las 11:25 de la mañana con retorno de energía cerca del termino del día. A la hora del cierre de la instalación, cerca de las 18:30 las baterías para conexión de alarma ya no funcionaban, por lo que no se pudo concretarse el armado de alarmas.</t>
  </si>
  <si>
    <t>DETALLE REPROCESOS PRENDAS SEGUNDA SELECCIÓN</t>
  </si>
  <si>
    <t>ARTÍCULO</t>
  </si>
  <si>
    <t>&lt;=299</t>
  </si>
  <si>
    <t>&lt;=499</t>
  </si>
  <si>
    <t>Terminación presenta un retraso debido a manualidad extra por el recorte de piezas puestas con pegamento por el revés, en atraques del artículo 4010.</t>
  </si>
  <si>
    <t>Ayer se cortaron muestras en set y quedó tendida la OC 11472 del art. 4121</t>
  </si>
  <si>
    <t>Se tendió para corte el art. 4064</t>
  </si>
  <si>
    <t>Se tendió el art. 4016</t>
  </si>
  <si>
    <t>MES DE SEPTIEMBRE 2025</t>
  </si>
  <si>
    <r>
      <t xml:space="preserve">Se cortó forro de los art. 4064 y 4010; se tendió art. 4010. Servicios Externos de Lavandería </t>
    </r>
    <r>
      <rPr>
        <b/>
        <sz val="9"/>
        <color theme="1"/>
        <rFont val="Aptos Narrow"/>
        <family val="2"/>
        <scheme val="minor"/>
      </rPr>
      <t>346 prendas</t>
    </r>
    <r>
      <rPr>
        <sz val="9"/>
        <color theme="1"/>
        <rFont val="Aptos Narrow"/>
        <family val="2"/>
        <scheme val="minor"/>
      </rPr>
      <t xml:space="preserve"> (80 suavizado + 266 gravillado)</t>
    </r>
  </si>
  <si>
    <r>
      <t xml:space="preserve">Lavandería </t>
    </r>
    <r>
      <rPr>
        <b/>
        <sz val="9"/>
        <color theme="1"/>
        <rFont val="Aptos Narrow"/>
        <family val="2"/>
        <scheme val="minor"/>
      </rPr>
      <t>206 prendas</t>
    </r>
    <r>
      <rPr>
        <sz val="9"/>
        <color theme="1"/>
        <rFont val="Aptos Narrow"/>
        <family val="2"/>
        <scheme val="minor"/>
      </rPr>
      <t xml:space="preserve"> x servicios a terceros.</t>
    </r>
  </si>
  <si>
    <t>Se tendió y cortó Art. 4001 (150 prendas) OC 11482  y se comenzó a tender Art. 4116 OC 11484</t>
  </si>
  <si>
    <t>METAS OCTUBRE 2025</t>
  </si>
  <si>
    <t>Se terminó de tender y se cortó art.4116 o/c 11484=602</t>
  </si>
  <si>
    <t>RECUPERACION</t>
  </si>
  <si>
    <t>REPROCESOS ó</t>
  </si>
  <si>
    <t>Se tendió y cortó art. 4012 o/c 11480=290 prendas; Se tendió y cortó art.4064 o/c 11486=54 prendas. Lavandería hizo un reproceso del Art. 4023-01, por 71 prendas para venta Cyber</t>
  </si>
  <si>
    <t>Se comenzó a tender el artículo 4044</t>
  </si>
  <si>
    <t>Se tendió y corto forro para artículos 4122 y 4044.  Se inició el tendido de Art. 4124 OC/11489 por 500 prendas (Se cortaron 400 prendas de ese corte). Lavandería reprocesó artículos  4029-90 (Glitter), 4018-00 (110)  para Cyber</t>
  </si>
  <si>
    <t>Taller Urrutia, trabajo en atraques, ojales y pasadores de 462 prendas del art. 4067 proveniente de Porvenir más el pegado de estrellas para el artículo 4106</t>
  </si>
  <si>
    <t>Corte tendió Art. 4155</t>
  </si>
  <si>
    <t>Corte tendió Art. 4110 y cortó una parte del mismo.  Se cortó forro Art. 4155</t>
  </si>
  <si>
    <t>Corte inició el tendido del art. 4169-00</t>
  </si>
  <si>
    <t>Corte tendió art. 4169-01</t>
  </si>
  <si>
    <t>METAS NOVIEMBRE 2025</t>
  </si>
  <si>
    <t>Corte Tendió Art. 4015 y Art. 4166</t>
  </si>
  <si>
    <t>Se inició el tendido del Art. 4130/ Confección con baja producción por insumos incompletos para el corte.</t>
  </si>
  <si>
    <r>
      <t xml:space="preserve">Tendido del Art. 4106 / </t>
    </r>
    <r>
      <rPr>
        <b/>
        <sz val="9"/>
        <rFont val="Aptos Narrow"/>
        <family val="2"/>
        <scheme val="minor"/>
      </rPr>
      <t xml:space="preserve">San Gerardo con Corte de Luz Programado </t>
    </r>
    <r>
      <rPr>
        <sz val="9"/>
        <rFont val="Aptos Narrow"/>
        <family val="2"/>
        <scheme val="minor"/>
      </rPr>
      <t>/ Confección con baja producción por insumos injcompletos para el corte.</t>
    </r>
  </si>
  <si>
    <r>
      <rPr>
        <b/>
        <sz val="9"/>
        <rFont val="Aptos Narrow"/>
        <family val="2"/>
        <scheme val="minor"/>
      </rPr>
      <t>Robo materias primas y producción</t>
    </r>
    <r>
      <rPr>
        <sz val="9"/>
        <rFont val="Aptos Narrow"/>
        <family val="2"/>
        <scheme val="minor"/>
      </rPr>
      <t xml:space="preserve"> de TDF Art 4004 O.C. 11459 </t>
    </r>
    <r>
      <rPr>
        <b/>
        <sz val="9"/>
        <rFont val="Aptos Narrow"/>
        <family val="2"/>
        <scheme val="minor"/>
      </rPr>
      <t>cantidad 536</t>
    </r>
    <r>
      <rPr>
        <sz val="9"/>
        <rFont val="Aptos Narrow"/>
        <family val="2"/>
        <scheme val="minor"/>
      </rPr>
      <t xml:space="preserve"> tela New Glue / Art 4064 O.C. 11453  </t>
    </r>
    <r>
      <rPr>
        <b/>
        <sz val="9"/>
        <rFont val="Aptos Narrow"/>
        <family val="2"/>
        <scheme val="minor"/>
      </rPr>
      <t>cantidad 54</t>
    </r>
    <r>
      <rPr>
        <sz val="9"/>
        <rFont val="Aptos Narrow"/>
        <family val="2"/>
        <scheme val="minor"/>
      </rPr>
      <t xml:space="preserve"> tela López ( Talla 36/40 y Talla 40/14)</t>
    </r>
  </si>
  <si>
    <r>
      <rPr>
        <b/>
        <sz val="9"/>
        <rFont val="Aptos Narrow"/>
        <family val="2"/>
        <scheme val="minor"/>
      </rPr>
      <t>Inicio cierre tránsito por calle San Gerardo</t>
    </r>
    <r>
      <rPr>
        <sz val="9"/>
        <rFont val="Aptos Narrow"/>
        <family val="2"/>
        <scheme val="minor"/>
      </rPr>
      <t>, por trabajos de renovación de calzada.</t>
    </r>
  </si>
  <si>
    <r>
      <t xml:space="preserve">Corte inició tendido de Art. 4137 /  </t>
    </r>
    <r>
      <rPr>
        <b/>
        <sz val="9"/>
        <color theme="1"/>
        <rFont val="Aptos Narrow"/>
        <family val="2"/>
        <scheme val="minor"/>
      </rPr>
      <t>retiro circulación  Camioneta KHGW55-K</t>
    </r>
    <r>
      <rPr>
        <sz val="9"/>
        <color theme="1"/>
        <rFont val="Aptos Narrow"/>
        <family val="2"/>
        <scheme val="minor"/>
      </rPr>
      <t>, por falta revisión técnica.</t>
    </r>
  </si>
  <si>
    <t>Trabajo excepcional autorizado</t>
  </si>
  <si>
    <t>Corte de luz programado en San Gerardo desde las 11:00 a las 17:00 horas</t>
  </si>
  <si>
    <t>Lavandería comenzó a preparar para focalizado y manualidad y gravillado</t>
  </si>
  <si>
    <t>Trabajo excepcional Corte autorizado</t>
  </si>
  <si>
    <t xml:space="preserve"> </t>
  </si>
  <si>
    <t>Corte tendió art. 4170 OC 11504 por 608 prendas</t>
  </si>
  <si>
    <t>Corte tendió art. 4109 OC 11503 por 602 prendas</t>
  </si>
  <si>
    <t>Corte inició tendido de Art. 4168 OC 11505 por 500 prendas</t>
  </si>
  <si>
    <t>DÍAS HÁBILES RESTANTES</t>
  </si>
  <si>
    <t>DÍAS HÁBILES MES</t>
  </si>
  <si>
    <t>REPRO</t>
  </si>
  <si>
    <t>DÍAS HÁBILES TRANSCURRIDOS</t>
  </si>
  <si>
    <t>% ESPERADO DEL MES</t>
  </si>
  <si>
    <t>Se pausa planchado por traslado de muestrario a sesión de fotografías / Corte inició tendido Art. 4136</t>
  </si>
  <si>
    <t>Corte informa que no hubo trabajo</t>
  </si>
  <si>
    <t>Corte informa tendido Art. 4201 OC 11507</t>
  </si>
  <si>
    <t>CORTE_P</t>
  </si>
  <si>
    <t>CORTE_M</t>
  </si>
  <si>
    <t>TALLER_SYM_P</t>
  </si>
  <si>
    <t>TALLER_SYM_M</t>
  </si>
  <si>
    <t>TALLER_EX_P</t>
  </si>
  <si>
    <t>LAVANDERÍA_P</t>
  </si>
  <si>
    <t>LAVANDERÍA_M</t>
  </si>
  <si>
    <t>TERMINACIÓN_P</t>
  </si>
  <si>
    <t>TERMINACIÓN_M</t>
  </si>
  <si>
    <t>Sin cortes terminados.</t>
  </si>
  <si>
    <t>4) Proyección al cierre del mes</t>
  </si>
  <si>
    <t>(Producción promedio diario × días hábiles totales)</t>
  </si>
  <si>
    <t>Cálculo:</t>
  </si>
  <si>
    <t>Producción promedio = acumulado / días hábiles transcurridos</t>
  </si>
  <si>
    <t>Ejemplo Corte → 4.415 / 8 ≈ 552 prendas/día</t>
  </si>
  <si>
    <r>
      <t xml:space="preserve">Proyección = 552 × 20 = </t>
    </r>
    <r>
      <rPr>
        <b/>
        <sz val="11"/>
        <color theme="1"/>
        <rFont val="Aptos Narrow"/>
        <family val="2"/>
        <scheme val="minor"/>
      </rPr>
      <t>11.040</t>
    </r>
  </si>
  <si>
    <t>FALTANTE RESTO MES</t>
  </si>
  <si>
    <t>PROYECCIÓN DE CIERRE A RITMO ACTUAL</t>
  </si>
  <si>
    <t xml:space="preserve">Corte informa tendido Art. 4135 OC </t>
  </si>
  <si>
    <t>META DIARIA DE RECUPERACIÓN RESTO MES</t>
  </si>
  <si>
    <r>
      <rPr>
        <b/>
        <sz val="10"/>
        <color theme="0"/>
        <rFont val="Aptos Narrow"/>
        <family val="2"/>
        <scheme val="minor"/>
      </rPr>
      <t>%</t>
    </r>
    <r>
      <rPr>
        <b/>
        <sz val="9"/>
        <color theme="0"/>
        <rFont val="Aptos Narrow"/>
        <family val="2"/>
        <scheme val="minor"/>
      </rPr>
      <t xml:space="preserve"> AVANCE REAL v/s AVANCE ESPERADO</t>
    </r>
  </si>
  <si>
    <r>
      <rPr>
        <b/>
        <sz val="10"/>
        <color theme="0"/>
        <rFont val="Aptos Narrow"/>
        <family val="2"/>
        <scheme val="minor"/>
      </rPr>
      <t>%</t>
    </r>
    <r>
      <rPr>
        <b/>
        <sz val="9"/>
        <color theme="0"/>
        <rFont val="Aptos Narrow"/>
        <family val="2"/>
        <scheme val="minor"/>
      </rPr>
      <t xml:space="preserve"> CUMPLIMIENTO META MENSUAL</t>
    </r>
  </si>
  <si>
    <t>REPROCESOS</t>
  </si>
  <si>
    <t>DESPACHOS</t>
  </si>
  <si>
    <t>FACT. MAYORISTA</t>
  </si>
  <si>
    <t>VENTA INTERNA</t>
  </si>
  <si>
    <t>FACT. MAGIC</t>
  </si>
  <si>
    <t>DÍAS HÁBILES PASADOS</t>
  </si>
  <si>
    <t>Lavandería hizo servicios externos con un total de 152 prendas.  Corte informa tendido Art. 4124 OC 11510</t>
  </si>
  <si>
    <t>Corte tendió Art. 4189</t>
  </si>
  <si>
    <t>Lavandería ayer preparó curvas para entrega hoy</t>
  </si>
  <si>
    <r>
      <t xml:space="preserve">Corte informa tendido </t>
    </r>
    <r>
      <rPr>
        <b/>
        <sz val="9"/>
        <color theme="1"/>
        <rFont val="Aptos Narrow"/>
        <family val="2"/>
        <scheme val="minor"/>
      </rPr>
      <t>Art. 4171 OC 11515</t>
    </r>
    <r>
      <rPr>
        <sz val="9"/>
        <color theme="1"/>
        <rFont val="Aptos Narrow"/>
        <family val="2"/>
        <scheme val="minor"/>
      </rPr>
      <t xml:space="preserve">, e inicio tendido </t>
    </r>
    <r>
      <rPr>
        <b/>
        <sz val="9"/>
        <color theme="1"/>
        <rFont val="Aptos Narrow"/>
        <family val="2"/>
        <scheme val="minor"/>
      </rPr>
      <t>Art. 4142</t>
    </r>
    <r>
      <rPr>
        <sz val="9"/>
        <color theme="1"/>
        <rFont val="Aptos Narrow"/>
        <family val="2"/>
        <scheme val="minor"/>
      </rPr>
      <t xml:space="preserve"> </t>
    </r>
    <r>
      <rPr>
        <b/>
        <sz val="9"/>
        <color theme="1"/>
        <rFont val="Aptos Narrow"/>
        <family val="2"/>
        <scheme val="minor"/>
      </rPr>
      <t>OC 11518</t>
    </r>
  </si>
  <si>
    <r>
      <t xml:space="preserve">Corte informa tendido </t>
    </r>
    <r>
      <rPr>
        <b/>
        <sz val="9"/>
        <color theme="1"/>
        <rFont val="Aptos Narrow"/>
        <family val="2"/>
        <scheme val="minor"/>
      </rPr>
      <t>Art. 4192 OC 11516</t>
    </r>
    <r>
      <rPr>
        <sz val="9"/>
        <color theme="1"/>
        <rFont val="Aptos Narrow"/>
        <family val="2"/>
        <scheme val="minor"/>
      </rPr>
      <t xml:space="preserve">  y </t>
    </r>
    <r>
      <rPr>
        <b/>
        <sz val="9"/>
        <color theme="1"/>
        <rFont val="Aptos Narrow"/>
        <family val="2"/>
        <scheme val="minor"/>
      </rPr>
      <t>Art. 4176 OC 11519</t>
    </r>
  </si>
  <si>
    <r>
      <t>Corte informa tendido y corte en el mismo día para el</t>
    </r>
    <r>
      <rPr>
        <b/>
        <sz val="9"/>
        <color theme="1"/>
        <rFont val="Aptos Narrow"/>
        <family val="2"/>
        <scheme val="minor"/>
      </rPr>
      <t xml:space="preserve"> Art. 4202 OC 11514</t>
    </r>
  </si>
  <si>
    <r>
      <t xml:space="preserve">Corte informa tendido </t>
    </r>
    <r>
      <rPr>
        <b/>
        <sz val="9"/>
        <color theme="1"/>
        <rFont val="Aptos Narrow"/>
        <family val="2"/>
        <scheme val="minor"/>
      </rPr>
      <t>Art. 4201 OC 11507</t>
    </r>
  </si>
  <si>
    <r>
      <t xml:space="preserve">Corte informa tendido </t>
    </r>
    <r>
      <rPr>
        <b/>
        <sz val="9"/>
        <rFont val="Aptos Narrow"/>
        <family val="2"/>
        <scheme val="minor"/>
      </rPr>
      <t>Art. 4135 OC 11508</t>
    </r>
  </si>
  <si>
    <t>METAS DICIEMBRE 2025</t>
  </si>
  <si>
    <t>Corte informa el tendido del Art. 4158 OC 11522</t>
  </si>
  <si>
    <t xml:space="preserve">Corte informa el tendido del Art. 4128 OC 11521 / Taller sin producción, las unidades informadas corresponden a 278 Bolsillos con tapas  Art. 004006 OC 11512/ 407 Bolsillos con cierre Art. 004005 OC 11513/ 102 Bolsas </t>
  </si>
  <si>
    <t>Corte informa el tendido del Art. 4148 OC 11526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</si>
</sst>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83" x14ac:knownFonts="1">
    <font>
      <sz val="11"/>
      <color theme="1"/>
      <name val="Aptos Narrow"/>
      <family val="2"/>
      <scheme val="minor"/>
    </font>
    <font>
      <b/>
      <sz val="11"/>
      <color theme="0"/>
      <name val="Aptos Narrow"/>
      <family val="2"/>
      <scheme val="minor"/>
    </font>
    <font>
      <b/>
      <sz val="26"/>
      <color theme="1"/>
      <name val="Aptos Narrow"/>
      <family val="2"/>
      <scheme val="minor"/>
    </font>
    <font>
      <b/>
      <sz val="14"/>
      <color theme="1"/>
      <name val="Aptos Narrow"/>
      <family val="2"/>
      <scheme val="minor"/>
    </font>
    <font>
      <b/>
      <sz val="18"/>
      <color rgb="FFFF0000"/>
      <name val="Aptos Narrow"/>
      <family val="2"/>
      <scheme val="minor"/>
    </font>
    <font>
      <b/>
      <sz val="24"/>
      <color theme="1"/>
      <name val="Aptos Narrow"/>
      <family val="2"/>
      <scheme val="minor"/>
    </font>
    <font>
      <b/>
      <sz val="10"/>
      <color theme="0"/>
      <name val="Aptos Narrow"/>
      <family val="2"/>
      <scheme val="minor"/>
    </font>
    <font>
      <b/>
      <sz val="9"/>
      <color theme="0"/>
      <name val="Aptos Narrow"/>
      <family val="2"/>
      <scheme val="minor"/>
    </font>
    <font>
      <b/>
      <sz val="9.5"/>
      <color theme="1"/>
      <name val="Aptos Narrow"/>
      <family val="2"/>
      <scheme val="minor"/>
    </font>
    <font>
      <sz val="9.5"/>
      <color theme="1"/>
      <name val="Aptos Narrow"/>
      <family val="2"/>
      <scheme val="minor"/>
    </font>
    <font>
      <sz val="9.5"/>
      <name val="Aptos Narrow"/>
      <family val="2"/>
      <scheme val="minor"/>
    </font>
    <font>
      <sz val="9"/>
      <color theme="1"/>
      <name val="Aptos Narrow"/>
      <family val="2"/>
      <scheme val="minor"/>
    </font>
    <font>
      <b/>
      <sz val="9.5"/>
      <name val="Aptos Narrow"/>
      <family val="2"/>
      <scheme val="minor"/>
    </font>
    <font>
      <b/>
      <sz val="9.5"/>
      <color rgb="FFFF0000"/>
      <name val="Aptos Narrow"/>
      <family val="2"/>
      <scheme val="minor"/>
    </font>
    <font>
      <b/>
      <sz val="9"/>
      <color rgb="FFFF0000"/>
      <name val="Aptos Narrow"/>
      <family val="2"/>
      <scheme val="minor"/>
    </font>
    <font>
      <b/>
      <sz val="9.5"/>
      <color theme="0"/>
      <name val="Aptos Narrow"/>
      <family val="2"/>
      <scheme val="minor"/>
    </font>
    <font>
      <b/>
      <sz val="9"/>
      <color theme="1"/>
      <name val="Aptos Narrow"/>
      <family val="2"/>
      <scheme val="minor"/>
    </font>
    <font>
      <sz val="9"/>
      <color theme="0"/>
      <name val="Aptos Narrow"/>
      <family val="2"/>
      <scheme val="minor"/>
    </font>
    <font>
      <b/>
      <sz val="10"/>
      <name val="Aptos Narrow"/>
      <family val="2"/>
      <scheme val="minor"/>
    </font>
    <font>
      <b/>
      <sz val="9"/>
      <color indexed="81"/>
      <name val="Tahoma"/>
      <family val="2"/>
    </font>
    <font>
      <sz val="9"/>
      <color indexed="81"/>
      <name val="Tahoma"/>
      <family val="2"/>
    </font>
    <font>
      <b/>
      <sz val="11"/>
      <color theme="1"/>
      <name val="Aptos Narrow"/>
      <family val="2"/>
      <scheme val="minor"/>
    </font>
    <font>
      <b/>
      <sz val="11"/>
      <color rgb="FFFF0000"/>
      <name val="Aptos Narrow"/>
      <family val="2"/>
      <scheme val="minor"/>
    </font>
    <font>
      <b/>
      <sz val="12"/>
      <name val="Roboto"/>
      <family val="2"/>
    </font>
    <font>
      <b/>
      <sz val="11"/>
      <name val="Roboto"/>
    </font>
    <font>
      <b/>
      <sz val="11"/>
      <name val="Aptos Narrow"/>
      <family val="2"/>
      <scheme val="minor"/>
    </font>
    <font>
      <sz val="10"/>
      <name val="Aptos Narrow"/>
      <family val="2"/>
      <scheme val="minor"/>
    </font>
    <font>
      <sz val="10"/>
      <name val="Roboto"/>
      <family val="2"/>
    </font>
    <font>
      <b/>
      <sz val="10"/>
      <color rgb="FFFFFFFF"/>
      <name val="Roboto"/>
    </font>
    <font>
      <b/>
      <sz val="10"/>
      <name val="Roboto"/>
    </font>
    <font>
      <b/>
      <sz val="10"/>
      <color rgb="FFFF0000"/>
      <name val="Roboto"/>
    </font>
    <font>
      <b/>
      <sz val="10"/>
      <color theme="3" tint="0.39997558519241921"/>
      <name val="Roboto"/>
    </font>
    <font>
      <b/>
      <sz val="10"/>
      <color rgb="FFFF0000"/>
      <name val="Aptos Narrow"/>
      <family val="2"/>
      <scheme val="minor"/>
    </font>
    <font>
      <sz val="11"/>
      <name val="Aptos Narrow"/>
      <family val="2"/>
      <scheme val="minor"/>
    </font>
    <font>
      <sz val="12"/>
      <name val="Aptos Narrow"/>
      <family val="2"/>
      <scheme val="minor"/>
    </font>
    <font>
      <sz val="10"/>
      <name val="Roboto"/>
    </font>
    <font>
      <b/>
      <sz val="11"/>
      <color rgb="FFFF0000"/>
      <name val="Roboto"/>
    </font>
    <font>
      <b/>
      <sz val="11"/>
      <name val="Calibri"/>
      <family val="2"/>
    </font>
    <font>
      <sz val="10"/>
      <color theme="1"/>
      <name val="Aptos Narrow"/>
      <family val="2"/>
      <scheme val="minor"/>
    </font>
    <font>
      <sz val="9"/>
      <name val="Aptos Narrow"/>
      <family val="2"/>
      <scheme val="minor"/>
    </font>
    <font>
      <sz val="9"/>
      <color rgb="FFFF0000"/>
      <name val="Aptos Narrow"/>
      <family val="2"/>
      <scheme val="minor"/>
    </font>
    <font>
      <sz val="9.5"/>
      <color rgb="FFFF0000"/>
      <name val="Aptos Narrow"/>
      <family val="2"/>
      <scheme val="minor"/>
    </font>
    <font>
      <sz val="8"/>
      <color theme="1"/>
      <name val="Aptos Narrow"/>
      <family val="2"/>
      <scheme val="minor"/>
    </font>
    <font>
      <b/>
      <sz val="8"/>
      <color theme="1"/>
      <name val="Aptos Narrow"/>
      <family val="2"/>
      <scheme val="minor"/>
    </font>
    <font>
      <b/>
      <sz val="11"/>
      <color theme="1"/>
      <name val="Calibri"/>
      <family val="2"/>
    </font>
    <font>
      <sz val="10"/>
      <color theme="1"/>
      <name val="Calibri"/>
      <family val="2"/>
    </font>
    <font>
      <b/>
      <sz val="10"/>
      <color theme="1"/>
      <name val="Calibri"/>
      <family val="2"/>
    </font>
    <font>
      <sz val="11"/>
      <color theme="1"/>
      <name val="Calibri"/>
      <family val="2"/>
    </font>
    <font>
      <b/>
      <sz val="12"/>
      <color theme="1"/>
      <name val="Calibri"/>
      <family val="2"/>
    </font>
    <font>
      <b/>
      <sz val="9"/>
      <name val="Aptos Narrow"/>
      <family val="2"/>
      <scheme val="minor"/>
    </font>
    <font>
      <b/>
      <sz val="9.5"/>
      <color theme="3" tint="0.499984740745262"/>
      <name val="Aptos Narrow"/>
      <family val="2"/>
      <scheme val="minor"/>
    </font>
    <font>
      <b/>
      <sz val="9.5"/>
      <color rgb="FFEE0000"/>
      <name val="Aptos Narrow"/>
      <family val="2"/>
      <scheme val="minor"/>
    </font>
    <font>
      <sz val="11"/>
      <color theme="1"/>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b/>
      <sz val="18"/>
      <color theme="3"/>
      <name val="Aptos Display"/>
      <family val="2"/>
      <scheme val="major"/>
    </font>
    <font>
      <sz val="11"/>
      <color rgb="FF9C6500"/>
      <name val="Aptos Narrow"/>
      <family val="2"/>
      <scheme val="minor"/>
    </font>
    <font>
      <b/>
      <sz val="16"/>
      <color theme="1"/>
      <name val="Aptos Narrow"/>
      <family val="2"/>
      <scheme val="minor"/>
    </font>
    <font>
      <b/>
      <sz val="9"/>
      <color theme="1"/>
      <name val="Calibri"/>
      <family val="2"/>
    </font>
    <font>
      <b/>
      <sz val="10"/>
      <color theme="0"/>
      <name val="Calibri"/>
      <family val="2"/>
    </font>
    <font>
      <b/>
      <sz val="11"/>
      <color theme="0"/>
      <name val="Calibri"/>
      <family val="2"/>
    </font>
    <font>
      <b/>
      <sz val="10"/>
      <color theme="1" tint="4.9989318521683403E-2"/>
      <name val="Aptos Narrow"/>
      <family val="2"/>
      <scheme val="minor"/>
    </font>
    <font>
      <b/>
      <sz val="12"/>
      <color theme="0"/>
      <name val="Calibri"/>
      <family val="2"/>
    </font>
    <font>
      <b/>
      <sz val="16"/>
      <color rgb="FFFF0000"/>
      <name val="Aptos Narrow"/>
      <family val="2"/>
      <scheme val="minor"/>
    </font>
    <font>
      <b/>
      <sz val="16"/>
      <color theme="1" tint="4.9989318521683403E-2"/>
      <name val="Aptos Narrow"/>
      <family val="2"/>
      <scheme val="minor"/>
    </font>
    <font>
      <i/>
      <sz val="11"/>
      <color theme="1"/>
      <name val="Aptos Narrow"/>
      <family val="2"/>
      <scheme val="minor"/>
    </font>
    <font>
      <b/>
      <sz val="10"/>
      <color theme="1"/>
      <name val="Aptos Narrow"/>
      <family val="2"/>
      <scheme val="minor"/>
    </font>
    <font>
      <b/>
      <sz val="12"/>
      <name val="Aptos Narrow"/>
      <family val="2"/>
      <scheme val="minor"/>
    </font>
    <font>
      <b/>
      <sz val="12"/>
      <color theme="1" tint="4.9989318521683403E-2"/>
      <name val="Aptos Narrow"/>
      <family val="2"/>
      <scheme val="minor"/>
    </font>
    <font>
      <b/>
      <sz val="12"/>
      <color theme="1"/>
      <name val="Aptos Narrow"/>
      <family val="2"/>
      <scheme val="minor"/>
    </font>
    <font>
      <b/>
      <sz val="12"/>
      <color theme="0"/>
      <name val="Aptos Narrow"/>
      <family val="2"/>
      <scheme val="minor"/>
    </font>
    <font>
      <sz val="9"/>
      <color indexed="81"/>
      <name val="Tahoma"/>
      <charset val="1"/>
    </font>
    <font>
      <b/>
      <sz val="9"/>
      <color indexed="81"/>
      <name val="Tahoma"/>
      <charset val="1"/>
    </font>
  </fonts>
  <fills count="56">
    <fill>
      <patternFill patternType="none"/>
    </fill>
    <fill>
      <patternFill patternType="gray125"/>
    </fill>
    <fill>
      <patternFill patternType="solid">
        <fgColor theme="0" tint="-4.9989318521683403E-2"/>
        <bgColor indexed="64"/>
      </patternFill>
    </fill>
    <fill>
      <patternFill patternType="solid">
        <fgColor theme="1" tint="0.14999847407452621"/>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rgb="FF00B050"/>
        <bgColor indexed="64"/>
      </patternFill>
    </fill>
    <fill>
      <patternFill patternType="solid">
        <fgColor rgb="FFFF0000"/>
        <bgColor indexed="64"/>
      </patternFill>
    </fill>
    <fill>
      <patternFill patternType="solid">
        <fgColor rgb="FFE0E0E0"/>
      </patternFill>
    </fill>
    <fill>
      <patternFill patternType="solid">
        <fgColor rgb="FFF50000"/>
      </patternFill>
    </fill>
    <fill>
      <patternFill patternType="solid">
        <fgColor theme="4" tint="-0.249977111117893"/>
        <bgColor indexed="64"/>
      </patternFill>
    </fill>
    <fill>
      <patternFill patternType="solid">
        <fgColor rgb="FFFF66FF"/>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theme="3" tint="0.89999084444715716"/>
        <bgColor indexed="64"/>
      </patternFill>
    </fill>
    <fill>
      <patternFill patternType="solid">
        <fgColor rgb="FFEE0000"/>
        <bgColor indexed="64"/>
      </patternFill>
    </fill>
    <fill>
      <patternFill patternType="solid">
        <fgColor theme="1"/>
        <bgColor indexed="64"/>
      </patternFill>
    </fill>
    <fill>
      <patternFill patternType="solid">
        <fgColor theme="9" tint="0.79998168889431442"/>
        <bgColor indexed="64"/>
      </patternFill>
    </fill>
    <fill>
      <patternFill patternType="solid">
        <fgColor rgb="FFFFC5C5"/>
        <bgColor indexed="64"/>
      </patternFill>
    </fill>
    <fill>
      <patternFill patternType="solid">
        <fgColor rgb="FFFFFFCC"/>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
      <patternFill patternType="solid">
        <fgColor theme="3" tint="0.749992370372631"/>
        <bgColor indexed="64"/>
      </patternFill>
    </fill>
    <fill>
      <patternFill patternType="solid">
        <fgColor theme="9"/>
        <bgColor indexed="64"/>
      </patternFill>
    </fill>
    <fill>
      <patternFill patternType="solid">
        <fgColor theme="8" tint="0.39997558519241921"/>
        <bgColor indexed="64"/>
      </patternFill>
    </fill>
    <fill>
      <patternFill patternType="solid">
        <fgColor theme="3" tint="0.249977111117893"/>
        <bgColor indexed="64"/>
      </patternFill>
    </fill>
  </fills>
  <borders count="217">
    <border>
      <left/>
      <right/>
      <top/>
      <bottom/>
      <diagonal/>
    </border>
    <border>
      <left/>
      <right/>
      <top/>
      <bottom style="medium">
        <color theme="1" tint="0.24994659260841701"/>
      </bottom>
      <diagonal/>
    </border>
    <border>
      <left/>
      <right style="thin">
        <color theme="0" tint="-0.34998626667073579"/>
      </right>
      <top/>
      <bottom style="medium">
        <color theme="1" tint="0.24994659260841701"/>
      </bottom>
      <diagonal/>
    </border>
    <border>
      <left style="thin">
        <color theme="0" tint="-0.34998626667073579"/>
      </left>
      <right style="thin">
        <color theme="0" tint="-0.34998626667073579"/>
      </right>
      <top style="medium">
        <color theme="1" tint="0.24994659260841701"/>
      </top>
      <bottom style="medium">
        <color theme="1" tint="0.24994659260841701"/>
      </bottom>
      <diagonal/>
    </border>
    <border>
      <left style="thin">
        <color theme="0" tint="-0.34998626667073579"/>
      </left>
      <right style="medium">
        <color theme="1" tint="0.34998626667073579"/>
      </right>
      <top style="medium">
        <color theme="1" tint="0.24994659260841701"/>
      </top>
      <bottom style="medium">
        <color theme="1" tint="0.24994659260841701"/>
      </bottom>
      <diagonal/>
    </border>
    <border>
      <left style="medium">
        <color theme="1" tint="0.24994659260841701"/>
      </left>
      <right style="thin">
        <color theme="0" tint="-0.34998626667073579"/>
      </right>
      <top style="medium">
        <color theme="1" tint="0.24994659260841701"/>
      </top>
      <bottom style="thin">
        <color theme="0" tint="-0.34998626667073579"/>
      </bottom>
      <diagonal/>
    </border>
    <border>
      <left style="thin">
        <color theme="0" tint="-0.34998626667073579"/>
      </left>
      <right style="medium">
        <color theme="1" tint="0.499984740745262"/>
      </right>
      <top style="medium">
        <color theme="1" tint="0.24994659260841701"/>
      </top>
      <bottom style="thin">
        <color theme="0" tint="-0.34998626667073579"/>
      </bottom>
      <diagonal/>
    </border>
    <border>
      <left style="medium">
        <color theme="1" tint="0.34998626667073579"/>
      </left>
      <right/>
      <top style="medium">
        <color theme="1" tint="0.24994659260841701"/>
      </top>
      <bottom style="thin">
        <color theme="0" tint="-0.34998626667073579"/>
      </bottom>
      <diagonal/>
    </border>
    <border>
      <left/>
      <right style="medium">
        <color theme="1" tint="0.34998626667073579"/>
      </right>
      <top style="medium">
        <color theme="1" tint="0.24994659260841701"/>
      </top>
      <bottom style="thin">
        <color theme="0" tint="-0.34998626667073579"/>
      </bottom>
      <diagonal/>
    </border>
    <border>
      <left/>
      <right style="medium">
        <color theme="1" tint="0.24994659260841701"/>
      </right>
      <top style="medium">
        <color theme="1" tint="0.24994659260841701"/>
      </top>
      <bottom style="thin">
        <color theme="0" tint="-0.34998626667073579"/>
      </bottom>
      <diagonal/>
    </border>
    <border>
      <left style="medium">
        <color theme="1" tint="0.24994659260841701"/>
      </left>
      <right style="medium">
        <color theme="1" tint="0.34998626667073579"/>
      </right>
      <top style="thin">
        <color indexed="64"/>
      </top>
      <bottom/>
      <diagonal/>
    </border>
    <border>
      <left style="medium">
        <color theme="1" tint="0.24994659260841701"/>
      </left>
      <right style="thin">
        <color theme="0" tint="-0.34998626667073579"/>
      </right>
      <top/>
      <bottom style="medium">
        <color theme="1" tint="0.499984740745262"/>
      </bottom>
      <diagonal/>
    </border>
    <border>
      <left style="thin">
        <color theme="0" tint="-0.34998626667073579"/>
      </left>
      <right/>
      <top/>
      <bottom style="medium">
        <color theme="1" tint="0.499984740745262"/>
      </bottom>
      <diagonal/>
    </border>
    <border>
      <left style="medium">
        <color theme="1" tint="0.34998626667073579"/>
      </left>
      <right style="thin">
        <color theme="0" tint="-0.34998626667073579"/>
      </right>
      <top style="thin">
        <color theme="0" tint="-0.34998626667073579"/>
      </top>
      <bottom style="medium">
        <color theme="1" tint="0.499984740745262"/>
      </bottom>
      <diagonal/>
    </border>
    <border>
      <left style="thin">
        <color theme="0" tint="-0.34998626667073579"/>
      </left>
      <right style="medium">
        <color theme="1" tint="0.34998626667073579"/>
      </right>
      <top style="thin">
        <color theme="0" tint="-0.34998626667073579"/>
      </top>
      <bottom style="medium">
        <color theme="1" tint="0.499984740745262"/>
      </bottom>
      <diagonal/>
    </border>
    <border>
      <left style="medium">
        <color theme="1" tint="0.34998626667073579"/>
      </left>
      <right style="thin">
        <color theme="0" tint="-0.499984740745262"/>
      </right>
      <top style="thin">
        <color theme="0" tint="-0.34998626667073579"/>
      </top>
      <bottom style="medium">
        <color theme="1" tint="0.499984740745262"/>
      </bottom>
      <diagonal/>
    </border>
    <border>
      <left/>
      <right style="medium">
        <color theme="1" tint="0.24994659260841701"/>
      </right>
      <top style="thin">
        <color theme="0" tint="-0.34998626667073579"/>
      </top>
      <bottom style="medium">
        <color theme="1" tint="0.499984740745262"/>
      </bottom>
      <diagonal/>
    </border>
    <border>
      <left style="medium">
        <color theme="1" tint="0.24994659260841701"/>
      </left>
      <right style="medium">
        <color theme="1" tint="0.34998626667073579"/>
      </right>
      <top/>
      <bottom/>
      <diagonal/>
    </border>
    <border>
      <left style="medium">
        <color theme="1" tint="0.24994659260841701"/>
      </left>
      <right style="thin">
        <color theme="0" tint="-0.14996795556505021"/>
      </right>
      <top style="medium">
        <color theme="1" tint="0.499984740745262"/>
      </top>
      <bottom style="thin">
        <color theme="0" tint="-0.24994659260841701"/>
      </bottom>
      <diagonal/>
    </border>
    <border>
      <left style="thin">
        <color theme="0" tint="-0.14996795556505021"/>
      </left>
      <right style="medium">
        <color theme="1" tint="0.499984740745262"/>
      </right>
      <top style="medium">
        <color theme="1" tint="0.499984740745262"/>
      </top>
      <bottom style="thin">
        <color theme="0" tint="-0.24994659260841701"/>
      </bottom>
      <diagonal/>
    </border>
    <border>
      <left style="thin">
        <color theme="0" tint="-0.14996795556505021"/>
      </left>
      <right style="thin">
        <color theme="0" tint="-0.14996795556505021"/>
      </right>
      <top style="medium">
        <color theme="1" tint="0.499984740745262"/>
      </top>
      <bottom style="thin">
        <color theme="0" tint="-0.24994659260841701"/>
      </bottom>
      <diagonal/>
    </border>
    <border>
      <left style="thin">
        <color theme="0" tint="-0.14996795556505021"/>
      </left>
      <right style="medium">
        <color theme="0" tint="-0.499984740745262"/>
      </right>
      <top style="medium">
        <color theme="1" tint="0.499984740745262"/>
      </top>
      <bottom style="thin">
        <color theme="0" tint="-0.24994659260841701"/>
      </bottom>
      <diagonal/>
    </border>
    <border>
      <left/>
      <right style="thin">
        <color theme="0" tint="-0.14996795556505021"/>
      </right>
      <top style="medium">
        <color theme="1" tint="0.499984740745262"/>
      </top>
      <bottom style="thin">
        <color theme="0" tint="-0.24994659260841701"/>
      </bottom>
      <diagonal/>
    </border>
    <border>
      <left style="thin">
        <color theme="0" tint="-0.14996795556505021"/>
      </left>
      <right style="medium">
        <color theme="1" tint="0.24994659260841701"/>
      </right>
      <top style="medium">
        <color theme="1" tint="0.499984740745262"/>
      </top>
      <bottom style="thin">
        <color theme="0" tint="-0.24994659260841701"/>
      </bottom>
      <diagonal/>
    </border>
    <border>
      <left style="medium">
        <color theme="1"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style="medium">
        <color theme="1" tint="0.34998626667073579"/>
      </left>
      <right style="thin">
        <color theme="0" tint="-0.24994659260841701"/>
      </right>
      <top/>
      <bottom style="thin">
        <color theme="0" tint="-0.24994659260841701"/>
      </bottom>
      <diagonal/>
    </border>
    <border>
      <left style="thin">
        <color theme="0" tint="-0.24994659260841701"/>
      </left>
      <right style="medium">
        <color theme="1" tint="0.34998626667073579"/>
      </right>
      <top/>
      <bottom style="thin">
        <color theme="0" tint="-0.24994659260841701"/>
      </bottom>
      <diagonal/>
    </border>
    <border>
      <left style="medium">
        <color theme="1" tint="0.34998626667073579"/>
      </left>
      <right style="thin">
        <color theme="0" tint="-0.499984740745262"/>
      </right>
      <top/>
      <bottom style="thin">
        <color theme="0" tint="-0.24994659260841701"/>
      </bottom>
      <diagonal/>
    </border>
    <border>
      <left/>
      <right style="medium">
        <color theme="1" tint="0.24994659260841701"/>
      </right>
      <top/>
      <bottom style="thin">
        <color theme="0" tint="-0.24994659260841701"/>
      </bottom>
      <diagonal/>
    </border>
    <border>
      <left/>
      <right style="medium">
        <color theme="1" tint="0.34998626667073579"/>
      </right>
      <top/>
      <bottom style="thin">
        <color theme="0" tint="-0.24994659260841701"/>
      </bottom>
      <diagonal/>
    </border>
    <border>
      <left style="medium">
        <color theme="1"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medium">
        <color theme="1" tint="0.34998626667073579"/>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1" tint="0.34998626667073579"/>
      </right>
      <top style="thin">
        <color theme="0" tint="-0.24994659260841701"/>
      </top>
      <bottom style="thin">
        <color theme="0" tint="-0.24994659260841701"/>
      </bottom>
      <diagonal/>
    </border>
    <border>
      <left style="medium">
        <color theme="1" tint="0.34998626667073579"/>
      </left>
      <right style="thin">
        <color theme="0" tint="-0.499984740745262"/>
      </right>
      <top style="thin">
        <color theme="0" tint="-0.24994659260841701"/>
      </top>
      <bottom style="thin">
        <color theme="0" tint="-0.24994659260841701"/>
      </bottom>
      <diagonal/>
    </border>
    <border>
      <left/>
      <right style="medium">
        <color theme="1" tint="0.24994659260841701"/>
      </right>
      <top style="thin">
        <color theme="0" tint="-0.24994659260841701"/>
      </top>
      <bottom style="thin">
        <color theme="0" tint="-0.24994659260841701"/>
      </bottom>
      <diagonal/>
    </border>
    <border>
      <left/>
      <right style="medium">
        <color theme="1" tint="0.34998626667073579"/>
      </right>
      <top style="thin">
        <color theme="0" tint="-0.24994659260841701"/>
      </top>
      <bottom style="thin">
        <color theme="0" tint="-0.24994659260841701"/>
      </bottom>
      <diagonal/>
    </border>
    <border>
      <left style="medium">
        <color theme="1" tint="0.24994659260841701"/>
      </left>
      <right style="thin">
        <color theme="0" tint="-0.24994659260841701"/>
      </right>
      <top style="thin">
        <color theme="0" tint="-0.24994659260841701"/>
      </top>
      <bottom style="medium">
        <color indexed="64"/>
      </bottom>
      <diagonal/>
    </border>
    <border>
      <left style="thin">
        <color theme="0" tint="-0.24994659260841701"/>
      </left>
      <right/>
      <top style="thin">
        <color theme="0" tint="-0.24994659260841701"/>
      </top>
      <bottom style="medium">
        <color indexed="64"/>
      </bottom>
      <diagonal/>
    </border>
    <border>
      <left style="medium">
        <color theme="1" tint="0.34998626667073579"/>
      </left>
      <right style="thin">
        <color theme="0" tint="-0.24994659260841701"/>
      </right>
      <top style="thin">
        <color theme="0" tint="-0.24994659260841701"/>
      </top>
      <bottom style="medium">
        <color indexed="64"/>
      </bottom>
      <diagonal/>
    </border>
    <border>
      <left style="thin">
        <color theme="0" tint="-0.24994659260841701"/>
      </left>
      <right style="medium">
        <color theme="1" tint="0.34998626667073579"/>
      </right>
      <top style="thin">
        <color theme="0" tint="-0.24994659260841701"/>
      </top>
      <bottom style="medium">
        <color indexed="64"/>
      </bottom>
      <diagonal/>
    </border>
    <border>
      <left style="medium">
        <color theme="1" tint="0.34998626667073579"/>
      </left>
      <right style="thin">
        <color theme="0" tint="-0.499984740745262"/>
      </right>
      <top style="thin">
        <color theme="0" tint="-0.24994659260841701"/>
      </top>
      <bottom style="medium">
        <color indexed="64"/>
      </bottom>
      <diagonal/>
    </border>
    <border>
      <left/>
      <right style="medium">
        <color theme="1" tint="0.24994659260841701"/>
      </right>
      <top style="thin">
        <color theme="0" tint="-0.24994659260841701"/>
      </top>
      <bottom style="medium">
        <color indexed="64"/>
      </bottom>
      <diagonal/>
    </border>
    <border>
      <left/>
      <right style="medium">
        <color theme="1" tint="0.34998626667073579"/>
      </right>
      <top style="thin">
        <color theme="0" tint="-0.24994659260841701"/>
      </top>
      <bottom style="medium">
        <color theme="1" tint="0.34998626667073579"/>
      </bottom>
      <diagonal/>
    </border>
    <border>
      <left style="medium">
        <color theme="1" tint="0.34998626667073579"/>
      </left>
      <right style="thin">
        <color theme="0" tint="-0.24994659260841701"/>
      </right>
      <top/>
      <bottom/>
      <diagonal/>
    </border>
    <border>
      <left/>
      <right style="medium">
        <color theme="1" tint="0.34998626667073579"/>
      </right>
      <top style="thin">
        <color theme="0" tint="-0.24994659260841701"/>
      </top>
      <bottom style="medium">
        <color indexed="64"/>
      </bottom>
      <diagonal/>
    </border>
    <border>
      <left style="medium">
        <color theme="1" tint="0.24994659260841701"/>
      </left>
      <right style="thin">
        <color theme="0" tint="-0.24994659260841701"/>
      </right>
      <top style="medium">
        <color indexed="64"/>
      </top>
      <bottom style="thin">
        <color theme="0" tint="-0.24994659260841701"/>
      </bottom>
      <diagonal/>
    </border>
    <border>
      <left style="thin">
        <color theme="0" tint="-0.24994659260841701"/>
      </left>
      <right/>
      <top style="medium">
        <color indexed="64"/>
      </top>
      <bottom style="thin">
        <color theme="0" tint="-0.24994659260841701"/>
      </bottom>
      <diagonal/>
    </border>
    <border>
      <left style="medium">
        <color theme="1" tint="0.34998626667073579"/>
      </left>
      <right style="thin">
        <color theme="0" tint="-0.24994659260841701"/>
      </right>
      <top style="medium">
        <color indexed="64"/>
      </top>
      <bottom style="thin">
        <color theme="0" tint="-0.24994659260841701"/>
      </bottom>
      <diagonal/>
    </border>
    <border>
      <left style="thin">
        <color theme="0" tint="-0.24994659260841701"/>
      </left>
      <right style="medium">
        <color theme="1" tint="0.34998626667073579"/>
      </right>
      <top style="medium">
        <color indexed="64"/>
      </top>
      <bottom style="thin">
        <color theme="0" tint="-0.24994659260841701"/>
      </bottom>
      <diagonal/>
    </border>
    <border>
      <left style="medium">
        <color theme="1" tint="0.34998626667073579"/>
      </left>
      <right style="thin">
        <color theme="0" tint="-0.499984740745262"/>
      </right>
      <top style="medium">
        <color indexed="64"/>
      </top>
      <bottom style="thin">
        <color theme="0" tint="-0.24994659260841701"/>
      </bottom>
      <diagonal/>
    </border>
    <border>
      <left/>
      <right style="medium">
        <color theme="1" tint="0.24994659260841701"/>
      </right>
      <top style="medium">
        <color indexed="64"/>
      </top>
      <bottom style="thin">
        <color theme="0" tint="-0.24994659260841701"/>
      </bottom>
      <diagonal/>
    </border>
    <border>
      <left/>
      <right style="medium">
        <color theme="1" tint="0.34998626667073579"/>
      </right>
      <top style="medium">
        <color indexed="64"/>
      </top>
      <bottom style="thin">
        <color theme="0" tint="-0.24994659260841701"/>
      </bottom>
      <diagonal/>
    </border>
    <border>
      <left/>
      <right style="medium">
        <color theme="1" tint="0.34998626667073579"/>
      </right>
      <top/>
      <bottom style="medium">
        <color indexed="64"/>
      </bottom>
      <diagonal/>
    </border>
    <border>
      <left style="medium">
        <color theme="1" tint="0.34998626667073579"/>
      </left>
      <right style="thin">
        <color theme="0" tint="-0.34998626667073579"/>
      </right>
      <top style="medium">
        <color indexed="64"/>
      </top>
      <bottom style="thin">
        <color theme="0" tint="-0.24994659260841701"/>
      </bottom>
      <diagonal/>
    </border>
    <border>
      <left style="medium">
        <color theme="1" tint="0.34998626667073579"/>
      </left>
      <right style="thin">
        <color theme="0" tint="-0.34998626667073579"/>
      </right>
      <top style="thin">
        <color theme="0" tint="-0.24994659260841701"/>
      </top>
      <bottom style="thin">
        <color theme="0" tint="-0.24994659260841701"/>
      </bottom>
      <diagonal/>
    </border>
    <border>
      <left/>
      <right style="medium">
        <color theme="1" tint="0.34998626667073579"/>
      </right>
      <top/>
      <bottom/>
      <diagonal/>
    </border>
    <border>
      <left style="medium">
        <color theme="1"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theme="1"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1" tint="0.34998626667073579"/>
      </right>
      <top style="thin">
        <color theme="0" tint="-0.34998626667073579"/>
      </top>
      <bottom style="thin">
        <color theme="0" tint="-0.34998626667073579"/>
      </bottom>
      <diagonal/>
    </border>
    <border>
      <left/>
      <right style="medium">
        <color theme="1" tint="0.24994659260841701"/>
      </right>
      <top style="thin">
        <color theme="0" tint="-0.34998626667073579"/>
      </top>
      <bottom style="thin">
        <color theme="0" tint="-0.34998626667073579"/>
      </bottom>
      <diagonal/>
    </border>
    <border>
      <left style="medium">
        <color theme="1" tint="0.24994659260841701"/>
      </left>
      <right/>
      <top style="thin">
        <color theme="0" tint="-0.24994659260841701"/>
      </top>
      <bottom style="medium">
        <color theme="1" tint="0.24994659260841701"/>
      </bottom>
      <diagonal/>
    </border>
    <border>
      <left/>
      <right/>
      <top style="thin">
        <color theme="0" tint="-0.24994659260841701"/>
      </top>
      <bottom style="medium">
        <color theme="1" tint="0.24994659260841701"/>
      </bottom>
      <diagonal/>
    </border>
    <border>
      <left style="medium">
        <color theme="1" tint="0.34998626667073579"/>
      </left>
      <right style="thin">
        <color theme="0" tint="-0.24994659260841701"/>
      </right>
      <top style="thin">
        <color theme="0" tint="-0.24994659260841701"/>
      </top>
      <bottom style="medium">
        <color theme="1" tint="0.24994659260841701"/>
      </bottom>
      <diagonal/>
    </border>
    <border>
      <left style="thin">
        <color theme="0" tint="-0.24994659260841701"/>
      </left>
      <right style="medium">
        <color theme="1" tint="0.34998626667073579"/>
      </right>
      <top style="thin">
        <color theme="0" tint="-0.24994659260841701"/>
      </top>
      <bottom style="medium">
        <color theme="1" tint="0.24994659260841701"/>
      </bottom>
      <diagonal/>
    </border>
    <border>
      <left style="medium">
        <color theme="1" tint="0.34998626667073579"/>
      </left>
      <right style="thin">
        <color theme="0" tint="-0.34998626667073579"/>
      </right>
      <top style="thin">
        <color theme="0" tint="-0.24994659260841701"/>
      </top>
      <bottom style="medium">
        <color theme="1" tint="0.24994659260841701"/>
      </bottom>
      <diagonal/>
    </border>
    <border>
      <left/>
      <right style="medium">
        <color theme="1" tint="0.24994659260841701"/>
      </right>
      <top style="thin">
        <color theme="0" tint="-0.24994659260841701"/>
      </top>
      <bottom style="medium">
        <color theme="1" tint="0.24994659260841701"/>
      </bottom>
      <diagonal/>
    </border>
    <border>
      <left style="medium">
        <color theme="1" tint="0.24994659260841701"/>
      </left>
      <right/>
      <top/>
      <bottom style="medium">
        <color theme="1" tint="0.24994659260841701"/>
      </bottom>
      <diagonal/>
    </border>
    <border>
      <left style="medium">
        <color theme="1" tint="0.34998626667073579"/>
      </left>
      <right style="thin">
        <color theme="0" tint="-0.24994659260841701"/>
      </right>
      <top/>
      <bottom style="medium">
        <color theme="1" tint="0.24994659260841701"/>
      </bottom>
      <diagonal/>
    </border>
    <border>
      <left style="thin">
        <color theme="0" tint="-0.24994659260841701"/>
      </left>
      <right style="medium">
        <color theme="1" tint="0.34998626667073579"/>
      </right>
      <top/>
      <bottom style="medium">
        <color theme="1" tint="0.24994659260841701"/>
      </bottom>
      <diagonal/>
    </border>
    <border>
      <left style="medium">
        <color theme="1" tint="0.34998626667073579"/>
      </left>
      <right style="thin">
        <color theme="0" tint="-0.34998626667073579"/>
      </right>
      <top/>
      <bottom style="medium">
        <color theme="1" tint="0.24994659260841701"/>
      </bottom>
      <diagonal/>
    </border>
    <border>
      <left/>
      <right style="medium">
        <color theme="1" tint="0.24994659260841701"/>
      </right>
      <top/>
      <bottom style="medium">
        <color theme="1" tint="0.24994659260841701"/>
      </bottom>
      <diagonal/>
    </border>
    <border>
      <left style="medium">
        <color theme="1" tint="0.24994659260841701"/>
      </left>
      <right style="medium">
        <color theme="1" tint="0.34998626667073579"/>
      </right>
      <top/>
      <bottom style="medium">
        <color theme="1"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1" tint="0.34998626667073579"/>
      </left>
      <right style="medium">
        <color theme="1" tint="0.34998626667073579"/>
      </right>
      <top style="medium">
        <color indexed="64"/>
      </top>
      <bottom style="thin">
        <color theme="0" tint="-0.24994659260841701"/>
      </bottom>
      <diagonal/>
    </border>
    <border>
      <left style="medium">
        <color theme="1" tint="0.34998626667073579"/>
      </left>
      <right style="medium">
        <color theme="1" tint="0.34998626667073579"/>
      </right>
      <top style="thin">
        <color theme="0" tint="-0.24994659260841701"/>
      </top>
      <bottom style="thin">
        <color theme="0" tint="-0.24994659260841701"/>
      </bottom>
      <diagonal/>
    </border>
    <border>
      <left style="medium">
        <color theme="1" tint="0.24994659260841701"/>
      </left>
      <right style="medium">
        <color theme="1" tint="0.34998626667073579"/>
      </right>
      <top style="medium">
        <color indexed="64"/>
      </top>
      <bottom style="thin">
        <color theme="0" tint="-0.24994659260841701"/>
      </bottom>
      <diagonal/>
    </border>
    <border>
      <left style="medium">
        <color theme="1" tint="0.24994659260841701"/>
      </left>
      <right style="medium">
        <color theme="1" tint="0.34998626667073579"/>
      </right>
      <top style="thin">
        <color theme="0" tint="-0.24994659260841701"/>
      </top>
      <bottom style="thin">
        <color theme="0" tint="-0.24994659260841701"/>
      </bottom>
      <diagonal/>
    </border>
    <border>
      <left style="medium">
        <color theme="1" tint="0.24994659260841701"/>
      </left>
      <right style="medium">
        <color theme="1" tint="0.34998626667073579"/>
      </right>
      <top style="medium">
        <color theme="1" tint="0.24994659260841701"/>
      </top>
      <bottom style="thin">
        <color theme="0" tint="-0.24994659260841701"/>
      </bottom>
      <diagonal/>
    </border>
    <border>
      <left style="medium">
        <color theme="1" tint="0.24994659260841701"/>
      </left>
      <right style="medium">
        <color theme="1" tint="0.34998626667073579"/>
      </right>
      <top/>
      <bottom style="thin">
        <color theme="0" tint="-0.24994659260841701"/>
      </bottom>
      <diagonal/>
    </border>
    <border>
      <left style="medium">
        <color theme="1" tint="0.24994659260841701"/>
      </left>
      <right style="medium">
        <color theme="1" tint="0.34998626667073579"/>
      </right>
      <top/>
      <bottom style="medium">
        <color indexed="64"/>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thin">
        <color theme="0" tint="-0.34998626667073579"/>
      </right>
      <top style="medium">
        <color theme="1" tint="0.24994659260841701"/>
      </top>
      <bottom style="medium">
        <color theme="1" tint="0.24994659260841701"/>
      </bottom>
      <diagonal/>
    </border>
    <border>
      <left/>
      <right style="medium">
        <color theme="1" tint="0.34998626667073579"/>
      </right>
      <top style="thin">
        <color theme="0" tint="-0.24994659260841701"/>
      </top>
      <bottom style="medium">
        <color theme="1" tint="0.24994659260841701"/>
      </bottom>
      <diagonal/>
    </border>
    <border>
      <left style="medium">
        <color theme="1" tint="0.24994659260841701"/>
      </left>
      <right/>
      <top style="thin">
        <color theme="0" tint="-0.24994659260841701"/>
      </top>
      <bottom style="medium">
        <color indexed="64"/>
      </bottom>
      <diagonal/>
    </border>
    <border>
      <left style="medium">
        <color theme="1" tint="0.24994659260841701"/>
      </left>
      <right/>
      <top style="medium">
        <color theme="1" tint="0.499984740745262"/>
      </top>
      <bottom style="thin">
        <color theme="0" tint="-0.24994659260841701"/>
      </bottom>
      <diagonal/>
    </border>
    <border>
      <left/>
      <right style="medium">
        <color theme="1" tint="0.499984740745262"/>
      </right>
      <top style="medium">
        <color theme="1" tint="0.499984740745262"/>
      </top>
      <bottom style="thin">
        <color theme="0" tint="-0.24994659260841701"/>
      </bottom>
      <diagonal/>
    </border>
    <border>
      <left style="medium">
        <color theme="1" tint="0.24994659260841701"/>
      </left>
      <right/>
      <top style="thin">
        <color theme="0" tint="-0.34998626667073579"/>
      </top>
      <bottom style="medium">
        <color theme="1" tint="0.499984740745262"/>
      </bottom>
      <diagonal/>
    </border>
    <border>
      <left/>
      <right style="medium">
        <color theme="1" tint="0.34998626667073579"/>
      </right>
      <top style="thin">
        <color theme="0" tint="-0.34998626667073579"/>
      </top>
      <bottom style="medium">
        <color theme="1" tint="0.499984740745262"/>
      </bottom>
      <diagonal/>
    </border>
    <border>
      <left/>
      <right style="medium">
        <color theme="1" tint="0.34998626667073579"/>
      </right>
      <top style="medium">
        <color theme="1" tint="0.24994659260841701"/>
      </top>
      <bottom style="medium">
        <color theme="1" tint="0.24994659260841701"/>
      </bottom>
      <diagonal/>
    </border>
    <border>
      <left style="medium">
        <color theme="1" tint="0.24994659260841701"/>
      </left>
      <right/>
      <top style="medium">
        <color theme="1" tint="0.24994659260841701"/>
      </top>
      <bottom style="thin">
        <color theme="0" tint="-0.34998626667073579"/>
      </bottom>
      <diagonal/>
    </border>
    <border>
      <left style="thin">
        <color theme="0" tint="-0.34998626667073579"/>
      </left>
      <right/>
      <top style="medium">
        <color theme="1" tint="0.24994659260841701"/>
      </top>
      <bottom style="medium">
        <color theme="1" tint="0.24994659260841701"/>
      </bottom>
      <diagonal/>
    </border>
    <border>
      <left/>
      <right/>
      <top style="thin">
        <color theme="0" tint="-0.24994659260841701"/>
      </top>
      <bottom/>
      <diagonal/>
    </border>
    <border>
      <left style="medium">
        <color theme="1" tint="0.24994659260841701"/>
      </left>
      <right style="medium">
        <color theme="1" tint="0.34998626667073579"/>
      </right>
      <top style="thin">
        <color theme="0" tint="-0.24994659260841701"/>
      </top>
      <bottom style="medium">
        <color indexed="64"/>
      </bottom>
      <diagonal/>
    </border>
    <border>
      <left style="medium">
        <color theme="1" tint="0.34998626667073579"/>
      </left>
      <right style="thin">
        <color theme="0" tint="-0.34998626667073579"/>
      </right>
      <top style="thin">
        <color theme="0" tint="-0.24994659260841701"/>
      </top>
      <bottom style="medium">
        <color indexed="64"/>
      </bottom>
      <diagonal/>
    </border>
    <border>
      <left style="medium">
        <color theme="1" tint="0.34998626667073579"/>
      </left>
      <right style="thin">
        <color theme="0" tint="-0.34998626667073579"/>
      </right>
      <top/>
      <bottom style="thin">
        <color theme="0" tint="-0.24994659260841701"/>
      </bottom>
      <diagonal/>
    </border>
    <border>
      <left style="medium">
        <color theme="1" tint="0.34998626667073579"/>
      </left>
      <right style="medium">
        <color theme="1" tint="0.34998626667073579"/>
      </right>
      <top style="medium">
        <color theme="1" tint="0.24994659260841701"/>
      </top>
      <bottom/>
      <diagonal/>
    </border>
    <border>
      <left style="medium">
        <color theme="1" tint="0.34998626667073579"/>
      </left>
      <right style="thin">
        <color theme="0" tint="-0.34998626667073579"/>
      </right>
      <top/>
      <bottom style="medium">
        <color theme="1" tint="0.499984740745262"/>
      </bottom>
      <diagonal/>
    </border>
    <border>
      <left/>
      <right/>
      <top style="medium">
        <color theme="1" tint="0.24994659260841701"/>
      </top>
      <bottom style="thin">
        <color theme="0" tint="-0.34998626667073579"/>
      </bottom>
      <diagonal/>
    </border>
    <border>
      <left/>
      <right style="thin">
        <color theme="1" tint="0.499984740745262"/>
      </right>
      <top/>
      <bottom style="thin">
        <color theme="0" tint="-0.24994659260841701"/>
      </bottom>
      <diagonal/>
    </border>
    <border>
      <left/>
      <right style="thin">
        <color theme="1" tint="0.499984740745262"/>
      </right>
      <top style="thin">
        <color theme="0" tint="-0.24994659260841701"/>
      </top>
      <bottom style="thin">
        <color theme="0" tint="-0.24994659260841701"/>
      </bottom>
      <diagonal/>
    </border>
    <border>
      <left/>
      <right style="thin">
        <color theme="1" tint="0.499984740745262"/>
      </right>
      <top style="thin">
        <color theme="0" tint="-0.24994659260841701"/>
      </top>
      <bottom style="medium">
        <color indexed="64"/>
      </bottom>
      <diagonal/>
    </border>
    <border>
      <left/>
      <right style="thin">
        <color theme="1" tint="0.499984740745262"/>
      </right>
      <top style="medium">
        <color indexed="64"/>
      </top>
      <bottom style="thin">
        <color theme="0" tint="-0.24994659260841701"/>
      </bottom>
      <diagonal/>
    </border>
    <border>
      <left/>
      <right style="thin">
        <color theme="1" tint="0.499984740745262"/>
      </right>
      <top style="thin">
        <color theme="0" tint="-0.34998626667073579"/>
      </top>
      <bottom style="thin">
        <color theme="0" tint="-0.34998626667073579"/>
      </bottom>
      <diagonal/>
    </border>
    <border>
      <left/>
      <right style="thin">
        <color theme="1" tint="0.499984740745262"/>
      </right>
      <top style="thin">
        <color theme="0" tint="-0.24994659260841701"/>
      </top>
      <bottom style="medium">
        <color theme="1" tint="0.24994659260841701"/>
      </bottom>
      <diagonal/>
    </border>
    <border>
      <left/>
      <right style="thin">
        <color theme="1" tint="0.499984740745262"/>
      </right>
      <top/>
      <bottom style="medium">
        <color theme="1" tint="0.24994659260841701"/>
      </bottom>
      <diagonal/>
    </border>
    <border>
      <left/>
      <right/>
      <top style="thin">
        <color theme="0" tint="-0.34998626667073579"/>
      </top>
      <bottom/>
      <diagonal/>
    </border>
    <border>
      <left/>
      <right style="medium">
        <color theme="1" tint="0.24994659260841701"/>
      </right>
      <top style="thin">
        <color theme="0" tint="-0.34998626667073579"/>
      </top>
      <bottom/>
      <diagonal/>
    </border>
    <border>
      <left/>
      <right/>
      <top style="thin">
        <color theme="0" tint="-0.34998626667073579"/>
      </top>
      <bottom style="thin">
        <color theme="0" tint="-0.34998626667073579"/>
      </bottom>
      <diagonal/>
    </border>
    <border>
      <left/>
      <right/>
      <top style="thin">
        <color theme="0" tint="-0.34998626667073579"/>
      </top>
      <bottom style="medium">
        <color theme="1" tint="0.499984740745262"/>
      </bottom>
      <diagonal/>
    </border>
    <border>
      <left/>
      <right/>
      <top style="medium">
        <color theme="1" tint="0.499984740745262"/>
      </top>
      <bottom style="thin">
        <color theme="0" tint="-0.24994659260841701"/>
      </bottom>
      <diagonal/>
    </border>
    <border>
      <left/>
      <right/>
      <top style="thin">
        <color theme="0" tint="-0.24994659260841701"/>
      </top>
      <bottom style="medium">
        <color indexed="64"/>
      </bottom>
      <diagonal/>
    </border>
    <border>
      <left style="medium">
        <color theme="0" tint="-0.499984740745262"/>
      </left>
      <right style="thin">
        <color theme="0" tint="-0.14996795556505021"/>
      </right>
      <top style="medium">
        <color theme="1" tint="0.499984740745262"/>
      </top>
      <bottom style="medium">
        <color theme="1" tint="0.14996795556505021"/>
      </bottom>
      <diagonal/>
    </border>
    <border>
      <left style="medium">
        <color theme="1" tint="0.34998626667073579"/>
      </left>
      <right style="thin">
        <color theme="0" tint="-0.24994659260841701"/>
      </right>
      <top style="thin">
        <color theme="0" tint="-0.2499465926084170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1" tint="0.24994659260841701"/>
      </left>
      <right/>
      <top style="thin">
        <color theme="0" tint="-0.24994659260841701"/>
      </top>
      <bottom/>
      <diagonal/>
    </border>
    <border>
      <left style="medium">
        <color theme="1" tint="0.24994659260841701"/>
      </left>
      <right style="medium">
        <color theme="1" tint="0.34998626667073579"/>
      </right>
      <top style="thin">
        <color theme="0" tint="-0.24994659260841701"/>
      </top>
      <bottom/>
      <diagonal/>
    </border>
    <border>
      <left style="thin">
        <color theme="0" tint="-0.24994659260841701"/>
      </left>
      <right style="medium">
        <color theme="1" tint="0.34998626667073579"/>
      </right>
      <top style="thin">
        <color theme="0" tint="-0.24994659260841701"/>
      </top>
      <bottom/>
      <diagonal/>
    </border>
    <border>
      <left style="thin">
        <color theme="0" tint="-0.24994659260841701"/>
      </left>
      <right style="medium">
        <color theme="1" tint="0.34998626667073579"/>
      </right>
      <top/>
      <bottom/>
      <diagonal/>
    </border>
    <border>
      <left style="medium">
        <color theme="1" tint="0.34998626667073579"/>
      </left>
      <right style="thin">
        <color theme="0" tint="-0.34998626667073579"/>
      </right>
      <top style="thin">
        <color theme="0" tint="-0.24994659260841701"/>
      </top>
      <bottom/>
      <diagonal/>
    </border>
    <border>
      <left/>
      <right style="thin">
        <color theme="1" tint="0.499984740745262"/>
      </right>
      <top style="thin">
        <color theme="0" tint="-0.24994659260841701"/>
      </top>
      <bottom/>
      <diagonal/>
    </border>
    <border>
      <left style="medium">
        <color theme="1" tint="0.34998626667073579"/>
      </left>
      <right/>
      <top style="thin">
        <color theme="0" tint="-0.24994659260841701"/>
      </top>
      <bottom/>
      <diagonal/>
    </border>
    <border>
      <left/>
      <right style="medium">
        <color theme="1" tint="0.24994659260841701"/>
      </right>
      <top style="thin">
        <color theme="0" tint="-0.24994659260841701"/>
      </top>
      <bottom/>
      <diagonal/>
    </border>
    <border>
      <left style="thick">
        <color rgb="FFFF0000"/>
      </left>
      <right style="thick">
        <color rgb="FFFF0000"/>
      </right>
      <top style="thick">
        <color rgb="FFFF0000"/>
      </top>
      <bottom style="thin">
        <color theme="0" tint="-0.24994659260841701"/>
      </bottom>
      <diagonal/>
    </border>
    <border>
      <left style="thick">
        <color rgb="FFFF0000"/>
      </left>
      <right style="thick">
        <color rgb="FFFF0000"/>
      </right>
      <top style="thin">
        <color theme="0" tint="-0.24994659260841701"/>
      </top>
      <bottom style="thick">
        <color rgb="FFFF0000"/>
      </bottom>
      <diagonal/>
    </border>
    <border>
      <left/>
      <right style="medium">
        <color theme="1" tint="0.34998626667073579"/>
      </right>
      <top style="thin">
        <color theme="0" tint="-0.24994659260841701"/>
      </top>
      <bottom/>
      <diagonal/>
    </border>
    <border>
      <left style="medium">
        <color theme="1" tint="0.24994659260841701"/>
      </left>
      <right style="thin">
        <color theme="0" tint="-0.24994659260841701"/>
      </right>
      <top style="medium">
        <color indexed="64"/>
      </top>
      <bottom/>
      <diagonal/>
    </border>
    <border>
      <left/>
      <right style="medium">
        <color theme="1" tint="0.34998626667073579"/>
      </right>
      <top/>
      <bottom style="medium">
        <color theme="1" tint="0.24994659260841701"/>
      </bottom>
      <diagonal/>
    </border>
    <border>
      <left/>
      <right style="thin">
        <color theme="0" tint="-0.24994659260841701"/>
      </right>
      <top style="medium">
        <color indexed="64"/>
      </top>
      <bottom/>
      <diagonal/>
    </border>
    <border>
      <left style="medium">
        <color theme="1" tint="0.24994659260841701"/>
      </left>
      <right/>
      <top style="thick">
        <color theme="8" tint="0.39994506668294322"/>
      </top>
      <bottom style="thick">
        <color theme="8" tint="0.39994506668294322"/>
      </bottom>
      <diagonal/>
    </border>
    <border>
      <left/>
      <right style="medium">
        <color theme="1" tint="0.24994659260841701"/>
      </right>
      <top style="thick">
        <color theme="8" tint="0.39994506668294322"/>
      </top>
      <bottom style="thick">
        <color theme="8" tint="0.39994506668294322"/>
      </bottom>
      <diagonal/>
    </border>
    <border>
      <left style="medium">
        <color theme="1" tint="0.24994659260841701"/>
      </left>
      <right/>
      <top style="thick">
        <color theme="8" tint="0.39994506668294322"/>
      </top>
      <bottom style="thick">
        <color theme="9"/>
      </bottom>
      <diagonal/>
    </border>
    <border>
      <left/>
      <right style="medium">
        <color theme="1" tint="0.34998626667073579"/>
      </right>
      <top style="thick">
        <color theme="8" tint="0.39994506668294322"/>
      </top>
      <bottom style="thick">
        <color theme="9"/>
      </bottom>
      <diagonal/>
    </border>
    <border>
      <left/>
      <right style="thin">
        <color theme="0" tint="-0.24994659260841701"/>
      </right>
      <top style="thick">
        <color theme="8" tint="0.39994506668294322"/>
      </top>
      <bottom style="thick">
        <color theme="9"/>
      </bottom>
      <diagonal/>
    </border>
    <border>
      <left style="medium">
        <color theme="1" tint="0.24994659260841701"/>
      </left>
      <right style="thin">
        <color theme="0" tint="-0.24994659260841701"/>
      </right>
      <top style="thick">
        <color theme="8" tint="0.39994506668294322"/>
      </top>
      <bottom style="thick">
        <color theme="9"/>
      </bottom>
      <diagonal/>
    </border>
    <border>
      <left/>
      <right style="medium">
        <color theme="1" tint="0.24994659260841701"/>
      </right>
      <top style="thick">
        <color theme="8" tint="0.39994506668294322"/>
      </top>
      <bottom style="thick">
        <color theme="9"/>
      </bottom>
      <diagonal/>
    </border>
    <border>
      <left/>
      <right style="thin">
        <color theme="0" tint="-0.34998626667073579"/>
      </right>
      <top style="thin">
        <color theme="0" tint="-0.34998626667073579"/>
      </top>
      <bottom style="medium">
        <color theme="1" tint="0.499984740745262"/>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medium">
        <color indexed="64"/>
      </bottom>
      <diagonal/>
    </border>
    <border>
      <left/>
      <right style="thin">
        <color theme="0" tint="-0.24994659260841701"/>
      </right>
      <top style="thin">
        <color theme="0" tint="-0.24994659260841701"/>
      </top>
      <bottom/>
      <diagonal/>
    </border>
    <border>
      <left/>
      <right style="thin">
        <color theme="0" tint="-0.24994659260841701"/>
      </right>
      <top/>
      <bottom style="medium">
        <color theme="1" tint="0.24994659260841701"/>
      </bottom>
      <diagonal/>
    </border>
    <border>
      <left style="medium">
        <color theme="1" tint="0.24994659260841701"/>
      </left>
      <right style="medium">
        <color theme="1" tint="0.24994659260841701"/>
      </right>
      <top style="thin">
        <color theme="0" tint="-0.24994659260841701"/>
      </top>
      <bottom style="thin">
        <color theme="0" tint="-0.24994659260841701"/>
      </bottom>
      <diagonal/>
    </border>
    <border>
      <left style="medium">
        <color theme="1" tint="0.24994659260841701"/>
      </left>
      <right style="medium">
        <color theme="1" tint="0.24994659260841701"/>
      </right>
      <top style="thin">
        <color theme="0" tint="-0.24994659260841701"/>
      </top>
      <bottom style="medium">
        <color indexed="64"/>
      </bottom>
      <diagonal/>
    </border>
    <border>
      <left style="medium">
        <color theme="1" tint="0.24994659260841701"/>
      </left>
      <right style="medium">
        <color theme="1" tint="0.24994659260841701"/>
      </right>
      <top/>
      <bottom style="thin">
        <color theme="0" tint="-0.24994659260841701"/>
      </bottom>
      <diagonal/>
    </border>
    <border>
      <left style="medium">
        <color theme="1" tint="0.24994659260841701"/>
      </left>
      <right style="medium">
        <color theme="1" tint="0.24994659260841701"/>
      </right>
      <top style="thin">
        <color theme="0" tint="-0.24994659260841701"/>
      </top>
      <bottom/>
      <diagonal/>
    </border>
    <border>
      <left style="medium">
        <color theme="1" tint="0.24994659260841701"/>
      </left>
      <right/>
      <top style="medium">
        <color indexed="64"/>
      </top>
      <bottom style="thin">
        <color theme="0" tint="-0.14996795556505021"/>
      </bottom>
      <diagonal/>
    </border>
    <border>
      <left/>
      <right/>
      <top style="medium">
        <color indexed="64"/>
      </top>
      <bottom style="thin">
        <color theme="0" tint="-0.14996795556505021"/>
      </bottom>
      <diagonal/>
    </border>
    <border>
      <left/>
      <right style="medium">
        <color theme="1" tint="0.24994659260841701"/>
      </right>
      <top style="medium">
        <color indexed="64"/>
      </top>
      <bottom style="thin">
        <color theme="0" tint="-0.14996795556505021"/>
      </bottom>
      <diagonal/>
    </border>
    <border>
      <left style="medium">
        <color theme="1" tint="0.24994659260841701"/>
      </left>
      <right/>
      <top style="thin">
        <color theme="0" tint="-0.14996795556505021"/>
      </top>
      <bottom style="thick">
        <color theme="8" tint="0.39994506668294322"/>
      </bottom>
      <diagonal/>
    </border>
    <border>
      <left/>
      <right/>
      <top style="thin">
        <color theme="0" tint="-0.14996795556505021"/>
      </top>
      <bottom style="thick">
        <color theme="8" tint="0.39994506668294322"/>
      </bottom>
      <diagonal/>
    </border>
    <border>
      <left/>
      <right style="medium">
        <color theme="1" tint="0.24994659260841701"/>
      </right>
      <top style="thin">
        <color theme="0" tint="-0.14996795556505021"/>
      </top>
      <bottom style="thick">
        <color theme="8" tint="0.39994506668294322"/>
      </bottom>
      <diagonal/>
    </border>
    <border>
      <left/>
      <right/>
      <top style="thick">
        <color theme="8" tint="0.39994506668294322"/>
      </top>
      <bottom style="thick">
        <color theme="8" tint="0.39994506668294322"/>
      </bottom>
      <diagonal/>
    </border>
    <border>
      <left/>
      <right/>
      <top style="thick">
        <color theme="8" tint="0.39994506668294322"/>
      </top>
      <bottom style="thick">
        <color theme="9"/>
      </bottom>
      <diagonal/>
    </border>
    <border>
      <left style="medium">
        <color theme="1" tint="0.24994659260841701"/>
      </left>
      <right/>
      <top style="thick">
        <color theme="9"/>
      </top>
      <bottom/>
      <diagonal/>
    </border>
    <border>
      <left/>
      <right/>
      <top style="thick">
        <color theme="9"/>
      </top>
      <bottom/>
      <diagonal/>
    </border>
    <border>
      <left/>
      <right style="medium">
        <color theme="1" tint="0.24994659260841701"/>
      </right>
      <top style="thick">
        <color theme="9"/>
      </top>
      <bottom/>
      <diagonal/>
    </border>
    <border>
      <left style="medium">
        <color theme="1" tint="0.24994659260841701"/>
      </left>
      <right/>
      <top/>
      <bottom/>
      <diagonal/>
    </border>
    <border>
      <left/>
      <right style="medium">
        <color theme="1" tint="0.24994659260841701"/>
      </right>
      <top/>
      <bottom/>
      <diagonal/>
    </border>
    <border>
      <left style="medium">
        <color theme="1" tint="0.24994659260841701"/>
      </left>
      <right style="thin">
        <color theme="0" tint="-0.24994659260841701"/>
      </right>
      <top/>
      <bottom style="thick">
        <color theme="8" tint="0.39994506668294322"/>
      </bottom>
      <diagonal/>
    </border>
    <border>
      <left/>
      <right style="medium">
        <color theme="1" tint="0.34998626667073579"/>
      </right>
      <top/>
      <bottom style="thick">
        <color theme="8" tint="0.39994506668294322"/>
      </bottom>
      <diagonal/>
    </border>
    <border>
      <left/>
      <right style="thin">
        <color theme="0" tint="-0.24994659260841701"/>
      </right>
      <top/>
      <bottom style="thick">
        <color theme="8" tint="0.39994506668294322"/>
      </bottom>
      <diagonal/>
    </border>
    <border>
      <left/>
      <right style="medium">
        <color theme="1" tint="0.24994659260841701"/>
      </right>
      <top/>
      <bottom style="thick">
        <color theme="8" tint="0.39994506668294322"/>
      </bottom>
      <diagonal/>
    </border>
    <border>
      <left style="medium">
        <color theme="1" tint="0.24994659260841701"/>
      </left>
      <right style="thin">
        <color theme="0" tint="-0.24994659260841701"/>
      </right>
      <top style="thin">
        <color theme="0" tint="-0.14996795556505021"/>
      </top>
      <bottom style="medium">
        <color theme="3" tint="0.499984740745262"/>
      </bottom>
      <diagonal/>
    </border>
    <border>
      <left/>
      <right style="medium">
        <color theme="1" tint="0.34998626667073579"/>
      </right>
      <top style="thin">
        <color theme="0" tint="-0.14996795556505021"/>
      </top>
      <bottom style="medium">
        <color theme="3" tint="0.499984740745262"/>
      </bottom>
      <diagonal/>
    </border>
    <border>
      <left style="thin">
        <color theme="0" tint="-0.34998626667073579"/>
      </left>
      <right style="medium">
        <color theme="1" tint="0.34998626667073579"/>
      </right>
      <top style="thin">
        <color theme="0" tint="-0.14996795556505021"/>
      </top>
      <bottom style="medium">
        <color theme="3" tint="0.499984740745262"/>
      </bottom>
      <diagonal/>
    </border>
    <border>
      <left style="medium">
        <color theme="1" tint="0.34998626667073579"/>
      </left>
      <right style="thin">
        <color theme="0" tint="-0.34998626667073579"/>
      </right>
      <top style="thin">
        <color theme="0" tint="-0.14996795556505021"/>
      </top>
      <bottom style="medium">
        <color theme="3" tint="0.499984740745262"/>
      </bottom>
      <diagonal/>
    </border>
    <border>
      <left/>
      <right style="thin">
        <color theme="1" tint="0.499984740745262"/>
      </right>
      <top style="thin">
        <color theme="0" tint="-0.14996795556505021"/>
      </top>
      <bottom style="medium">
        <color theme="3" tint="0.499984740745262"/>
      </bottom>
      <diagonal/>
    </border>
    <border>
      <left/>
      <right style="medium">
        <color theme="1" tint="0.24994659260841701"/>
      </right>
      <top style="thin">
        <color theme="0" tint="-0.14996795556505021"/>
      </top>
      <bottom style="medium">
        <color theme="3" tint="0.499984740745262"/>
      </bottom>
      <diagonal/>
    </border>
    <border>
      <left/>
      <right/>
      <top/>
      <bottom style="thin">
        <color theme="0" tint="-0.24994659260841701"/>
      </bottom>
      <diagonal/>
    </border>
    <border>
      <left style="medium">
        <color theme="1" tint="0.24994659260841701"/>
      </left>
      <right style="thin">
        <color theme="0" tint="-0.24994659260841701"/>
      </right>
      <top style="thick">
        <color theme="9"/>
      </top>
      <bottom style="thick">
        <color theme="3" tint="0.24994659260841701"/>
      </bottom>
      <diagonal/>
    </border>
    <border>
      <left style="thin">
        <color theme="0" tint="-0.24994659260841701"/>
      </left>
      <right style="medium">
        <color theme="1" tint="0.34998626667073579"/>
      </right>
      <top style="thick">
        <color theme="9"/>
      </top>
      <bottom style="thick">
        <color theme="3" tint="0.24994659260841701"/>
      </bottom>
      <diagonal/>
    </border>
    <border>
      <left style="medium">
        <color theme="1" tint="0.34998626667073579"/>
      </left>
      <right style="thin">
        <color theme="0" tint="-0.24994659260841701"/>
      </right>
      <top style="thick">
        <color theme="9"/>
      </top>
      <bottom style="thick">
        <color theme="3" tint="0.24994659260841701"/>
      </bottom>
      <diagonal/>
    </border>
    <border>
      <left style="medium">
        <color theme="1" tint="0.34998626667073579"/>
      </left>
      <right style="thin">
        <color theme="0" tint="-0.34998626667073579"/>
      </right>
      <top style="thick">
        <color theme="9"/>
      </top>
      <bottom style="thick">
        <color theme="3" tint="0.24994659260841701"/>
      </bottom>
      <diagonal/>
    </border>
    <border>
      <left/>
      <right/>
      <top style="thick">
        <color theme="9"/>
      </top>
      <bottom style="thick">
        <color theme="3" tint="0.24994659260841701"/>
      </bottom>
      <diagonal/>
    </border>
    <border>
      <left/>
      <right style="medium">
        <color theme="1" tint="0.24994659260841701"/>
      </right>
      <top style="thick">
        <color theme="9"/>
      </top>
      <bottom style="thick">
        <color theme="3" tint="0.24994659260841701"/>
      </bottom>
      <diagonal/>
    </border>
    <border>
      <left/>
      <right style="medium">
        <color theme="1" tint="0.34998626667073579"/>
      </right>
      <top style="thick">
        <color theme="9"/>
      </top>
      <bottom style="thick">
        <color theme="3" tint="0.24994659260841701"/>
      </bottom>
      <diagonal/>
    </border>
    <border>
      <left style="thin">
        <color theme="0" tint="-0.24994659260841701"/>
      </left>
      <right style="medium">
        <color theme="1" tint="0.24994659260841701"/>
      </right>
      <top style="thin">
        <color theme="0" tint="-0.24994659260841701"/>
      </top>
      <bottom style="medium">
        <color indexed="64"/>
      </bottom>
      <diagonal/>
    </border>
    <border>
      <left style="thin">
        <color theme="0" tint="-0.24994659260841701"/>
      </left>
      <right style="medium">
        <color theme="1" tint="0.24994659260841701"/>
      </right>
      <top style="thin">
        <color theme="0" tint="-0.24994659260841701"/>
      </top>
      <bottom style="thin">
        <color theme="0" tint="-0.24994659260841701"/>
      </bottom>
      <diagonal/>
    </border>
    <border>
      <left style="thin">
        <color theme="0" tint="-0.24994659260841701"/>
      </left>
      <right style="medium">
        <color theme="1" tint="0.24994659260841701"/>
      </right>
      <top style="medium">
        <color indexed="64"/>
      </top>
      <bottom style="thin">
        <color theme="0" tint="-0.24994659260841701"/>
      </bottom>
      <diagonal/>
    </border>
    <border>
      <left style="thin">
        <color theme="0" tint="-0.24994659260841701"/>
      </left>
      <right style="medium">
        <color theme="1" tint="0.24994659260841701"/>
      </right>
      <top/>
      <bottom style="thin">
        <color theme="0" tint="-0.24994659260841701"/>
      </bottom>
      <diagonal/>
    </border>
    <border>
      <left style="thin">
        <color theme="0" tint="-0.34998626667073579"/>
      </left>
      <right style="medium">
        <color theme="1" tint="0.24994659260841701"/>
      </right>
      <top style="thin">
        <color theme="0" tint="-0.34998626667073579"/>
      </top>
      <bottom style="medium">
        <color theme="1" tint="0.499984740745262"/>
      </bottom>
      <diagonal/>
    </border>
    <border>
      <left style="thin">
        <color theme="0" tint="-0.34998626667073579"/>
      </left>
      <right style="medium">
        <color theme="1" tint="0.24994659260841701"/>
      </right>
      <top style="medium">
        <color theme="1" tint="0.499984740745262"/>
      </top>
      <bottom style="thin">
        <color theme="0" tint="-0.24994659260841701"/>
      </bottom>
      <diagonal/>
    </border>
    <border>
      <left style="medium">
        <color theme="1" tint="0.34998626667073579"/>
      </left>
      <right/>
      <top/>
      <bottom style="medium">
        <color theme="1" tint="0.24994659260841701"/>
      </bottom>
      <diagonal/>
    </border>
    <border>
      <left style="medium">
        <color theme="1" tint="0.24994659260841701"/>
      </left>
      <right style="medium">
        <color theme="1" tint="0.24994659260841701"/>
      </right>
      <top style="medium">
        <color theme="3" tint="0.499984740745262"/>
      </top>
      <bottom style="thick">
        <color theme="8" tint="0.39994506668294322"/>
      </bottom>
      <diagonal/>
    </border>
    <border>
      <left style="medium">
        <color theme="1" tint="0.24994659260841701"/>
      </left>
      <right style="medium">
        <color theme="1" tint="0.24994659260841701"/>
      </right>
      <top style="thick">
        <color theme="8" tint="0.39994506668294322"/>
      </top>
      <bottom style="thick">
        <color theme="9"/>
      </bottom>
      <diagonal/>
    </border>
    <border>
      <left style="medium">
        <color theme="1" tint="0.34998626667073579"/>
      </left>
      <right/>
      <top style="thin">
        <color theme="0" tint="-0.24994659260841701"/>
      </top>
      <bottom style="thin">
        <color theme="0" tint="-0.24994659260841701"/>
      </bottom>
      <diagonal/>
    </border>
    <border>
      <left style="medium">
        <color theme="1" tint="0.34998626667073579"/>
      </left>
      <right/>
      <top style="thin">
        <color theme="0" tint="-0.24994659260841701"/>
      </top>
      <bottom style="medium">
        <color indexed="64"/>
      </bottom>
      <diagonal/>
    </border>
    <border>
      <left style="medium">
        <color theme="1" tint="0.24994659260841701"/>
      </left>
      <right/>
      <top style="medium">
        <color indexed="64"/>
      </top>
      <bottom/>
      <diagonal/>
    </border>
    <border>
      <left style="medium">
        <color theme="1" tint="0.24994659260841701"/>
      </left>
      <right/>
      <top style="thin">
        <color theme="0" tint="-0.14996795556505021"/>
      </top>
      <bottom style="medium">
        <color theme="3" tint="0.499984740745262"/>
      </bottom>
      <diagonal/>
    </border>
    <border>
      <left style="medium">
        <color theme="1" tint="0.24994659260841701"/>
      </left>
      <right/>
      <top style="medium">
        <color theme="3" tint="0.499984740745262"/>
      </top>
      <bottom style="thick">
        <color theme="8" tint="0.39994506668294322"/>
      </bottom>
      <diagonal/>
    </border>
    <border>
      <left style="medium">
        <color theme="1" tint="0.34998626667073579"/>
      </left>
      <right/>
      <top style="thick">
        <color theme="9"/>
      </top>
      <bottom style="thick">
        <color theme="3" tint="0.24994659260841701"/>
      </bottom>
      <diagonal/>
    </border>
    <border>
      <left style="medium">
        <color theme="1" tint="0.34998626667073579"/>
      </left>
      <right/>
      <top/>
      <bottom style="thin">
        <color theme="0" tint="-0.24994659260841701"/>
      </bottom>
      <diagonal/>
    </border>
    <border>
      <left style="thin">
        <color theme="0" tint="-0.24994659260841701"/>
      </left>
      <right style="thin">
        <color theme="1" tint="0.499984740745262"/>
      </right>
      <top style="thin">
        <color theme="0" tint="-0.24994659260841701"/>
      </top>
      <bottom style="thin">
        <color theme="0" tint="-0.24994659260841701"/>
      </bottom>
      <diagonal/>
    </border>
    <border>
      <left style="thin">
        <color theme="0" tint="-0.24994659260841701"/>
      </left>
      <right style="thin">
        <color theme="1" tint="0.499984740745262"/>
      </right>
      <top/>
      <bottom style="thin">
        <color theme="0" tint="-0.24994659260841701"/>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theme="0" tint="-0.24994659260841701"/>
      </left>
      <right style="thin">
        <color theme="1" tint="0.499984740745262"/>
      </right>
      <top style="medium">
        <color indexed="64"/>
      </top>
      <bottom style="thin">
        <color theme="0" tint="-0.24994659260841701"/>
      </bottom>
      <diagonal/>
    </border>
    <border>
      <left style="thin">
        <color theme="0" tint="-0.24994659260841701"/>
      </left>
      <right style="thin">
        <color theme="1" tint="0.499984740745262"/>
      </right>
      <top style="thin">
        <color theme="0" tint="-0.24994659260841701"/>
      </top>
      <bottom/>
      <diagonal/>
    </border>
    <border>
      <left style="thin">
        <color theme="0" tint="-0.24994659260841701"/>
      </left>
      <right style="thin">
        <color theme="1" tint="0.499984740745262"/>
      </right>
      <top style="thin">
        <color theme="0" tint="-0.14996795556505021"/>
      </top>
      <bottom style="medium">
        <color theme="3" tint="0.499984740745262"/>
      </bottom>
      <diagonal/>
    </border>
    <border>
      <left style="thin">
        <color theme="0" tint="-0.24994659260841701"/>
      </left>
      <right style="medium">
        <color theme="1" tint="0.24994659260841701"/>
      </right>
      <top style="medium">
        <color theme="3" tint="0.499984740745262"/>
      </top>
      <bottom style="thick">
        <color theme="8" tint="0.39994506668294322"/>
      </bottom>
      <diagonal/>
    </border>
    <border>
      <left style="thin">
        <color theme="0" tint="-0.24994659260841701"/>
      </left>
      <right style="medium">
        <color theme="1" tint="0.24994659260841701"/>
      </right>
      <top style="thick">
        <color theme="8" tint="0.39994506668294322"/>
      </top>
      <bottom style="thick">
        <color theme="9"/>
      </bottom>
      <diagonal/>
    </border>
    <border>
      <left style="medium">
        <color theme="1" tint="0.24994659260841701"/>
      </left>
      <right style="medium">
        <color theme="1" tint="0.34998626667073579"/>
      </right>
      <top style="medium">
        <color theme="1" tint="0.24994659260841701"/>
      </top>
      <bottom/>
      <diagonal/>
    </border>
    <border>
      <left style="medium">
        <color theme="1" tint="0.24994659260841701"/>
      </left>
      <right style="thin">
        <color theme="0" tint="-0.24994659260841701"/>
      </right>
      <top style="thin">
        <color theme="0" tint="-0.24994659260841701"/>
      </top>
      <bottom/>
      <diagonal/>
    </border>
    <border>
      <left/>
      <right style="thin">
        <color theme="0" tint="-0.24994659260841701"/>
      </right>
      <top/>
      <bottom style="thin">
        <color theme="0" tint="-0.24994659260841701"/>
      </bottom>
      <diagonal/>
    </border>
    <border>
      <left style="medium">
        <color theme="1" tint="0.24994659260841701"/>
      </left>
      <right style="thin">
        <color theme="0" tint="-0.14996795556505021"/>
      </right>
      <top style="medium">
        <color theme="1" tint="0.499984740745262"/>
      </top>
      <bottom style="medium">
        <color theme="1" tint="0.14996795556505021"/>
      </bottom>
      <diagonal/>
    </border>
    <border>
      <left/>
      <right style="thin">
        <color theme="0" tint="-0.14996795556505021"/>
      </right>
      <top style="medium">
        <color theme="1" tint="0.499984740745262"/>
      </top>
      <bottom style="medium">
        <color theme="1" tint="0.14996795556505021"/>
      </bottom>
      <diagonal/>
    </border>
    <border>
      <left style="thin">
        <color theme="0" tint="-0.14996795556505021"/>
      </left>
      <right style="thin">
        <color theme="0" tint="-0.14996795556505021"/>
      </right>
      <top style="medium">
        <color theme="1" tint="0.499984740745262"/>
      </top>
      <bottom style="medium">
        <color theme="1" tint="0.14996795556505021"/>
      </bottom>
      <diagonal/>
    </border>
  </borders>
  <cellStyleXfs count="43">
    <xf numFmtId="0" fontId="0" fillId="0" borderId="0"/>
    <xf numFmtId="0" fontId="53" fillId="0" borderId="117" applyNumberFormat="0" applyFill="0" applyAlignment="0" applyProtection="0"/>
    <xf numFmtId="0" fontId="54" fillId="0" borderId="118" applyNumberFormat="0" applyFill="0" applyAlignment="0" applyProtection="0"/>
    <xf numFmtId="0" fontId="55" fillId="0" borderId="119" applyNumberFormat="0" applyFill="0" applyAlignment="0" applyProtection="0"/>
    <xf numFmtId="0" fontId="55" fillId="0" borderId="0" applyNumberFormat="0" applyFill="0" applyBorder="0" applyAlignment="0" applyProtection="0"/>
    <xf numFmtId="0" fontId="56" fillId="20" borderId="0" applyNumberFormat="0" applyBorder="0" applyAlignment="0" applyProtection="0"/>
    <xf numFmtId="0" fontId="57" fillId="21" borderId="0" applyNumberFormat="0" applyBorder="0" applyAlignment="0" applyProtection="0"/>
    <xf numFmtId="0" fontId="58" fillId="23" borderId="120" applyNumberFormat="0" applyAlignment="0" applyProtection="0"/>
    <xf numFmtId="0" fontId="59" fillId="24" borderId="121" applyNumberFormat="0" applyAlignment="0" applyProtection="0"/>
    <xf numFmtId="0" fontId="60" fillId="24" borderId="120" applyNumberFormat="0" applyAlignment="0" applyProtection="0"/>
    <xf numFmtId="0" fontId="61" fillId="0" borderId="122" applyNumberFormat="0" applyFill="0" applyAlignment="0" applyProtection="0"/>
    <xf numFmtId="0" fontId="1" fillId="25" borderId="123" applyNumberFormat="0" applyAlignment="0" applyProtection="0"/>
    <xf numFmtId="0" fontId="62" fillId="0" borderId="0" applyNumberFormat="0" applyFill="0" applyBorder="0" applyAlignment="0" applyProtection="0"/>
    <xf numFmtId="0" fontId="52" fillId="26" borderId="124" applyNumberFormat="0" applyFont="0" applyAlignment="0" applyProtection="0"/>
    <xf numFmtId="0" fontId="63" fillId="0" borderId="0" applyNumberFormat="0" applyFill="0" applyBorder="0" applyAlignment="0" applyProtection="0"/>
    <xf numFmtId="0" fontId="21" fillId="0" borderId="125" applyNumberFormat="0" applyFill="0" applyAlignment="0" applyProtection="0"/>
    <xf numFmtId="0" fontId="64" fillId="27" borderId="0" applyNumberFormat="0" applyBorder="0" applyAlignment="0" applyProtection="0"/>
    <xf numFmtId="0" fontId="52" fillId="28" borderId="0" applyNumberFormat="0" applyBorder="0" applyAlignment="0" applyProtection="0"/>
    <xf numFmtId="0" fontId="52" fillId="29" borderId="0" applyNumberFormat="0" applyBorder="0" applyAlignment="0" applyProtection="0"/>
    <xf numFmtId="0" fontId="64" fillId="31" borderId="0" applyNumberFormat="0" applyBorder="0" applyAlignment="0" applyProtection="0"/>
    <xf numFmtId="0" fontId="52" fillId="32" borderId="0" applyNumberFormat="0" applyBorder="0" applyAlignment="0" applyProtection="0"/>
    <xf numFmtId="0" fontId="52" fillId="33" borderId="0" applyNumberFormat="0" applyBorder="0" applyAlignment="0" applyProtection="0"/>
    <xf numFmtId="0" fontId="64" fillId="35" borderId="0" applyNumberFormat="0" applyBorder="0" applyAlignment="0" applyProtection="0"/>
    <xf numFmtId="0" fontId="52" fillId="36" borderId="0" applyNumberFormat="0" applyBorder="0" applyAlignment="0" applyProtection="0"/>
    <xf numFmtId="0" fontId="52" fillId="37" borderId="0" applyNumberFormat="0" applyBorder="0" applyAlignment="0" applyProtection="0"/>
    <xf numFmtId="0" fontId="64" fillId="39" borderId="0" applyNumberFormat="0" applyBorder="0" applyAlignment="0" applyProtection="0"/>
    <xf numFmtId="0" fontId="52" fillId="40" borderId="0" applyNumberFormat="0" applyBorder="0" applyAlignment="0" applyProtection="0"/>
    <xf numFmtId="0" fontId="52" fillId="41" borderId="0" applyNumberFormat="0" applyBorder="0" applyAlignment="0" applyProtection="0"/>
    <xf numFmtId="0" fontId="64" fillId="43" borderId="0" applyNumberFormat="0" applyBorder="0" applyAlignment="0" applyProtection="0"/>
    <xf numFmtId="0" fontId="52" fillId="44" borderId="0" applyNumberFormat="0" applyBorder="0" applyAlignment="0" applyProtection="0"/>
    <xf numFmtId="0" fontId="52" fillId="45" borderId="0" applyNumberFormat="0" applyBorder="0" applyAlignment="0" applyProtection="0"/>
    <xf numFmtId="0" fontId="64" fillId="47" borderId="0" applyNumberFormat="0" applyBorder="0" applyAlignment="0" applyProtection="0"/>
    <xf numFmtId="0" fontId="52" fillId="48" borderId="0" applyNumberFormat="0" applyBorder="0" applyAlignment="0" applyProtection="0"/>
    <xf numFmtId="0" fontId="52" fillId="49" borderId="0" applyNumberFormat="0" applyBorder="0" applyAlignment="0" applyProtection="0"/>
    <xf numFmtId="0" fontId="65" fillId="0" borderId="0" applyNumberFormat="0" applyFill="0" applyBorder="0" applyAlignment="0" applyProtection="0"/>
    <xf numFmtId="0" fontId="66" fillId="22" borderId="0" applyNumberFormat="0" applyBorder="0" applyAlignment="0" applyProtection="0"/>
    <xf numFmtId="0" fontId="64" fillId="30" borderId="0" applyNumberFormat="0" applyBorder="0" applyAlignment="0" applyProtection="0"/>
    <xf numFmtId="0" fontId="64" fillId="34" borderId="0" applyNumberFormat="0" applyBorder="0" applyAlignment="0" applyProtection="0"/>
    <xf numFmtId="0" fontId="64" fillId="38" borderId="0" applyNumberFormat="0" applyBorder="0" applyAlignment="0" applyProtection="0"/>
    <xf numFmtId="0" fontId="64" fillId="42" borderId="0" applyNumberFormat="0" applyBorder="0" applyAlignment="0" applyProtection="0"/>
    <xf numFmtId="0" fontId="64" fillId="46" borderId="0" applyNumberFormat="0" applyBorder="0" applyAlignment="0" applyProtection="0"/>
    <xf numFmtId="0" fontId="64" fillId="50" borderId="0" applyNumberFormat="0" applyBorder="0" applyAlignment="0" applyProtection="0"/>
    <xf numFmtId="9" fontId="52" fillId="0" borderId="0" applyFont="0" applyFill="0" applyBorder="0" applyAlignment="0" applyProtection="0"/>
  </cellStyleXfs>
  <cellXfs count="529">
    <xf numFmtId="0" fontId="0" fillId="0" borderId="0" xfId="0"/>
    <xf numFmtId="0" fontId="4" fillId="2" borderId="4" xfId="0" applyFont="1" applyFill="1" applyBorder="1" applyAlignment="1">
      <alignment horizontal="center" vertical="center"/>
    </xf>
    <xf numFmtId="0" fontId="2" fillId="0" borderId="0" xfId="0" applyFont="1" applyAlignment="1">
      <alignment vertical="center"/>
    </xf>
    <xf numFmtId="0" fontId="7" fillId="3" borderId="13"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5" xfId="0" applyFont="1" applyFill="1" applyBorder="1" applyAlignment="1">
      <alignment horizontal="center" vertical="center"/>
    </xf>
    <xf numFmtId="0" fontId="7" fillId="3" borderId="16" xfId="0" applyFont="1" applyFill="1" applyBorder="1" applyAlignment="1">
      <alignment horizontal="center" vertical="center"/>
    </xf>
    <xf numFmtId="0" fontId="7" fillId="4" borderId="20" xfId="0" applyFont="1" applyFill="1" applyBorder="1" applyAlignment="1">
      <alignment horizontal="center" vertical="center"/>
    </xf>
    <xf numFmtId="0" fontId="7" fillId="4" borderId="21" xfId="0" applyFont="1" applyFill="1" applyBorder="1" applyAlignment="1">
      <alignment horizontal="center" vertical="center"/>
    </xf>
    <xf numFmtId="0" fontId="7" fillId="4" borderId="22" xfId="0" applyFont="1" applyFill="1" applyBorder="1" applyAlignment="1">
      <alignment horizontal="center" vertical="center"/>
    </xf>
    <xf numFmtId="0" fontId="7" fillId="4" borderId="23" xfId="0" applyFont="1" applyFill="1" applyBorder="1" applyAlignment="1">
      <alignment horizontal="center" vertical="center"/>
    </xf>
    <xf numFmtId="0" fontId="8" fillId="0" borderId="24" xfId="0" applyFont="1" applyBorder="1" applyAlignment="1">
      <alignment horizontal="center" vertical="center"/>
    </xf>
    <xf numFmtId="0" fontId="8" fillId="0" borderId="25" xfId="0" applyFont="1" applyBorder="1" applyAlignment="1">
      <alignment horizontal="center" vertical="center"/>
    </xf>
    <xf numFmtId="3" fontId="9" fillId="0" borderId="26" xfId="0" applyNumberFormat="1" applyFont="1" applyBorder="1" applyAlignment="1">
      <alignment horizontal="center" vertical="center"/>
    </xf>
    <xf numFmtId="3" fontId="9" fillId="0" borderId="27" xfId="0" applyNumberFormat="1" applyFont="1" applyBorder="1" applyAlignment="1">
      <alignment horizontal="center" vertical="center"/>
    </xf>
    <xf numFmtId="3" fontId="10" fillId="0" borderId="26" xfId="0" applyNumberFormat="1" applyFont="1" applyBorder="1" applyAlignment="1">
      <alignment horizontal="center" vertical="center"/>
    </xf>
    <xf numFmtId="3" fontId="10" fillId="0" borderId="27" xfId="0" applyNumberFormat="1" applyFont="1" applyBorder="1" applyAlignment="1">
      <alignment horizontal="center" vertical="center"/>
    </xf>
    <xf numFmtId="3" fontId="10" fillId="0" borderId="28" xfId="0" applyNumberFormat="1" applyFont="1" applyBorder="1" applyAlignment="1">
      <alignment horizontal="center" vertical="center"/>
    </xf>
    <xf numFmtId="3" fontId="10" fillId="0" borderId="29" xfId="0" applyNumberFormat="1" applyFont="1" applyBorder="1" applyAlignment="1">
      <alignment horizontal="right" vertical="center" indent="1"/>
    </xf>
    <xf numFmtId="0" fontId="11" fillId="0" borderId="30" xfId="0" applyFont="1" applyBorder="1" applyAlignment="1">
      <alignment horizontal="left" vertical="center" indent="1"/>
    </xf>
    <xf numFmtId="0" fontId="8" fillId="0" borderId="31" xfId="0" applyFont="1" applyBorder="1" applyAlignment="1">
      <alignment horizontal="center" vertical="center"/>
    </xf>
    <xf numFmtId="0" fontId="8" fillId="0" borderId="32" xfId="0" applyFont="1" applyBorder="1" applyAlignment="1">
      <alignment horizontal="center" vertical="center"/>
    </xf>
    <xf numFmtId="3" fontId="9" fillId="0" borderId="33" xfId="0" applyNumberFormat="1" applyFont="1" applyBorder="1" applyAlignment="1">
      <alignment horizontal="center" vertical="center"/>
    </xf>
    <xf numFmtId="3" fontId="10" fillId="0" borderId="34" xfId="0" applyNumberFormat="1" applyFont="1" applyBorder="1" applyAlignment="1">
      <alignment horizontal="center" vertical="center"/>
    </xf>
    <xf numFmtId="3" fontId="9" fillId="0" borderId="34" xfId="0" applyNumberFormat="1" applyFont="1" applyBorder="1" applyAlignment="1">
      <alignment horizontal="center" vertical="center"/>
    </xf>
    <xf numFmtId="3" fontId="10" fillId="0" borderId="33" xfId="0" applyNumberFormat="1" applyFont="1" applyBorder="1" applyAlignment="1">
      <alignment horizontal="center" vertical="center"/>
    </xf>
    <xf numFmtId="3" fontId="10" fillId="0" borderId="35" xfId="0" applyNumberFormat="1" applyFont="1" applyBorder="1" applyAlignment="1">
      <alignment horizontal="center" vertical="center"/>
    </xf>
    <xf numFmtId="3" fontId="10" fillId="0" borderId="36" xfId="0" applyNumberFormat="1" applyFont="1" applyBorder="1" applyAlignment="1">
      <alignment horizontal="right" vertical="center" indent="1"/>
    </xf>
    <xf numFmtId="0" fontId="11" fillId="0" borderId="37" xfId="0" applyFont="1" applyBorder="1" applyAlignment="1">
      <alignment horizontal="center" vertical="center"/>
    </xf>
    <xf numFmtId="0" fontId="12" fillId="0" borderId="31" xfId="0" applyFont="1" applyBorder="1" applyAlignment="1">
      <alignment horizontal="center" vertical="center"/>
    </xf>
    <xf numFmtId="0" fontId="12" fillId="0" borderId="32" xfId="0" applyFont="1" applyBorder="1" applyAlignment="1">
      <alignment horizontal="center" vertical="center"/>
    </xf>
    <xf numFmtId="3" fontId="13" fillId="0" borderId="34" xfId="0" applyNumberFormat="1" applyFont="1" applyBorder="1" applyAlignment="1">
      <alignment horizontal="center" vertical="center"/>
    </xf>
    <xf numFmtId="0" fontId="14" fillId="0" borderId="37" xfId="0" applyFont="1" applyBorder="1" applyAlignment="1">
      <alignment horizontal="center" vertical="center"/>
    </xf>
    <xf numFmtId="0" fontId="13" fillId="0" borderId="31" xfId="0" applyFont="1" applyBorder="1" applyAlignment="1">
      <alignment horizontal="center" vertical="center"/>
    </xf>
    <xf numFmtId="0" fontId="13" fillId="0" borderId="32" xfId="0" applyFont="1" applyBorder="1" applyAlignment="1">
      <alignment horizontal="center" vertical="center"/>
    </xf>
    <xf numFmtId="3" fontId="13" fillId="0" borderId="33" xfId="0" applyNumberFormat="1" applyFont="1" applyBorder="1" applyAlignment="1">
      <alignment horizontal="center" vertical="center"/>
    </xf>
    <xf numFmtId="3" fontId="13" fillId="0" borderId="35" xfId="0" applyNumberFormat="1" applyFont="1" applyBorder="1" applyAlignment="1">
      <alignment horizontal="center" vertical="center"/>
    </xf>
    <xf numFmtId="3" fontId="13" fillId="0" borderId="36" xfId="0" applyNumberFormat="1" applyFont="1" applyBorder="1" applyAlignment="1">
      <alignment horizontal="right" vertical="center" indent="1"/>
    </xf>
    <xf numFmtId="3" fontId="8" fillId="2" borderId="40" xfId="0" applyNumberFormat="1" applyFont="1" applyFill="1" applyBorder="1" applyAlignment="1">
      <alignment horizontal="center" vertical="center"/>
    </xf>
    <xf numFmtId="3" fontId="8" fillId="2" borderId="41" xfId="0" applyNumberFormat="1" applyFont="1" applyFill="1" applyBorder="1" applyAlignment="1">
      <alignment horizontal="center" vertical="center"/>
    </xf>
    <xf numFmtId="3" fontId="8" fillId="2" borderId="42" xfId="0" applyNumberFormat="1" applyFont="1" applyFill="1" applyBorder="1" applyAlignment="1">
      <alignment horizontal="center" vertical="center"/>
    </xf>
    <xf numFmtId="3" fontId="8" fillId="2" borderId="43" xfId="0" applyNumberFormat="1" applyFont="1" applyFill="1" applyBorder="1" applyAlignment="1">
      <alignment horizontal="right" vertical="center" indent="1"/>
    </xf>
    <xf numFmtId="0" fontId="11" fillId="0" borderId="44" xfId="0" applyFont="1" applyBorder="1" applyAlignment="1">
      <alignment horizontal="center" vertical="center"/>
    </xf>
    <xf numFmtId="3" fontId="10" fillId="0" borderId="45" xfId="0" applyNumberFormat="1" applyFont="1" applyBorder="1" applyAlignment="1">
      <alignment horizontal="center" vertical="center"/>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1" fillId="0" borderId="46"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3" fontId="9" fillId="0" borderId="49" xfId="0" applyNumberFormat="1" applyFont="1" applyBorder="1" applyAlignment="1">
      <alignment horizontal="center" vertical="center"/>
    </xf>
    <xf numFmtId="3" fontId="9" fillId="0" borderId="50" xfId="0" applyNumberFormat="1" applyFont="1" applyBorder="1" applyAlignment="1">
      <alignment horizontal="center" vertical="center"/>
    </xf>
    <xf numFmtId="3" fontId="10" fillId="0" borderId="50" xfId="0" applyNumberFormat="1" applyFont="1" applyBorder="1" applyAlignment="1">
      <alignment horizontal="center" vertical="center"/>
    </xf>
    <xf numFmtId="3" fontId="10" fillId="0" borderId="49" xfId="0" applyNumberFormat="1" applyFont="1" applyBorder="1" applyAlignment="1">
      <alignment horizontal="center" vertical="center"/>
    </xf>
    <xf numFmtId="0" fontId="11" fillId="0" borderId="53" xfId="0" applyFont="1" applyBorder="1" applyAlignment="1">
      <alignment horizontal="center" vertical="center"/>
    </xf>
    <xf numFmtId="0" fontId="11" fillId="0" borderId="37" xfId="0" applyFont="1" applyBorder="1" applyAlignment="1">
      <alignment horizontal="left" vertical="center" indent="1"/>
    </xf>
    <xf numFmtId="3" fontId="10" fillId="0" borderId="0" xfId="0" applyNumberFormat="1" applyFont="1" applyAlignment="1">
      <alignment horizontal="center" vertical="center"/>
    </xf>
    <xf numFmtId="0" fontId="11" fillId="0" borderId="54" xfId="0" applyFont="1" applyBorder="1" applyAlignment="1">
      <alignment horizontal="center" vertical="center"/>
    </xf>
    <xf numFmtId="3" fontId="10" fillId="0" borderId="55" xfId="0" applyNumberFormat="1" applyFont="1" applyBorder="1" applyAlignment="1">
      <alignment horizontal="center" vertical="center"/>
    </xf>
    <xf numFmtId="3" fontId="10" fillId="0" borderId="56" xfId="0" applyNumberFormat="1" applyFont="1" applyBorder="1" applyAlignment="1">
      <alignment horizontal="center" vertical="center"/>
    </xf>
    <xf numFmtId="3" fontId="13" fillId="0" borderId="56" xfId="0" applyNumberFormat="1" applyFont="1" applyBorder="1" applyAlignment="1">
      <alignment horizontal="center" vertical="center"/>
    </xf>
    <xf numFmtId="3" fontId="8" fillId="2" borderId="33" xfId="0" applyNumberFormat="1" applyFont="1" applyFill="1" applyBorder="1" applyAlignment="1">
      <alignment horizontal="center" vertical="center"/>
    </xf>
    <xf numFmtId="3" fontId="8" fillId="2" borderId="34" xfId="0" applyNumberFormat="1" applyFont="1" applyFill="1" applyBorder="1" applyAlignment="1">
      <alignment horizontal="center" vertical="center"/>
    </xf>
    <xf numFmtId="3" fontId="8" fillId="2" borderId="56" xfId="0" applyNumberFormat="1" applyFont="1" applyFill="1" applyBorder="1" applyAlignment="1">
      <alignment horizontal="center" vertical="center"/>
    </xf>
    <xf numFmtId="3" fontId="8" fillId="2" borderId="36" xfId="0" applyNumberFormat="1" applyFont="1" applyFill="1" applyBorder="1" applyAlignment="1">
      <alignment horizontal="right" vertical="center" indent="1"/>
    </xf>
    <xf numFmtId="0" fontId="11" fillId="0" borderId="57" xfId="0" applyFont="1" applyBorder="1" applyAlignment="1">
      <alignment horizontal="center" vertical="center"/>
    </xf>
    <xf numFmtId="3" fontId="15" fillId="5" borderId="33" xfId="0" applyNumberFormat="1" applyFont="1" applyFill="1" applyBorder="1" applyAlignment="1">
      <alignment horizontal="center" vertical="center"/>
    </xf>
    <xf numFmtId="3" fontId="15" fillId="5" borderId="34" xfId="0" applyNumberFormat="1" applyFont="1" applyFill="1" applyBorder="1" applyAlignment="1">
      <alignment horizontal="center" vertical="center"/>
    </xf>
    <xf numFmtId="3" fontId="15" fillId="5" borderId="56" xfId="0" applyNumberFormat="1" applyFont="1" applyFill="1" applyBorder="1" applyAlignment="1">
      <alignment horizontal="center" vertical="center"/>
    </xf>
    <xf numFmtId="3" fontId="15" fillId="5" borderId="36" xfId="0" applyNumberFormat="1" applyFont="1" applyFill="1" applyBorder="1" applyAlignment="1">
      <alignment horizontal="right" vertical="center" indent="1"/>
    </xf>
    <xf numFmtId="0" fontId="16" fillId="0" borderId="57" xfId="0" applyFont="1" applyBorder="1" applyAlignment="1">
      <alignment horizontal="left" vertical="center" indent="1"/>
    </xf>
    <xf numFmtId="3" fontId="15" fillId="6" borderId="60" xfId="0" applyNumberFormat="1" applyFont="1" applyFill="1" applyBorder="1" applyAlignment="1">
      <alignment horizontal="center" vertical="center"/>
    </xf>
    <xf numFmtId="3" fontId="15" fillId="6" borderId="61" xfId="0" applyNumberFormat="1" applyFont="1" applyFill="1" applyBorder="1" applyAlignment="1">
      <alignment horizontal="center" vertical="center"/>
    </xf>
    <xf numFmtId="3" fontId="15" fillId="6" borderId="62" xfId="0" applyNumberFormat="1" applyFont="1" applyFill="1" applyBorder="1" applyAlignment="1">
      <alignment horizontal="right" vertical="center" indent="1"/>
    </xf>
    <xf numFmtId="0" fontId="5" fillId="2" borderId="57" xfId="0" applyFont="1" applyFill="1" applyBorder="1" applyAlignment="1">
      <alignment vertical="center"/>
    </xf>
    <xf numFmtId="3" fontId="15" fillId="7" borderId="65" xfId="0" applyNumberFormat="1" applyFont="1" applyFill="1" applyBorder="1" applyAlignment="1">
      <alignment horizontal="center" vertical="center"/>
    </xf>
    <xf numFmtId="3" fontId="15" fillId="7" borderId="66" xfId="0" applyNumberFormat="1" applyFont="1" applyFill="1" applyBorder="1" applyAlignment="1">
      <alignment horizontal="center" vertical="center"/>
    </xf>
    <xf numFmtId="3" fontId="15" fillId="7" borderId="67" xfId="0" applyNumberFormat="1" applyFont="1" applyFill="1" applyBorder="1" applyAlignment="1">
      <alignment horizontal="center" vertical="center"/>
    </xf>
    <xf numFmtId="3" fontId="15" fillId="7" borderId="68" xfId="0" applyNumberFormat="1" applyFont="1" applyFill="1" applyBorder="1" applyAlignment="1">
      <alignment horizontal="right" vertical="center" indent="1"/>
    </xf>
    <xf numFmtId="0" fontId="17" fillId="0" borderId="17" xfId="0" applyFont="1" applyBorder="1" applyAlignment="1">
      <alignment horizontal="left" vertical="center" indent="1"/>
    </xf>
    <xf numFmtId="0" fontId="18" fillId="2" borderId="70" xfId="0" applyFont="1" applyFill="1" applyBorder="1" applyAlignment="1">
      <alignment horizontal="center" vertical="center"/>
    </xf>
    <xf numFmtId="0" fontId="18" fillId="2" borderId="71" xfId="0" applyFont="1" applyFill="1" applyBorder="1" applyAlignment="1">
      <alignment horizontal="center" vertical="center"/>
    </xf>
    <xf numFmtId="0" fontId="18" fillId="2" borderId="72" xfId="0" applyFont="1" applyFill="1" applyBorder="1" applyAlignment="1">
      <alignment horizontal="center" vertical="center"/>
    </xf>
    <xf numFmtId="3" fontId="18" fillId="2" borderId="73" xfId="0" applyNumberFormat="1" applyFont="1" applyFill="1" applyBorder="1" applyAlignment="1">
      <alignment horizontal="right" vertical="center" indent="1"/>
    </xf>
    <xf numFmtId="0" fontId="17" fillId="0" borderId="74" xfId="0" applyFont="1" applyBorder="1" applyAlignment="1">
      <alignment horizontal="left" vertical="center" indent="1"/>
    </xf>
    <xf numFmtId="3" fontId="13" fillId="0" borderId="51" xfId="0" applyNumberFormat="1" applyFont="1" applyBorder="1" applyAlignment="1">
      <alignment horizontal="center" vertical="center"/>
    </xf>
    <xf numFmtId="3" fontId="13" fillId="0" borderId="52" xfId="0" applyNumberFormat="1" applyFont="1" applyBorder="1" applyAlignment="1">
      <alignment horizontal="right" vertical="center" indent="1"/>
    </xf>
    <xf numFmtId="3" fontId="10" fillId="0" borderId="51" xfId="0" applyNumberFormat="1" applyFont="1" applyBorder="1" applyAlignment="1">
      <alignment horizontal="center" vertical="center"/>
    </xf>
    <xf numFmtId="3" fontId="10" fillId="0" borderId="52" xfId="0" applyNumberFormat="1" applyFont="1" applyBorder="1" applyAlignment="1">
      <alignment horizontal="right" vertical="center" indent="1"/>
    </xf>
    <xf numFmtId="0" fontId="23" fillId="8" borderId="75" xfId="0" applyFont="1" applyFill="1" applyBorder="1" applyAlignment="1">
      <alignment horizontal="center" vertical="center" wrapText="1"/>
    </xf>
    <xf numFmtId="0" fontId="23" fillId="8" borderId="75" xfId="0" applyFont="1" applyFill="1" applyBorder="1" applyAlignment="1">
      <alignment horizontal="center" vertical="center"/>
    </xf>
    <xf numFmtId="14" fontId="23" fillId="8" borderId="75" xfId="0" applyNumberFormat="1" applyFont="1" applyFill="1" applyBorder="1" applyAlignment="1">
      <alignment horizontal="center" vertical="center"/>
    </xf>
    <xf numFmtId="0" fontId="0" fillId="0" borderId="0" xfId="0" applyAlignment="1">
      <alignment vertical="center"/>
    </xf>
    <xf numFmtId="0" fontId="24" fillId="0" borderId="75" xfId="0" applyFont="1" applyBorder="1" applyAlignment="1">
      <alignment horizontal="center" vertical="top" wrapText="1"/>
    </xf>
    <xf numFmtId="0" fontId="25" fillId="0" borderId="75" xfId="0" applyFont="1" applyBorder="1" applyAlignment="1">
      <alignment vertical="top" wrapText="1"/>
    </xf>
    <xf numFmtId="164" fontId="26" fillId="0" borderId="75" xfId="0" applyNumberFormat="1" applyFont="1" applyBorder="1" applyAlignment="1">
      <alignment horizontal="left" vertical="top" wrapText="1"/>
    </xf>
    <xf numFmtId="164" fontId="27" fillId="0" borderId="75" xfId="0" applyNumberFormat="1" applyFont="1" applyBorder="1" applyAlignment="1">
      <alignment horizontal="center" vertical="top" wrapText="1"/>
    </xf>
    <xf numFmtId="14" fontId="27" fillId="0" borderId="75" xfId="0" applyNumberFormat="1" applyFont="1" applyBorder="1" applyAlignment="1">
      <alignment horizontal="center" vertical="top" wrapText="1"/>
    </xf>
    <xf numFmtId="0" fontId="28" fillId="9" borderId="75" xfId="0" applyFont="1" applyFill="1" applyBorder="1" applyAlignment="1">
      <alignment horizontal="center" vertical="top"/>
    </xf>
    <xf numFmtId="0" fontId="28" fillId="10" borderId="75" xfId="0" applyFont="1" applyFill="1" applyBorder="1" applyAlignment="1">
      <alignment horizontal="center" vertical="top"/>
    </xf>
    <xf numFmtId="0" fontId="27" fillId="0" borderId="75" xfId="0" applyFont="1" applyBorder="1" applyAlignment="1">
      <alignment vertical="top" wrapText="1"/>
    </xf>
    <xf numFmtId="0" fontId="0" fillId="0" borderId="0" xfId="0" applyAlignment="1">
      <alignment vertical="top"/>
    </xf>
    <xf numFmtId="0" fontId="29" fillId="0" borderId="75" xfId="0" applyFont="1" applyBorder="1" applyAlignment="1">
      <alignment vertical="top"/>
    </xf>
    <xf numFmtId="0" fontId="28" fillId="6" borderId="75" xfId="0" applyFont="1" applyFill="1" applyBorder="1" applyAlignment="1">
      <alignment horizontal="center" vertical="top"/>
    </xf>
    <xf numFmtId="0" fontId="28" fillId="11" borderId="75" xfId="0" applyFont="1" applyFill="1" applyBorder="1" applyAlignment="1">
      <alignment horizontal="center" vertical="top"/>
    </xf>
    <xf numFmtId="164" fontId="33" fillId="0" borderId="75" xfId="0" applyNumberFormat="1" applyFont="1" applyBorder="1" applyAlignment="1">
      <alignment horizontal="left" vertical="top" wrapText="1"/>
    </xf>
    <xf numFmtId="164" fontId="34" fillId="0" borderId="75" xfId="0" applyNumberFormat="1" applyFont="1" applyBorder="1" applyAlignment="1">
      <alignment horizontal="center" vertical="top"/>
    </xf>
    <xf numFmtId="0" fontId="35" fillId="0" borderId="75" xfId="0" applyFont="1" applyBorder="1" applyAlignment="1">
      <alignment vertical="top" wrapText="1"/>
    </xf>
    <xf numFmtId="0" fontId="37" fillId="0" borderId="75" xfId="0" applyFont="1" applyBorder="1" applyAlignment="1">
      <alignment horizontal="left" vertical="top" wrapText="1"/>
    </xf>
    <xf numFmtId="0" fontId="28" fillId="7" borderId="75" xfId="0" applyFont="1" applyFill="1" applyBorder="1" applyAlignment="1">
      <alignment horizontal="center" vertical="top"/>
    </xf>
    <xf numFmtId="0" fontId="28" fillId="12" borderId="75" xfId="0" applyFont="1" applyFill="1" applyBorder="1" applyAlignment="1">
      <alignment horizontal="center" vertical="top"/>
    </xf>
    <xf numFmtId="0" fontId="28" fillId="13" borderId="75" xfId="0" applyFont="1" applyFill="1" applyBorder="1" applyAlignment="1">
      <alignment horizontal="center" vertical="top"/>
    </xf>
    <xf numFmtId="0" fontId="0" fillId="0" borderId="0" xfId="0" applyAlignment="1">
      <alignment wrapText="1"/>
    </xf>
    <xf numFmtId="0" fontId="0" fillId="0" borderId="0" xfId="0" applyAlignment="1">
      <alignment horizontal="center"/>
    </xf>
    <xf numFmtId="14" fontId="0" fillId="0" borderId="0" xfId="0" applyNumberFormat="1" applyAlignment="1">
      <alignment horizontal="center"/>
    </xf>
    <xf numFmtId="0" fontId="38" fillId="0" borderId="0" xfId="0" applyFont="1" applyAlignment="1">
      <alignment wrapText="1"/>
    </xf>
    <xf numFmtId="0" fontId="16" fillId="0" borderId="53" xfId="0" applyFont="1" applyBorder="1" applyAlignment="1">
      <alignment horizontal="center" vertical="center"/>
    </xf>
    <xf numFmtId="0" fontId="39" fillId="0" borderId="53" xfId="0" applyFont="1" applyBorder="1" applyAlignment="1">
      <alignment horizontal="center" vertical="center"/>
    </xf>
    <xf numFmtId="0" fontId="40" fillId="0" borderId="53" xfId="0" applyFont="1" applyBorder="1" applyAlignment="1">
      <alignment horizontal="center" vertical="center"/>
    </xf>
    <xf numFmtId="3" fontId="41" fillId="0" borderId="33" xfId="0" applyNumberFormat="1" applyFont="1" applyBorder="1" applyAlignment="1">
      <alignment horizontal="center" vertical="center"/>
    </xf>
    <xf numFmtId="0" fontId="40" fillId="0" borderId="37" xfId="0" applyFont="1" applyBorder="1" applyAlignment="1">
      <alignment horizontal="center" vertical="center"/>
    </xf>
    <xf numFmtId="0" fontId="11" fillId="0" borderId="76" xfId="0" applyFont="1" applyBorder="1" applyAlignment="1">
      <alignment horizontal="center" vertical="center"/>
    </xf>
    <xf numFmtId="0" fontId="11" fillId="0" borderId="77" xfId="0" applyFont="1" applyBorder="1" applyAlignment="1">
      <alignment horizontal="center" vertical="center"/>
    </xf>
    <xf numFmtId="0" fontId="11" fillId="0" borderId="77" xfId="0" applyFont="1" applyBorder="1" applyAlignment="1">
      <alignment horizontal="left" vertical="center"/>
    </xf>
    <xf numFmtId="0" fontId="11" fillId="0" borderId="79" xfId="0" applyFont="1" applyBorder="1" applyAlignment="1">
      <alignment horizontal="center" vertical="center"/>
    </xf>
    <xf numFmtId="0" fontId="11" fillId="0" borderId="80" xfId="0" applyFont="1" applyBorder="1" applyAlignment="1">
      <alignment horizontal="center" vertical="center"/>
    </xf>
    <xf numFmtId="0" fontId="42" fillId="0" borderId="37" xfId="0" applyFont="1" applyBorder="1" applyAlignment="1">
      <alignment horizontal="left" vertical="center" wrapText="1" indent="1"/>
    </xf>
    <xf numFmtId="0" fontId="39" fillId="0" borderId="37" xfId="0" applyFont="1" applyBorder="1" applyAlignment="1">
      <alignment horizontal="left" vertical="center" wrapText="1" indent="1"/>
    </xf>
    <xf numFmtId="0" fontId="14" fillId="0" borderId="37" xfId="0" applyFont="1" applyBorder="1" applyAlignment="1">
      <alignment horizontal="left" vertical="center" indent="1"/>
    </xf>
    <xf numFmtId="0" fontId="11" fillId="0" borderId="37" xfId="0" applyFont="1" applyBorder="1" applyAlignment="1">
      <alignment horizontal="left" vertical="center" wrapText="1" indent="1"/>
    </xf>
    <xf numFmtId="0" fontId="11" fillId="0" borderId="37" xfId="0" applyFont="1" applyBorder="1" applyAlignment="1">
      <alignment horizontal="left" vertical="top" wrapText="1" indent="1"/>
    </xf>
    <xf numFmtId="0" fontId="3" fillId="2" borderId="57" xfId="0" applyFont="1" applyFill="1" applyBorder="1" applyAlignment="1">
      <alignment horizontal="left" vertical="center" indent="1"/>
    </xf>
    <xf numFmtId="0" fontId="11" fillId="0" borderId="53" xfId="0" applyFont="1" applyBorder="1" applyAlignment="1">
      <alignment horizontal="left" vertical="center" indent="1"/>
    </xf>
    <xf numFmtId="0" fontId="11" fillId="0" borderId="79" xfId="0" applyFont="1" applyBorder="1" applyAlignment="1">
      <alignment horizontal="left" vertical="center" wrapText="1" indent="1"/>
    </xf>
    <xf numFmtId="0" fontId="11" fillId="0" borderId="78" xfId="0" applyFont="1" applyBorder="1" applyAlignment="1">
      <alignment horizontal="left" vertical="center" indent="1"/>
    </xf>
    <xf numFmtId="0" fontId="11" fillId="0" borderId="79" xfId="0" applyFont="1" applyBorder="1" applyAlignment="1">
      <alignment horizontal="left" vertical="center" indent="1"/>
    </xf>
    <xf numFmtId="0" fontId="17" fillId="0" borderId="82" xfId="0" applyFont="1" applyBorder="1" applyAlignment="1">
      <alignment horizontal="left" vertical="center" indent="1"/>
    </xf>
    <xf numFmtId="0" fontId="11" fillId="0" borderId="80" xfId="0" applyFont="1" applyBorder="1" applyAlignment="1">
      <alignment horizontal="left" vertical="center" indent="1"/>
    </xf>
    <xf numFmtId="0" fontId="22" fillId="0" borderId="0" xfId="0" applyFont="1"/>
    <xf numFmtId="3" fontId="15" fillId="7" borderId="33" xfId="0" applyNumberFormat="1" applyFont="1" applyFill="1" applyBorder="1" applyAlignment="1">
      <alignment horizontal="center" vertical="center"/>
    </xf>
    <xf numFmtId="3" fontId="15" fillId="7" borderId="34" xfId="0" applyNumberFormat="1" applyFont="1" applyFill="1" applyBorder="1" applyAlignment="1">
      <alignment horizontal="center" vertical="center"/>
    </xf>
    <xf numFmtId="0" fontId="45" fillId="0" borderId="0" xfId="0" applyFont="1" applyAlignment="1">
      <alignment vertical="center"/>
    </xf>
    <xf numFmtId="0" fontId="47" fillId="0" borderId="0" xfId="0" applyFont="1"/>
    <xf numFmtId="0" fontId="47" fillId="0" borderId="0" xfId="0" applyFont="1" applyAlignment="1">
      <alignment horizontal="center"/>
    </xf>
    <xf numFmtId="0" fontId="44" fillId="0" borderId="0" xfId="0" applyFont="1" applyAlignment="1">
      <alignment horizontal="center"/>
    </xf>
    <xf numFmtId="14" fontId="45" fillId="0" borderId="59" xfId="0" applyNumberFormat="1" applyFont="1" applyBorder="1" applyAlignment="1">
      <alignment horizontal="center" vertical="center"/>
    </xf>
    <xf numFmtId="0" fontId="45" fillId="0" borderId="59" xfId="0" applyFont="1" applyBorder="1" applyAlignment="1">
      <alignment horizontal="center" vertical="center"/>
    </xf>
    <xf numFmtId="0" fontId="46" fillId="0" borderId="59" xfId="0" applyFont="1" applyBorder="1" applyAlignment="1">
      <alignment horizontal="center" vertical="center"/>
    </xf>
    <xf numFmtId="0" fontId="44" fillId="2" borderId="95" xfId="0" applyFont="1" applyFill="1" applyBorder="1" applyAlignment="1">
      <alignment horizontal="center" vertical="center"/>
    </xf>
    <xf numFmtId="0" fontId="47" fillId="0" borderId="0" xfId="0" applyFont="1" applyAlignment="1">
      <alignment vertical="center"/>
    </xf>
    <xf numFmtId="0" fontId="44" fillId="2" borderId="0" xfId="0" applyFont="1" applyFill="1" applyAlignment="1">
      <alignment horizontal="center" vertical="center"/>
    </xf>
    <xf numFmtId="0" fontId="44" fillId="0" borderId="0" xfId="0" applyFont="1" applyAlignment="1">
      <alignment vertical="center"/>
    </xf>
    <xf numFmtId="3" fontId="13" fillId="0" borderId="36" xfId="0" applyNumberFormat="1" applyFont="1" applyBorder="1" applyAlignment="1">
      <alignment horizontal="center" vertical="center"/>
    </xf>
    <xf numFmtId="0" fontId="49" fillId="0" borderId="37" xfId="0" applyFont="1" applyBorder="1" applyAlignment="1">
      <alignment horizontal="left" vertical="center" wrapText="1" indent="1"/>
    </xf>
    <xf numFmtId="0" fontId="16" fillId="0" borderId="53" xfId="0" applyFont="1" applyBorder="1" applyAlignment="1">
      <alignment horizontal="left" vertical="center" wrapText="1" indent="1"/>
    </xf>
    <xf numFmtId="0" fontId="16" fillId="0" borderId="37" xfId="0" applyFont="1" applyBorder="1" applyAlignment="1">
      <alignment horizontal="left" vertical="center" wrapText="1" indent="1"/>
    </xf>
    <xf numFmtId="0" fontId="16" fillId="0" borderId="79" xfId="0" applyFont="1" applyBorder="1" applyAlignment="1">
      <alignment horizontal="left" vertical="center" wrapText="1" indent="1"/>
    </xf>
    <xf numFmtId="3" fontId="18" fillId="2" borderId="70" xfId="0" applyNumberFormat="1" applyFont="1" applyFill="1" applyBorder="1" applyAlignment="1">
      <alignment horizontal="center" vertical="center"/>
    </xf>
    <xf numFmtId="3" fontId="18" fillId="2" borderId="71" xfId="0" applyNumberFormat="1" applyFont="1" applyFill="1" applyBorder="1" applyAlignment="1">
      <alignment horizontal="center" vertical="center"/>
    </xf>
    <xf numFmtId="3" fontId="18" fillId="2" borderId="72" xfId="0" applyNumberFormat="1" applyFont="1" applyFill="1" applyBorder="1" applyAlignment="1">
      <alignment horizontal="center" vertical="center"/>
    </xf>
    <xf numFmtId="3" fontId="8" fillId="0" borderId="33" xfId="0" applyNumberFormat="1" applyFont="1" applyBorder="1" applyAlignment="1">
      <alignment horizontal="center" vertical="center"/>
    </xf>
    <xf numFmtId="3" fontId="8" fillId="0" borderId="34" xfId="0" applyNumberFormat="1" applyFont="1" applyBorder="1" applyAlignment="1">
      <alignment horizontal="center" vertical="center"/>
    </xf>
    <xf numFmtId="0" fontId="11" fillId="0" borderId="30" xfId="0" applyFont="1" applyBorder="1" applyAlignment="1">
      <alignment horizontal="left" vertical="center" wrapText="1" indent="1"/>
    </xf>
    <xf numFmtId="3" fontId="8" fillId="2" borderId="97" xfId="0" applyNumberFormat="1" applyFont="1" applyFill="1" applyBorder="1" applyAlignment="1">
      <alignment horizontal="center" vertical="center"/>
    </xf>
    <xf numFmtId="0" fontId="11" fillId="0" borderId="96" xfId="0" applyFont="1" applyBorder="1" applyAlignment="1">
      <alignment horizontal="center" vertical="center"/>
    </xf>
    <xf numFmtId="3" fontId="41" fillId="0" borderId="34" xfId="0" applyNumberFormat="1" applyFont="1" applyBorder="1" applyAlignment="1">
      <alignment horizontal="center" vertical="center"/>
    </xf>
    <xf numFmtId="3" fontId="41" fillId="0" borderId="56" xfId="0" applyNumberFormat="1" applyFont="1" applyBorder="1" applyAlignment="1">
      <alignment horizontal="center" vertical="center"/>
    </xf>
    <xf numFmtId="3" fontId="41" fillId="0" borderId="36" xfId="0" applyNumberFormat="1" applyFont="1" applyBorder="1" applyAlignment="1">
      <alignment horizontal="right" vertical="center" indent="1"/>
    </xf>
    <xf numFmtId="3" fontId="10" fillId="0" borderId="98" xfId="0" applyNumberFormat="1" applyFont="1" applyBorder="1" applyAlignment="1">
      <alignment horizontal="center" vertical="center"/>
    </xf>
    <xf numFmtId="3" fontId="0" fillId="0" borderId="0" xfId="0" applyNumberFormat="1"/>
    <xf numFmtId="0" fontId="2" fillId="0" borderId="2" xfId="0" applyFont="1" applyBorder="1" applyAlignment="1">
      <alignment horizontal="center" vertical="center"/>
    </xf>
    <xf numFmtId="0" fontId="7" fillId="3" borderId="100" xfId="0" applyFont="1" applyFill="1" applyBorder="1" applyAlignment="1">
      <alignment horizontal="center" vertical="center"/>
    </xf>
    <xf numFmtId="0" fontId="1" fillId="3" borderId="99" xfId="0" applyFont="1" applyFill="1" applyBorder="1" applyAlignment="1">
      <alignment horizontal="center" vertical="center"/>
    </xf>
    <xf numFmtId="0" fontId="11" fillId="0" borderId="53" xfId="0" applyFont="1" applyBorder="1" applyAlignment="1">
      <alignment horizontal="left" vertical="center" wrapText="1" indent="1"/>
    </xf>
    <xf numFmtId="0" fontId="14" fillId="0" borderId="37" xfId="0" applyFont="1" applyBorder="1" applyAlignment="1">
      <alignment horizontal="left" vertical="center" wrapText="1" indent="1"/>
    </xf>
    <xf numFmtId="3" fontId="12" fillId="0" borderId="33" xfId="0" applyNumberFormat="1" applyFont="1" applyBorder="1" applyAlignment="1">
      <alignment horizontal="center" vertical="center"/>
    </xf>
    <xf numFmtId="3" fontId="12" fillId="0" borderId="34" xfId="0" applyNumberFormat="1" applyFont="1" applyBorder="1" applyAlignment="1">
      <alignment horizontal="center" vertical="center"/>
    </xf>
    <xf numFmtId="0" fontId="49" fillId="0" borderId="79" xfId="0" applyFont="1" applyBorder="1" applyAlignment="1">
      <alignment horizontal="left" vertical="center" wrapText="1" indent="1"/>
    </xf>
    <xf numFmtId="0" fontId="33" fillId="0" borderId="0" xfId="0" applyFont="1"/>
    <xf numFmtId="3" fontId="9" fillId="0" borderId="56" xfId="0" applyNumberFormat="1" applyFont="1" applyBorder="1" applyAlignment="1">
      <alignment horizontal="center" vertical="center"/>
    </xf>
    <xf numFmtId="3" fontId="9" fillId="0" borderId="36" xfId="0" applyNumberFormat="1" applyFont="1" applyBorder="1" applyAlignment="1">
      <alignment horizontal="right" vertical="center" indent="1"/>
    </xf>
    <xf numFmtId="0" fontId="39" fillId="0" borderId="37" xfId="0" applyFont="1" applyBorder="1" applyAlignment="1">
      <alignment horizontal="left" vertical="center" indent="1"/>
    </xf>
    <xf numFmtId="3" fontId="12" fillId="0" borderId="26" xfId="0" applyNumberFormat="1" applyFont="1" applyBorder="1" applyAlignment="1">
      <alignment horizontal="center" vertical="center"/>
    </xf>
    <xf numFmtId="3" fontId="50" fillId="0" borderId="33" xfId="0" applyNumberFormat="1" applyFont="1" applyBorder="1" applyAlignment="1">
      <alignment horizontal="center" vertical="center"/>
    </xf>
    <xf numFmtId="3" fontId="50" fillId="0" borderId="26" xfId="0" applyNumberFormat="1" applyFont="1" applyBorder="1" applyAlignment="1">
      <alignment horizontal="center" vertical="center"/>
    </xf>
    <xf numFmtId="3" fontId="22" fillId="0" borderId="0" xfId="0" applyNumberFormat="1" applyFont="1"/>
    <xf numFmtId="0" fontId="4" fillId="2" borderId="92" xfId="0" applyFont="1" applyFill="1" applyBorder="1" applyAlignment="1">
      <alignment horizontal="center" vertical="center"/>
    </xf>
    <xf numFmtId="3" fontId="10" fillId="0" borderId="102" xfId="0" applyNumberFormat="1" applyFont="1" applyBorder="1" applyAlignment="1">
      <alignment horizontal="right" vertical="center" indent="1"/>
    </xf>
    <xf numFmtId="3" fontId="10" fillId="0" borderId="103" xfId="0" applyNumberFormat="1" applyFont="1" applyBorder="1" applyAlignment="1">
      <alignment horizontal="right" vertical="center" indent="1"/>
    </xf>
    <xf numFmtId="3" fontId="13" fillId="0" borderId="103" xfId="0" applyNumberFormat="1" applyFont="1" applyBorder="1" applyAlignment="1">
      <alignment horizontal="right" vertical="center" indent="1"/>
    </xf>
    <xf numFmtId="3" fontId="8" fillId="2" borderId="104" xfId="0" applyNumberFormat="1" applyFont="1" applyFill="1" applyBorder="1" applyAlignment="1">
      <alignment horizontal="right" vertical="center" indent="1"/>
    </xf>
    <xf numFmtId="3" fontId="10" fillId="0" borderId="105" xfId="0" applyNumberFormat="1" applyFont="1" applyBorder="1" applyAlignment="1">
      <alignment horizontal="right" vertical="center" indent="1"/>
    </xf>
    <xf numFmtId="3" fontId="13" fillId="0" borderId="103" xfId="0" applyNumberFormat="1" applyFont="1" applyBorder="1" applyAlignment="1">
      <alignment horizontal="center" vertical="center"/>
    </xf>
    <xf numFmtId="3" fontId="15" fillId="5" borderId="103" xfId="0" applyNumberFormat="1" applyFont="1" applyFill="1" applyBorder="1" applyAlignment="1">
      <alignment horizontal="right" vertical="center" indent="1"/>
    </xf>
    <xf numFmtId="3" fontId="15" fillId="6" borderId="106" xfId="0" applyNumberFormat="1" applyFont="1" applyFill="1" applyBorder="1" applyAlignment="1">
      <alignment horizontal="right" vertical="center" indent="1"/>
    </xf>
    <xf numFmtId="3" fontId="15" fillId="7" borderId="107" xfId="0" applyNumberFormat="1" applyFont="1" applyFill="1" applyBorder="1" applyAlignment="1">
      <alignment horizontal="right" vertical="center" indent="1"/>
    </xf>
    <xf numFmtId="3" fontId="18" fillId="2" borderId="108" xfId="0" applyNumberFormat="1" applyFont="1" applyFill="1" applyBorder="1" applyAlignment="1">
      <alignment horizontal="right" vertical="center" indent="1"/>
    </xf>
    <xf numFmtId="0" fontId="51" fillId="0" borderId="31" xfId="0" applyFont="1" applyBorder="1" applyAlignment="1">
      <alignment horizontal="center" vertical="center"/>
    </xf>
    <xf numFmtId="0" fontId="51" fillId="0" borderId="32" xfId="0" applyFont="1" applyBorder="1" applyAlignment="1">
      <alignment horizontal="center" vertical="center"/>
    </xf>
    <xf numFmtId="3" fontId="33" fillId="0" borderId="0" xfId="0" applyNumberFormat="1" applyFont="1"/>
    <xf numFmtId="3" fontId="12" fillId="17" borderId="33" xfId="0" applyNumberFormat="1" applyFont="1" applyFill="1" applyBorder="1" applyAlignment="1">
      <alignment horizontal="center" vertical="center"/>
    </xf>
    <xf numFmtId="3" fontId="12" fillId="18" borderId="33" xfId="0" applyNumberFormat="1" applyFont="1" applyFill="1" applyBorder="1" applyAlignment="1">
      <alignment horizontal="center" vertical="center"/>
    </xf>
    <xf numFmtId="3" fontId="10" fillId="18" borderId="33" xfId="0" applyNumberFormat="1" applyFont="1" applyFill="1" applyBorder="1" applyAlignment="1">
      <alignment horizontal="center" vertical="center"/>
    </xf>
    <xf numFmtId="3" fontId="12" fillId="19" borderId="49" xfId="0" applyNumberFormat="1" applyFont="1" applyFill="1" applyBorder="1" applyAlignment="1">
      <alignment horizontal="center" vertical="center"/>
    </xf>
    <xf numFmtId="3" fontId="12" fillId="18" borderId="49" xfId="0" applyNumberFormat="1" applyFont="1" applyFill="1" applyBorder="1" applyAlignment="1">
      <alignment horizontal="center" vertical="center"/>
    </xf>
    <xf numFmtId="3" fontId="12" fillId="18" borderId="26" xfId="0" applyNumberFormat="1" applyFont="1" applyFill="1" applyBorder="1" applyAlignment="1">
      <alignment horizontal="center" vertical="center"/>
    </xf>
    <xf numFmtId="3" fontId="12" fillId="18" borderId="45" xfId="0" applyNumberFormat="1" applyFont="1" applyFill="1" applyBorder="1" applyAlignment="1">
      <alignment horizontal="center" vertical="center"/>
    </xf>
    <xf numFmtId="3" fontId="12" fillId="17" borderId="26" xfId="0" applyNumberFormat="1" applyFont="1" applyFill="1" applyBorder="1" applyAlignment="1">
      <alignment horizontal="center" vertical="center"/>
    </xf>
    <xf numFmtId="3" fontId="21" fillId="0" borderId="0" xfId="0" applyNumberFormat="1" applyFont="1"/>
    <xf numFmtId="0" fontId="16" fillId="17" borderId="0" xfId="0" applyFont="1" applyFill="1" applyAlignment="1">
      <alignment horizontal="center"/>
    </xf>
    <xf numFmtId="3" fontId="0" fillId="0" borderId="0" xfId="0" applyNumberFormat="1" applyAlignment="1">
      <alignment horizontal="center"/>
    </xf>
    <xf numFmtId="0" fontId="16" fillId="19" borderId="0" xfId="0" applyFont="1" applyFill="1" applyAlignment="1">
      <alignment horizontal="center"/>
    </xf>
    <xf numFmtId="0" fontId="16" fillId="18" borderId="0" xfId="0" applyFont="1" applyFill="1" applyAlignment="1">
      <alignment horizontal="center"/>
    </xf>
    <xf numFmtId="3" fontId="10" fillId="18" borderId="26" xfId="0" applyNumberFormat="1" applyFont="1" applyFill="1" applyBorder="1" applyAlignment="1">
      <alignment horizontal="center" vertical="center"/>
    </xf>
    <xf numFmtId="3" fontId="12" fillId="0" borderId="27" xfId="0" applyNumberFormat="1" applyFont="1" applyBorder="1" applyAlignment="1">
      <alignment horizontal="center" vertical="center"/>
    </xf>
    <xf numFmtId="3" fontId="12" fillId="18" borderId="55" xfId="0" applyNumberFormat="1" applyFont="1" applyFill="1" applyBorder="1" applyAlignment="1">
      <alignment horizontal="center" vertical="center"/>
    </xf>
    <xf numFmtId="3" fontId="12" fillId="18" borderId="56" xfId="0" applyNumberFormat="1" applyFont="1" applyFill="1" applyBorder="1" applyAlignment="1">
      <alignment horizontal="center" vertical="center"/>
    </xf>
    <xf numFmtId="3" fontId="12" fillId="0" borderId="56" xfId="0" applyNumberFormat="1" applyFont="1" applyBorder="1" applyAlignment="1">
      <alignment horizontal="center" vertical="center"/>
    </xf>
    <xf numFmtId="3" fontId="12" fillId="19" borderId="33" xfId="0" applyNumberFormat="1" applyFont="1" applyFill="1" applyBorder="1" applyAlignment="1">
      <alignment horizontal="center" vertical="center"/>
    </xf>
    <xf numFmtId="0" fontId="3" fillId="2" borderId="84" xfId="0" applyFont="1" applyFill="1" applyBorder="1" applyAlignment="1">
      <alignment horizontal="center" vertical="center" wrapText="1"/>
    </xf>
    <xf numFmtId="3" fontId="8" fillId="18" borderId="26" xfId="0" applyNumberFormat="1" applyFont="1" applyFill="1" applyBorder="1" applyAlignment="1">
      <alignment horizontal="center" vertical="center"/>
    </xf>
    <xf numFmtId="3" fontId="15" fillId="5" borderId="59" xfId="0" applyNumberFormat="1" applyFont="1" applyFill="1" applyBorder="1" applyAlignment="1">
      <alignment horizontal="right" vertical="center" indent="1"/>
    </xf>
    <xf numFmtId="3" fontId="15" fillId="6" borderId="111" xfId="0" applyNumberFormat="1" applyFont="1" applyFill="1" applyBorder="1" applyAlignment="1">
      <alignment horizontal="right" vertical="center" indent="1"/>
    </xf>
    <xf numFmtId="3" fontId="15" fillId="7" borderId="64" xfId="0" applyNumberFormat="1" applyFont="1" applyFill="1" applyBorder="1" applyAlignment="1">
      <alignment horizontal="right" vertical="center" indent="1"/>
    </xf>
    <xf numFmtId="3" fontId="18" fillId="2" borderId="1" xfId="0" applyNumberFormat="1" applyFont="1" applyFill="1" applyBorder="1" applyAlignment="1">
      <alignment horizontal="right" vertical="center" indent="1"/>
    </xf>
    <xf numFmtId="3" fontId="12" fillId="19" borderId="26" xfId="0" applyNumberFormat="1" applyFont="1" applyFill="1" applyBorder="1" applyAlignment="1">
      <alignment horizontal="center" vertical="center"/>
    </xf>
    <xf numFmtId="3" fontId="12" fillId="18" borderId="98" xfId="0" applyNumberFormat="1" applyFont="1" applyFill="1" applyBorder="1" applyAlignment="1">
      <alignment horizontal="center" vertical="center"/>
    </xf>
    <xf numFmtId="3" fontId="12" fillId="0" borderId="55" xfId="0" applyNumberFormat="1" applyFont="1" applyBorder="1" applyAlignment="1">
      <alignment horizontal="center" vertical="center"/>
    </xf>
    <xf numFmtId="3" fontId="12" fillId="18" borderId="28" xfId="0" applyNumberFormat="1" applyFont="1" applyFill="1" applyBorder="1" applyAlignment="1">
      <alignment horizontal="center" vertical="center"/>
    </xf>
    <xf numFmtId="3" fontId="12" fillId="18" borderId="35" xfId="0" applyNumberFormat="1" applyFont="1" applyFill="1" applyBorder="1" applyAlignment="1">
      <alignment horizontal="center" vertical="center"/>
    </xf>
    <xf numFmtId="3" fontId="12" fillId="0" borderId="35" xfId="0" applyNumberFormat="1" applyFont="1" applyBorder="1" applyAlignment="1">
      <alignment horizontal="center" vertical="center"/>
    </xf>
    <xf numFmtId="3" fontId="12" fillId="18" borderId="51" xfId="0" applyNumberFormat="1" applyFont="1" applyFill="1" applyBorder="1" applyAlignment="1">
      <alignment horizontal="center" vertical="center"/>
    </xf>
    <xf numFmtId="3" fontId="12" fillId="0" borderId="28" xfId="0" applyNumberFormat="1" applyFont="1" applyBorder="1" applyAlignment="1">
      <alignment horizontal="center" vertical="center"/>
    </xf>
    <xf numFmtId="3" fontId="12" fillId="0" borderId="51" xfId="0" applyNumberFormat="1" applyFont="1" applyBorder="1" applyAlignment="1">
      <alignment horizontal="center" vertical="center"/>
    </xf>
    <xf numFmtId="3" fontId="12" fillId="0" borderId="98" xfId="0" applyNumberFormat="1" applyFont="1" applyBorder="1" applyAlignment="1">
      <alignment horizontal="center" vertical="center"/>
    </xf>
    <xf numFmtId="3" fontId="41" fillId="0" borderId="103" xfId="0" applyNumberFormat="1" applyFont="1" applyBorder="1" applyAlignment="1">
      <alignment horizontal="right" vertical="center" indent="1"/>
    </xf>
    <xf numFmtId="3" fontId="12" fillId="17" borderId="56" xfId="0" applyNumberFormat="1" applyFont="1" applyFill="1" applyBorder="1" applyAlignment="1">
      <alignment horizontal="center" vertical="center"/>
    </xf>
    <xf numFmtId="3" fontId="8" fillId="0" borderId="56" xfId="0" applyNumberFormat="1" applyFont="1" applyBorder="1" applyAlignment="1">
      <alignment horizontal="center" vertical="center"/>
    </xf>
    <xf numFmtId="3" fontId="8" fillId="0" borderId="36" xfId="0" applyNumberFormat="1" applyFont="1" applyBorder="1" applyAlignment="1">
      <alignment horizontal="center" vertical="center"/>
    </xf>
    <xf numFmtId="3" fontId="8" fillId="17" borderId="33" xfId="0" applyNumberFormat="1" applyFont="1" applyFill="1" applyBorder="1" applyAlignment="1">
      <alignment horizontal="center" vertical="center"/>
    </xf>
    <xf numFmtId="3" fontId="8" fillId="19" borderId="33" xfId="0" applyNumberFormat="1" applyFont="1" applyFill="1" applyBorder="1" applyAlignment="1">
      <alignment horizontal="center" vertical="center"/>
    </xf>
    <xf numFmtId="3" fontId="12" fillId="19" borderId="56" xfId="0" applyNumberFormat="1" applyFont="1" applyFill="1" applyBorder="1" applyAlignment="1">
      <alignment horizontal="center" vertical="center"/>
    </xf>
    <xf numFmtId="3" fontId="12" fillId="17" borderId="51" xfId="0" applyNumberFormat="1" applyFont="1" applyFill="1" applyBorder="1" applyAlignment="1">
      <alignment horizontal="center" vertical="center"/>
    </xf>
    <xf numFmtId="14" fontId="47" fillId="0" borderId="0" xfId="0" applyNumberFormat="1" applyFont="1" applyAlignment="1">
      <alignment horizontal="center"/>
    </xf>
    <xf numFmtId="3" fontId="12" fillId="17" borderId="35" xfId="0" applyNumberFormat="1" applyFont="1" applyFill="1" applyBorder="1" applyAlignment="1">
      <alignment horizontal="center" vertical="center"/>
    </xf>
    <xf numFmtId="0" fontId="1" fillId="3" borderId="101" xfId="0" applyFont="1" applyFill="1" applyBorder="1" applyAlignment="1">
      <alignment horizontal="center" vertical="center"/>
    </xf>
    <xf numFmtId="3" fontId="0" fillId="0" borderId="0" xfId="0" applyNumberFormat="1" applyAlignment="1">
      <alignment vertical="top"/>
    </xf>
    <xf numFmtId="0" fontId="6" fillId="3" borderId="112" xfId="0" applyFont="1" applyFill="1" applyBorder="1" applyAlignment="1">
      <alignment horizontal="center" vertical="center"/>
    </xf>
    <xf numFmtId="0" fontId="6" fillId="4" borderId="113" xfId="0" applyFont="1" applyFill="1" applyBorder="1" applyAlignment="1">
      <alignment horizontal="center" vertical="center"/>
    </xf>
    <xf numFmtId="0" fontId="7" fillId="5" borderId="59" xfId="0" applyFont="1" applyFill="1" applyBorder="1" applyAlignment="1">
      <alignment horizontal="center" vertical="center"/>
    </xf>
    <xf numFmtId="3" fontId="7" fillId="6" borderId="0" xfId="0" applyNumberFormat="1" applyFont="1" applyFill="1" applyAlignment="1">
      <alignment horizontal="center" vertical="center"/>
    </xf>
    <xf numFmtId="0" fontId="7" fillId="7" borderId="64" xfId="0" applyFont="1" applyFill="1" applyBorder="1" applyAlignment="1">
      <alignment horizontal="center" vertical="center"/>
    </xf>
    <xf numFmtId="0" fontId="16" fillId="2" borderId="1" xfId="0" applyFont="1" applyFill="1" applyBorder="1" applyAlignment="1">
      <alignment horizontal="center" vertical="center"/>
    </xf>
    <xf numFmtId="0" fontId="8" fillId="0" borderId="79" xfId="0" applyFont="1" applyBorder="1" applyAlignment="1">
      <alignment horizontal="center" vertical="center"/>
    </xf>
    <xf numFmtId="0" fontId="13" fillId="0" borderId="79" xfId="0" applyFont="1" applyBorder="1" applyAlignment="1">
      <alignment horizontal="center" vertical="center"/>
    </xf>
    <xf numFmtId="3" fontId="12" fillId="17" borderId="49" xfId="0" applyNumberFormat="1" applyFont="1" applyFill="1" applyBorder="1" applyAlignment="1">
      <alignment horizontal="center" vertical="center"/>
    </xf>
    <xf numFmtId="0" fontId="13" fillId="0" borderId="81" xfId="0" applyFont="1" applyBorder="1" applyAlignment="1">
      <alignment horizontal="center" vertical="center"/>
    </xf>
    <xf numFmtId="0" fontId="8" fillId="2" borderId="96" xfId="0" applyFont="1" applyFill="1" applyBorder="1" applyAlignment="1">
      <alignment horizontal="center" vertical="center"/>
    </xf>
    <xf numFmtId="0" fontId="8" fillId="0" borderId="78" xfId="0" applyFont="1" applyBorder="1" applyAlignment="1">
      <alignment horizontal="center" vertical="center"/>
    </xf>
    <xf numFmtId="3" fontId="12" fillId="0" borderId="50" xfId="0" applyNumberFormat="1" applyFont="1" applyBorder="1" applyAlignment="1">
      <alignment horizontal="center" vertical="center"/>
    </xf>
    <xf numFmtId="0" fontId="8" fillId="0" borderId="81" xfId="0" applyFont="1" applyBorder="1" applyAlignment="1">
      <alignment horizontal="center" vertical="center"/>
    </xf>
    <xf numFmtId="0" fontId="11" fillId="0" borderId="78" xfId="0" applyFont="1" applyBorder="1" applyAlignment="1">
      <alignment horizontal="left" vertical="center" wrapText="1" indent="1"/>
    </xf>
    <xf numFmtId="0" fontId="12" fillId="0" borderId="79" xfId="0" applyFont="1" applyBorder="1" applyAlignment="1">
      <alignment horizontal="center" vertical="center"/>
    </xf>
    <xf numFmtId="3" fontId="12" fillId="0" borderId="49" xfId="0" applyNumberFormat="1" applyFont="1" applyBorder="1" applyAlignment="1">
      <alignment horizontal="center" vertical="center"/>
    </xf>
    <xf numFmtId="0" fontId="7" fillId="4" borderId="115" xfId="0" applyFont="1" applyFill="1" applyBorder="1" applyAlignment="1">
      <alignment horizontal="center" vertical="center"/>
    </xf>
    <xf numFmtId="3" fontId="12" fillId="19" borderId="35" xfId="0" applyNumberFormat="1" applyFont="1" applyFill="1" applyBorder="1" applyAlignment="1">
      <alignment horizontal="center" vertical="center"/>
    </xf>
    <xf numFmtId="3" fontId="12" fillId="18" borderId="116" xfId="0" applyNumberFormat="1" applyFont="1" applyFill="1" applyBorder="1" applyAlignment="1">
      <alignment horizontal="center" vertical="center"/>
    </xf>
    <xf numFmtId="3" fontId="12" fillId="0" borderId="105" xfId="0" applyNumberFormat="1" applyFont="1" applyBorder="1" applyAlignment="1">
      <alignment horizontal="right" vertical="center" indent="1"/>
    </xf>
    <xf numFmtId="3" fontId="12" fillId="0" borderId="103" xfId="0" applyNumberFormat="1" applyFont="1" applyBorder="1" applyAlignment="1">
      <alignment horizontal="right" vertical="center" indent="1"/>
    </xf>
    <xf numFmtId="3" fontId="8" fillId="0" borderId="35" xfId="0" applyNumberFormat="1" applyFont="1" applyBorder="1" applyAlignment="1">
      <alignment horizontal="center" vertical="center"/>
    </xf>
    <xf numFmtId="3" fontId="8" fillId="18" borderId="33" xfId="0" applyNumberFormat="1" applyFont="1" applyFill="1" applyBorder="1" applyAlignment="1">
      <alignment horizontal="center" vertical="center"/>
    </xf>
    <xf numFmtId="0" fontId="8" fillId="0" borderId="126" xfId="0" applyFont="1" applyBorder="1" applyAlignment="1">
      <alignment horizontal="center" vertical="center"/>
    </xf>
    <xf numFmtId="0" fontId="8" fillId="0" borderId="95" xfId="0" applyFont="1" applyBorder="1" applyAlignment="1">
      <alignment horizontal="center" vertical="center"/>
    </xf>
    <xf numFmtId="0" fontId="8" fillId="0" borderId="127" xfId="0" applyFont="1" applyBorder="1" applyAlignment="1">
      <alignment horizontal="center" vertical="center"/>
    </xf>
    <xf numFmtId="0" fontId="11" fillId="0" borderId="57" xfId="0" applyFont="1" applyBorder="1" applyAlignment="1">
      <alignment horizontal="left" vertical="center" wrapText="1" indent="1"/>
    </xf>
    <xf numFmtId="3" fontId="12" fillId="0" borderId="116" xfId="0" applyNumberFormat="1" applyFont="1" applyBorder="1" applyAlignment="1">
      <alignment horizontal="center" vertical="center"/>
    </xf>
    <xf numFmtId="3" fontId="12" fillId="0" borderId="45" xfId="0" applyNumberFormat="1" applyFont="1" applyBorder="1" applyAlignment="1">
      <alignment horizontal="center" vertical="center"/>
    </xf>
    <xf numFmtId="0" fontId="13" fillId="0" borderId="95" xfId="0" applyFont="1" applyBorder="1" applyAlignment="1">
      <alignment horizontal="center" vertical="center"/>
    </xf>
    <xf numFmtId="0" fontId="12" fillId="0" borderId="81" xfId="0" applyFont="1" applyBorder="1" applyAlignment="1">
      <alignment horizontal="center" vertical="center"/>
    </xf>
    <xf numFmtId="3" fontId="12" fillId="0" borderId="36" xfId="0" applyNumberFormat="1" applyFont="1" applyBorder="1" applyAlignment="1">
      <alignment horizontal="center" vertical="center"/>
    </xf>
    <xf numFmtId="3" fontId="12" fillId="0" borderId="128" xfId="0" applyNumberFormat="1" applyFont="1" applyBorder="1" applyAlignment="1">
      <alignment horizontal="center" vertical="center"/>
    </xf>
    <xf numFmtId="3" fontId="12" fillId="0" borderId="129" xfId="0" applyNumberFormat="1" applyFont="1" applyBorder="1" applyAlignment="1">
      <alignment horizontal="center" vertical="center"/>
    </xf>
    <xf numFmtId="3" fontId="10" fillId="0" borderId="128" xfId="0" applyNumberFormat="1" applyFont="1" applyBorder="1" applyAlignment="1">
      <alignment horizontal="center" vertical="center"/>
    </xf>
    <xf numFmtId="3" fontId="10" fillId="0" borderId="116" xfId="0" applyNumberFormat="1" applyFont="1" applyBorder="1" applyAlignment="1">
      <alignment horizontal="center" vertical="center"/>
    </xf>
    <xf numFmtId="3" fontId="10" fillId="0" borderId="131" xfId="0" applyNumberFormat="1" applyFont="1" applyBorder="1" applyAlignment="1">
      <alignment horizontal="right" vertical="center" indent="1"/>
    </xf>
    <xf numFmtId="3" fontId="12" fillId="0" borderId="132" xfId="0" applyNumberFormat="1" applyFont="1" applyBorder="1" applyAlignment="1">
      <alignment horizontal="center" vertical="center"/>
    </xf>
    <xf numFmtId="3" fontId="10" fillId="0" borderId="133" xfId="0" applyNumberFormat="1" applyFont="1" applyBorder="1" applyAlignment="1">
      <alignment horizontal="right" vertical="center" indent="1"/>
    </xf>
    <xf numFmtId="0" fontId="6" fillId="3" borderId="99" xfId="0" applyFont="1" applyFill="1" applyBorder="1" applyAlignment="1">
      <alignment horizontal="center" vertical="center"/>
    </xf>
    <xf numFmtId="3" fontId="10" fillId="0" borderId="36" xfId="0" applyNumberFormat="1" applyFont="1" applyBorder="1" applyAlignment="1">
      <alignment horizontal="right" vertical="center"/>
    </xf>
    <xf numFmtId="0" fontId="39" fillId="0" borderId="79" xfId="0" applyFont="1" applyBorder="1" applyAlignment="1">
      <alignment horizontal="left" vertical="center" wrapText="1" indent="1"/>
    </xf>
    <xf numFmtId="3" fontId="10" fillId="0" borderId="32" xfId="0" applyNumberFormat="1" applyFont="1" applyBorder="1" applyAlignment="1">
      <alignment horizontal="center" vertical="center"/>
    </xf>
    <xf numFmtId="3" fontId="10" fillId="0" borderId="37" xfId="0" applyNumberFormat="1" applyFont="1" applyBorder="1" applyAlignment="1">
      <alignment horizontal="center" vertical="center"/>
    </xf>
    <xf numFmtId="3" fontId="12" fillId="18" borderId="134" xfId="0" applyNumberFormat="1" applyFont="1" applyFill="1" applyBorder="1" applyAlignment="1">
      <alignment horizontal="center" vertical="center"/>
    </xf>
    <xf numFmtId="3" fontId="12" fillId="18" borderId="135" xfId="0" applyNumberFormat="1" applyFont="1" applyFill="1" applyBorder="1" applyAlignment="1">
      <alignment horizontal="center" vertical="center"/>
    </xf>
    <xf numFmtId="3" fontId="12" fillId="17" borderId="45" xfId="0" applyNumberFormat="1" applyFont="1" applyFill="1" applyBorder="1" applyAlignment="1">
      <alignment horizontal="center" vertical="center"/>
    </xf>
    <xf numFmtId="3" fontId="8" fillId="14" borderId="33" xfId="0" applyNumberFormat="1" applyFont="1" applyFill="1" applyBorder="1" applyAlignment="1">
      <alignment horizontal="center" vertical="center"/>
    </xf>
    <xf numFmtId="3" fontId="13" fillId="17" borderId="33" xfId="0" applyNumberFormat="1" applyFont="1" applyFill="1" applyBorder="1" applyAlignment="1">
      <alignment horizontal="center" vertical="center"/>
    </xf>
    <xf numFmtId="3" fontId="12" fillId="0" borderId="102" xfId="0" applyNumberFormat="1" applyFont="1" applyBorder="1" applyAlignment="1">
      <alignment horizontal="right" vertical="center" indent="1"/>
    </xf>
    <xf numFmtId="3" fontId="12" fillId="0" borderId="103" xfId="0" applyNumberFormat="1" applyFont="1" applyBorder="1" applyAlignment="1">
      <alignment horizontal="right" vertical="center"/>
    </xf>
    <xf numFmtId="3" fontId="12" fillId="19" borderId="116" xfId="0" applyNumberFormat="1" applyFont="1" applyFill="1" applyBorder="1" applyAlignment="1">
      <alignment horizontal="center" vertical="center"/>
    </xf>
    <xf numFmtId="3" fontId="12" fillId="17" borderId="116" xfId="0" applyNumberFormat="1" applyFont="1" applyFill="1" applyBorder="1" applyAlignment="1">
      <alignment horizontal="center" vertical="center"/>
    </xf>
    <xf numFmtId="3" fontId="12" fillId="18" borderId="130" xfId="0" applyNumberFormat="1" applyFont="1" applyFill="1" applyBorder="1" applyAlignment="1">
      <alignment horizontal="center" vertical="center"/>
    </xf>
    <xf numFmtId="3" fontId="12" fillId="0" borderId="36" xfId="0" applyNumberFormat="1" applyFont="1" applyBorder="1" applyAlignment="1">
      <alignment horizontal="right" vertical="center" indent="1"/>
    </xf>
    <xf numFmtId="3" fontId="12" fillId="0" borderId="29" xfId="0" applyNumberFormat="1" applyFont="1" applyBorder="1" applyAlignment="1">
      <alignment horizontal="right" vertical="center" indent="1"/>
    </xf>
    <xf numFmtId="3" fontId="12" fillId="0" borderId="32" xfId="0" applyNumberFormat="1" applyFont="1" applyBorder="1" applyAlignment="1">
      <alignment horizontal="center" vertical="center"/>
    </xf>
    <xf numFmtId="3" fontId="12" fillId="0" borderId="37" xfId="0" applyNumberFormat="1" applyFont="1" applyBorder="1" applyAlignment="1">
      <alignment horizontal="center" vertical="center"/>
    </xf>
    <xf numFmtId="0" fontId="46" fillId="2" borderId="57" xfId="0" applyFont="1" applyFill="1" applyBorder="1" applyAlignment="1">
      <alignment horizontal="left" vertical="center" indent="1"/>
    </xf>
    <xf numFmtId="0" fontId="45" fillId="0" borderId="0" xfId="0" applyFont="1"/>
    <xf numFmtId="3" fontId="45" fillId="0" borderId="0" xfId="0" applyNumberFormat="1" applyFont="1"/>
    <xf numFmtId="3" fontId="47" fillId="0" borderId="0" xfId="0" applyNumberFormat="1" applyFont="1"/>
    <xf numFmtId="0" fontId="44" fillId="0" borderId="57" xfId="0" applyFont="1" applyBorder="1" applyAlignment="1">
      <alignment horizontal="left" vertical="center" indent="1"/>
    </xf>
    <xf numFmtId="0" fontId="3" fillId="2" borderId="138" xfId="0" applyFont="1" applyFill="1" applyBorder="1" applyAlignment="1">
      <alignment horizontal="left" vertical="center" indent="1"/>
    </xf>
    <xf numFmtId="3" fontId="72" fillId="52" borderId="137" xfId="0" applyNumberFormat="1" applyFont="1" applyFill="1" applyBorder="1" applyAlignment="1">
      <alignment horizontal="center" vertical="center"/>
    </xf>
    <xf numFmtId="3" fontId="72" fillId="52" borderId="136" xfId="0" applyNumberFormat="1" applyFont="1" applyFill="1" applyBorder="1" applyAlignment="1">
      <alignment horizontal="center" vertical="center"/>
    </xf>
    <xf numFmtId="3" fontId="72" fillId="52" borderId="128" xfId="0" applyNumberFormat="1" applyFont="1" applyFill="1" applyBorder="1" applyAlignment="1">
      <alignment horizontal="center" vertical="center"/>
    </xf>
    <xf numFmtId="3" fontId="72" fillId="52" borderId="116" xfId="0" applyNumberFormat="1" applyFont="1" applyFill="1" applyBorder="1" applyAlignment="1">
      <alignment horizontal="center" vertical="center"/>
    </xf>
    <xf numFmtId="3" fontId="72" fillId="52" borderId="131" xfId="0" applyNumberFormat="1" applyFont="1" applyFill="1" applyBorder="1" applyAlignment="1">
      <alignment horizontal="right" vertical="center" indent="1"/>
    </xf>
    <xf numFmtId="3" fontId="72" fillId="52" borderId="133" xfId="0" applyNumberFormat="1" applyFont="1" applyFill="1" applyBorder="1" applyAlignment="1">
      <alignment horizontal="right" vertical="center" indent="1"/>
    </xf>
    <xf numFmtId="3" fontId="72" fillId="52" borderId="139" xfId="0" applyNumberFormat="1" applyFont="1" applyFill="1" applyBorder="1" applyAlignment="1">
      <alignment horizontal="center" vertical="center"/>
    </xf>
    <xf numFmtId="0" fontId="0" fillId="53" borderId="0" xfId="0" applyFill="1" applyAlignment="1">
      <alignment horizontal="center"/>
    </xf>
    <xf numFmtId="10" fontId="71" fillId="0" borderId="145" xfId="42" applyNumberFormat="1" applyFont="1" applyFill="1" applyBorder="1" applyAlignment="1">
      <alignment horizontal="center" vertical="center"/>
    </xf>
    <xf numFmtId="3" fontId="71" fillId="0" borderId="146" xfId="0" applyNumberFormat="1" applyFont="1" applyBorder="1" applyAlignment="1">
      <alignment horizontal="right" vertical="center" indent="1"/>
    </xf>
    <xf numFmtId="0" fontId="68" fillId="0" borderId="2" xfId="0" applyFont="1" applyBorder="1" applyAlignment="1">
      <alignment horizontal="right" vertical="center" wrapText="1"/>
    </xf>
    <xf numFmtId="0" fontId="68" fillId="0" borderId="94" xfId="0" applyFont="1" applyBorder="1" applyAlignment="1">
      <alignment horizontal="right" vertical="center" wrapText="1"/>
    </xf>
    <xf numFmtId="0" fontId="67" fillId="2" borderId="94" xfId="0" applyFont="1" applyFill="1" applyBorder="1" applyAlignment="1">
      <alignment horizontal="center" vertical="center" wrapText="1"/>
    </xf>
    <xf numFmtId="0" fontId="73" fillId="2" borderId="84" xfId="0" applyFont="1" applyFill="1" applyBorder="1" applyAlignment="1">
      <alignment horizontal="center" vertical="center" wrapText="1"/>
    </xf>
    <xf numFmtId="0" fontId="74" fillId="2" borderId="84" xfId="0" applyFont="1" applyFill="1" applyBorder="1" applyAlignment="1">
      <alignment horizontal="center" vertical="center" wrapText="1"/>
    </xf>
    <xf numFmtId="9" fontId="67" fillId="2" borderId="84" xfId="42" applyFont="1" applyFill="1" applyBorder="1" applyAlignment="1">
      <alignment horizontal="center" vertical="center" wrapText="1"/>
    </xf>
    <xf numFmtId="0" fontId="68" fillId="0" borderId="94" xfId="0" applyFont="1" applyBorder="1" applyAlignment="1">
      <alignment horizontal="right" vertical="center" wrapText="1" indent="1"/>
    </xf>
    <xf numFmtId="0" fontId="5" fillId="0" borderId="0" xfId="0" applyFont="1" applyAlignment="1">
      <alignment vertical="center"/>
    </xf>
    <xf numFmtId="0" fontId="75" fillId="0" borderId="0" xfId="0" applyFont="1"/>
    <xf numFmtId="0" fontId="1" fillId="3" borderId="9" xfId="0" applyFont="1" applyFill="1" applyBorder="1" applyAlignment="1">
      <alignment horizontal="center" vertical="center"/>
    </xf>
    <xf numFmtId="3" fontId="6" fillId="7" borderId="1" xfId="0" applyNumberFormat="1" applyFont="1" applyFill="1" applyBorder="1" applyAlignment="1">
      <alignment horizontal="right" vertical="center" indent="1"/>
    </xf>
    <xf numFmtId="3" fontId="6" fillId="7" borderId="73" xfId="0" applyNumberFormat="1" applyFont="1" applyFill="1" applyBorder="1" applyAlignment="1">
      <alignment horizontal="right" vertical="center" indent="1"/>
    </xf>
    <xf numFmtId="0" fontId="7" fillId="3" borderId="147" xfId="0" applyFont="1" applyFill="1" applyBorder="1" applyAlignment="1">
      <alignment horizontal="center" vertical="center"/>
    </xf>
    <xf numFmtId="3" fontId="12" fillId="0" borderId="148" xfId="0" applyNumberFormat="1" applyFont="1" applyBorder="1" applyAlignment="1">
      <alignment horizontal="center" vertical="center"/>
    </xf>
    <xf numFmtId="3" fontId="8" fillId="2" borderId="149" xfId="0" applyNumberFormat="1" applyFont="1" applyFill="1" applyBorder="1" applyAlignment="1">
      <alignment horizontal="center" vertical="center"/>
    </xf>
    <xf numFmtId="3" fontId="12" fillId="0" borderId="150" xfId="0" applyNumberFormat="1" applyFont="1" applyBorder="1" applyAlignment="1">
      <alignment horizontal="center" vertical="center"/>
    </xf>
    <xf numFmtId="3" fontId="9" fillId="0" borderId="148" xfId="0" applyNumberFormat="1" applyFont="1" applyBorder="1" applyAlignment="1">
      <alignment horizontal="center" vertical="center"/>
    </xf>
    <xf numFmtId="0" fontId="13" fillId="0" borderId="152" xfId="0" applyFont="1" applyBorder="1" applyAlignment="1">
      <alignment horizontal="center" vertical="center"/>
    </xf>
    <xf numFmtId="0" fontId="8" fillId="2" borderId="153" xfId="0" applyFont="1" applyFill="1" applyBorder="1" applyAlignment="1">
      <alignment horizontal="center" vertical="center"/>
    </xf>
    <xf numFmtId="0" fontId="8" fillId="0" borderId="152" xfId="0" applyFont="1" applyBorder="1" applyAlignment="1">
      <alignment horizontal="center" vertical="center"/>
    </xf>
    <xf numFmtId="0" fontId="13" fillId="0" borderId="154" xfId="0" applyFont="1" applyBorder="1" applyAlignment="1">
      <alignment horizontal="center" vertical="center"/>
    </xf>
    <xf numFmtId="0" fontId="8" fillId="0" borderId="154" xfId="0" applyFont="1" applyBorder="1" applyAlignment="1">
      <alignment horizontal="center" vertical="center"/>
    </xf>
    <xf numFmtId="0" fontId="8" fillId="0" borderId="155" xfId="0" applyFont="1" applyBorder="1" applyAlignment="1">
      <alignment horizontal="center" vertical="center"/>
    </xf>
    <xf numFmtId="10" fontId="77" fillId="0" borderId="144" xfId="42" applyNumberFormat="1" applyFont="1" applyFill="1" applyBorder="1" applyAlignment="1">
      <alignment horizontal="center" vertical="center"/>
    </xf>
    <xf numFmtId="3" fontId="78" fillId="0" borderId="143" xfId="0" applyNumberFormat="1" applyFont="1" applyBorder="1" applyAlignment="1">
      <alignment horizontal="center" vertical="center"/>
    </xf>
    <xf numFmtId="10" fontId="78" fillId="0" borderId="145" xfId="42" applyNumberFormat="1" applyFont="1" applyFill="1" applyBorder="1" applyAlignment="1">
      <alignment horizontal="center" vertical="center"/>
    </xf>
    <xf numFmtId="10" fontId="77" fillId="0" borderId="146" xfId="42" applyNumberFormat="1" applyFont="1" applyFill="1" applyBorder="1" applyAlignment="1">
      <alignment horizontal="center" vertical="center"/>
    </xf>
    <xf numFmtId="3" fontId="80" fillId="7" borderId="151" xfId="0" applyNumberFormat="1" applyFont="1" applyFill="1" applyBorder="1" applyAlignment="1">
      <alignment horizontal="center" vertical="center"/>
    </xf>
    <xf numFmtId="3" fontId="80" fillId="7" borderId="71" xfId="0" applyNumberFormat="1" applyFont="1" applyFill="1" applyBorder="1" applyAlignment="1">
      <alignment horizontal="center" vertical="center"/>
    </xf>
    <xf numFmtId="3" fontId="80" fillId="7" borderId="70" xfId="0" applyNumberFormat="1" applyFont="1" applyFill="1" applyBorder="1" applyAlignment="1">
      <alignment horizontal="center" vertical="center"/>
    </xf>
    <xf numFmtId="10" fontId="77" fillId="0" borderId="169" xfId="42" applyNumberFormat="1" applyFont="1" applyFill="1" applyBorder="1" applyAlignment="1">
      <alignment horizontal="center" vertical="center"/>
    </xf>
    <xf numFmtId="3" fontId="77" fillId="0" borderId="170" xfId="0" applyNumberFormat="1" applyFont="1" applyBorder="1" applyAlignment="1">
      <alignment horizontal="center" vertical="center"/>
    </xf>
    <xf numFmtId="10" fontId="77" fillId="0" borderId="171" xfId="42" applyNumberFormat="1" applyFont="1" applyFill="1" applyBorder="1" applyAlignment="1">
      <alignment horizontal="center" vertical="center"/>
    </xf>
    <xf numFmtId="10" fontId="71" fillId="0" borderId="169" xfId="42" applyNumberFormat="1" applyFont="1" applyFill="1" applyBorder="1" applyAlignment="1">
      <alignment horizontal="center" vertical="center"/>
    </xf>
    <xf numFmtId="3" fontId="71" fillId="0" borderId="172" xfId="0" applyNumberFormat="1" applyFont="1" applyBorder="1" applyAlignment="1">
      <alignment horizontal="right" vertical="center" indent="1"/>
    </xf>
    <xf numFmtId="3" fontId="72" fillId="51" borderId="173" xfId="0" applyNumberFormat="1" applyFont="1" applyFill="1" applyBorder="1" applyAlignment="1">
      <alignment horizontal="center" vertical="center"/>
    </xf>
    <xf numFmtId="3" fontId="72" fillId="51" borderId="174" xfId="0" applyNumberFormat="1" applyFont="1" applyFill="1" applyBorder="1" applyAlignment="1">
      <alignment horizontal="center" vertical="center"/>
    </xf>
    <xf numFmtId="3" fontId="72" fillId="51" borderId="175" xfId="0" applyNumberFormat="1" applyFont="1" applyFill="1" applyBorder="1" applyAlignment="1">
      <alignment horizontal="center" vertical="center"/>
    </xf>
    <xf numFmtId="3" fontId="72" fillId="51" borderId="176" xfId="0" applyNumberFormat="1" applyFont="1" applyFill="1" applyBorder="1" applyAlignment="1">
      <alignment horizontal="center" vertical="center"/>
    </xf>
    <xf numFmtId="3" fontId="72" fillId="51" borderId="177" xfId="0" applyNumberFormat="1" applyFont="1" applyFill="1" applyBorder="1" applyAlignment="1">
      <alignment horizontal="right" vertical="center" indent="1"/>
    </xf>
    <xf numFmtId="3" fontId="72" fillId="51" borderId="178" xfId="0" applyNumberFormat="1" applyFont="1" applyFill="1" applyBorder="1" applyAlignment="1">
      <alignment horizontal="right" vertical="center" indent="1"/>
    </xf>
    <xf numFmtId="3" fontId="77" fillId="0" borderId="24" xfId="0" applyNumberFormat="1" applyFont="1" applyBorder="1" applyAlignment="1">
      <alignment horizontal="center" vertical="center"/>
    </xf>
    <xf numFmtId="3" fontId="77" fillId="0" borderId="27" xfId="0" applyNumberFormat="1" applyFont="1" applyBorder="1" applyAlignment="1">
      <alignment horizontal="center" vertical="center"/>
    </xf>
    <xf numFmtId="3" fontId="77" fillId="0" borderId="26" xfId="0" applyNumberFormat="1" applyFont="1" applyBorder="1" applyAlignment="1">
      <alignment horizontal="center" vertical="center"/>
    </xf>
    <xf numFmtId="3" fontId="77" fillId="0" borderId="98" xfId="0" applyNumberFormat="1" applyFont="1" applyBorder="1" applyAlignment="1">
      <alignment horizontal="center" vertical="center"/>
    </xf>
    <xf numFmtId="3" fontId="18" fillId="0" borderId="179" xfId="0" applyNumberFormat="1" applyFont="1" applyBorder="1" applyAlignment="1">
      <alignment horizontal="right" vertical="center" indent="1"/>
    </xf>
    <xf numFmtId="3" fontId="18" fillId="0" borderId="29" xfId="0" applyNumberFormat="1" applyFont="1" applyBorder="1" applyAlignment="1">
      <alignment horizontal="right" vertical="center" indent="1"/>
    </xf>
    <xf numFmtId="3" fontId="79" fillId="0" borderId="180" xfId="0" applyNumberFormat="1" applyFont="1" applyBorder="1" applyAlignment="1">
      <alignment horizontal="center" vertical="center"/>
    </xf>
    <xf numFmtId="3" fontId="79" fillId="0" borderId="181" xfId="0" applyNumberFormat="1" applyFont="1" applyBorder="1" applyAlignment="1">
      <alignment horizontal="center" vertical="center"/>
    </xf>
    <xf numFmtId="3" fontId="79" fillId="0" borderId="182" xfId="0" applyNumberFormat="1" applyFont="1" applyBorder="1" applyAlignment="1">
      <alignment horizontal="center" vertical="center"/>
    </xf>
    <xf numFmtId="3" fontId="79" fillId="0" borderId="183" xfId="0" applyNumberFormat="1" applyFont="1" applyBorder="1" applyAlignment="1">
      <alignment horizontal="center" vertical="center"/>
    </xf>
    <xf numFmtId="3" fontId="76" fillId="0" borderId="184" xfId="0" applyNumberFormat="1" applyFont="1" applyBorder="1" applyAlignment="1">
      <alignment horizontal="right" vertical="center" indent="1"/>
    </xf>
    <xf numFmtId="3" fontId="76" fillId="0" borderId="185" xfId="0" applyNumberFormat="1" applyFont="1" applyBorder="1" applyAlignment="1">
      <alignment horizontal="right" vertical="center" indent="1"/>
    </xf>
    <xf numFmtId="3" fontId="79" fillId="0" borderId="186" xfId="0" applyNumberFormat="1" applyFont="1" applyBorder="1" applyAlignment="1">
      <alignment horizontal="right" vertical="center" indent="1"/>
    </xf>
    <xf numFmtId="3" fontId="77" fillId="0" borderId="30" xfId="0" applyNumberFormat="1" applyFont="1" applyBorder="1" applyAlignment="1">
      <alignment horizontal="right" vertical="center" indent="1"/>
    </xf>
    <xf numFmtId="3" fontId="13" fillId="0" borderId="188" xfId="0" applyNumberFormat="1" applyFont="1" applyBorder="1" applyAlignment="1">
      <alignment horizontal="center" vertical="center"/>
    </xf>
    <xf numFmtId="0" fontId="13" fillId="0" borderId="188" xfId="0" applyFont="1" applyBorder="1" applyAlignment="1">
      <alignment horizontal="center" vertical="center"/>
    </xf>
    <xf numFmtId="0" fontId="8" fillId="2" borderId="187" xfId="0" applyFont="1" applyFill="1" applyBorder="1" applyAlignment="1">
      <alignment horizontal="center" vertical="center"/>
    </xf>
    <xf numFmtId="0" fontId="8" fillId="0" borderId="189" xfId="0" applyFont="1" applyBorder="1" applyAlignment="1">
      <alignment horizontal="center" vertical="center"/>
    </xf>
    <xf numFmtId="0" fontId="8" fillId="0" borderId="188" xfId="0" applyFont="1" applyBorder="1" applyAlignment="1">
      <alignment horizontal="center" vertical="center"/>
    </xf>
    <xf numFmtId="0" fontId="13" fillId="0" borderId="190" xfId="0" applyFont="1" applyBorder="1" applyAlignment="1">
      <alignment horizontal="center" vertical="center"/>
    </xf>
    <xf numFmtId="0" fontId="12" fillId="0" borderId="190" xfId="0" applyFont="1" applyBorder="1" applyAlignment="1">
      <alignment horizontal="center" vertical="center"/>
    </xf>
    <xf numFmtId="0" fontId="12" fillId="0" borderId="188" xfId="0" applyFont="1" applyBorder="1" applyAlignment="1">
      <alignment horizontal="center" vertical="center"/>
    </xf>
    <xf numFmtId="0" fontId="8" fillId="0" borderId="190" xfId="0" applyFont="1" applyBorder="1" applyAlignment="1">
      <alignment horizontal="center" vertical="center"/>
    </xf>
    <xf numFmtId="0" fontId="6" fillId="3" borderId="191" xfId="0" applyFont="1" applyFill="1" applyBorder="1" applyAlignment="1">
      <alignment horizontal="center" vertical="center"/>
    </xf>
    <xf numFmtId="0" fontId="6" fillId="4" borderId="192" xfId="0" applyFont="1" applyFill="1" applyBorder="1" applyAlignment="1">
      <alignment horizontal="center" vertical="center"/>
    </xf>
    <xf numFmtId="3" fontId="80" fillId="7" borderId="193" xfId="0" applyNumberFormat="1" applyFont="1" applyFill="1" applyBorder="1" applyAlignment="1">
      <alignment horizontal="center" vertical="center"/>
    </xf>
    <xf numFmtId="3" fontId="80" fillId="7" borderId="66" xfId="0" applyNumberFormat="1" applyFont="1" applyFill="1" applyBorder="1" applyAlignment="1">
      <alignment horizontal="center" vertical="center"/>
    </xf>
    <xf numFmtId="0" fontId="7" fillId="3" borderId="101"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99" xfId="0" applyFont="1" applyFill="1" applyBorder="1" applyAlignment="1">
      <alignment horizontal="center" vertical="center"/>
    </xf>
    <xf numFmtId="0" fontId="7" fillId="3" borderId="101" xfId="0" applyFont="1" applyFill="1" applyBorder="1" applyAlignment="1">
      <alignment vertical="center"/>
    </xf>
    <xf numFmtId="0" fontId="7" fillId="7" borderId="101" xfId="0" applyFont="1" applyFill="1" applyBorder="1" applyAlignment="1">
      <alignment horizontal="center" vertical="center"/>
    </xf>
    <xf numFmtId="0" fontId="7" fillId="7" borderId="9" xfId="0" applyFont="1" applyFill="1" applyBorder="1" applyAlignment="1">
      <alignment horizontal="center" vertical="center"/>
    </xf>
    <xf numFmtId="10" fontId="77" fillId="0" borderId="194" xfId="42" applyNumberFormat="1" applyFont="1" applyFill="1" applyBorder="1" applyAlignment="1">
      <alignment horizontal="center" vertical="center"/>
    </xf>
    <xf numFmtId="10" fontId="77" fillId="0" borderId="195" xfId="42" applyNumberFormat="1" applyFont="1" applyFill="1" applyBorder="1" applyAlignment="1">
      <alignment horizontal="center" vertical="center"/>
    </xf>
    <xf numFmtId="10" fontId="78" fillId="0" borderId="195" xfId="42" applyNumberFormat="1" applyFont="1" applyFill="1" applyBorder="1" applyAlignment="1">
      <alignment horizontal="center" vertical="center"/>
    </xf>
    <xf numFmtId="3" fontId="13" fillId="0" borderId="196" xfId="0" applyNumberFormat="1" applyFont="1" applyBorder="1" applyAlignment="1">
      <alignment horizontal="center" vertical="center"/>
    </xf>
    <xf numFmtId="3" fontId="12" fillId="0" borderId="196" xfId="0" applyNumberFormat="1" applyFont="1" applyBorder="1" applyAlignment="1">
      <alignment horizontal="center" vertical="center"/>
    </xf>
    <xf numFmtId="3" fontId="8" fillId="2" borderId="197" xfId="0" applyNumberFormat="1" applyFont="1" applyFill="1" applyBorder="1" applyAlignment="1">
      <alignment horizontal="center" vertical="center"/>
    </xf>
    <xf numFmtId="3" fontId="72" fillId="52" borderId="198" xfId="0" applyNumberFormat="1" applyFont="1" applyFill="1" applyBorder="1" applyAlignment="1">
      <alignment horizontal="center" vertical="center"/>
    </xf>
    <xf numFmtId="3" fontId="72" fillId="51" borderId="199" xfId="0" applyNumberFormat="1" applyFont="1" applyFill="1" applyBorder="1" applyAlignment="1">
      <alignment horizontal="center" vertical="center"/>
    </xf>
    <xf numFmtId="10" fontId="77" fillId="0" borderId="200" xfId="42" applyNumberFormat="1" applyFont="1" applyFill="1" applyBorder="1" applyAlignment="1">
      <alignment horizontal="center" vertical="center"/>
    </xf>
    <xf numFmtId="10" fontId="77" fillId="0" borderId="142" xfId="42" applyNumberFormat="1" applyFont="1" applyFill="1" applyBorder="1" applyAlignment="1">
      <alignment horizontal="center" vertical="center"/>
    </xf>
    <xf numFmtId="3" fontId="79" fillId="0" borderId="201" xfId="0" applyNumberFormat="1" applyFont="1" applyBorder="1" applyAlignment="1">
      <alignment horizontal="center" vertical="center"/>
    </xf>
    <xf numFmtId="3" fontId="77" fillId="0" borderId="202" xfId="0" applyNumberFormat="1" applyFont="1" applyBorder="1" applyAlignment="1">
      <alignment horizontal="center" vertical="center"/>
    </xf>
    <xf numFmtId="3" fontId="13" fillId="0" borderId="203" xfId="0" applyNumberFormat="1" applyFont="1" applyBorder="1" applyAlignment="1">
      <alignment horizontal="center" vertical="center"/>
    </xf>
    <xf numFmtId="3" fontId="10" fillId="0" borderId="204" xfId="0" applyNumberFormat="1" applyFont="1" applyBorder="1" applyAlignment="1">
      <alignment horizontal="right" vertical="center" indent="1"/>
    </xf>
    <xf numFmtId="3" fontId="8" fillId="2" borderId="205" xfId="0" applyNumberFormat="1" applyFont="1" applyFill="1" applyBorder="1" applyAlignment="1">
      <alignment horizontal="right" vertical="center" indent="1"/>
    </xf>
    <xf numFmtId="3" fontId="12" fillId="0" borderId="206" xfId="0" applyNumberFormat="1" applyFont="1" applyBorder="1" applyAlignment="1">
      <alignment horizontal="right" vertical="center" indent="1"/>
    </xf>
    <xf numFmtId="3" fontId="12" fillId="0" borderId="203" xfId="0" applyNumberFormat="1" applyFont="1" applyBorder="1" applyAlignment="1">
      <alignment horizontal="right" vertical="center" indent="1"/>
    </xf>
    <xf numFmtId="3" fontId="10" fillId="0" borderId="203" xfId="0" applyNumberFormat="1" applyFont="1" applyBorder="1" applyAlignment="1">
      <alignment horizontal="right" vertical="center" indent="1"/>
    </xf>
    <xf numFmtId="3" fontId="12" fillId="0" borderId="204" xfId="0" applyNumberFormat="1" applyFont="1" applyBorder="1" applyAlignment="1">
      <alignment horizontal="right" vertical="center" indent="1"/>
    </xf>
    <xf numFmtId="3" fontId="12" fillId="0" borderId="203" xfId="0" applyNumberFormat="1" applyFont="1" applyBorder="1" applyAlignment="1">
      <alignment horizontal="right" vertical="center"/>
    </xf>
    <xf numFmtId="3" fontId="13" fillId="0" borderId="203" xfId="0" applyNumberFormat="1" applyFont="1" applyBorder="1" applyAlignment="1">
      <alignment horizontal="right" vertical="center" indent="1"/>
    </xf>
    <xf numFmtId="3" fontId="41" fillId="0" borderId="203" xfId="0" applyNumberFormat="1" applyFont="1" applyBorder="1" applyAlignment="1">
      <alignment horizontal="right" vertical="center" indent="1"/>
    </xf>
    <xf numFmtId="3" fontId="72" fillId="52" borderId="207" xfId="0" applyNumberFormat="1" applyFont="1" applyFill="1" applyBorder="1" applyAlignment="1">
      <alignment horizontal="right" vertical="center" indent="1"/>
    </xf>
    <xf numFmtId="3" fontId="72" fillId="51" borderId="208" xfId="0" applyNumberFormat="1" applyFont="1" applyFill="1" applyBorder="1" applyAlignment="1">
      <alignment horizontal="right" vertical="center" indent="1"/>
    </xf>
    <xf numFmtId="10" fontId="77" fillId="0" borderId="209" xfId="42" applyNumberFormat="1" applyFont="1" applyFill="1" applyBorder="1" applyAlignment="1">
      <alignment horizontal="center" vertical="center"/>
    </xf>
    <xf numFmtId="10" fontId="77" fillId="0" borderId="210" xfId="42" applyNumberFormat="1" applyFont="1" applyFill="1" applyBorder="1" applyAlignment="1">
      <alignment horizontal="center" vertical="center"/>
    </xf>
    <xf numFmtId="3" fontId="79" fillId="0" borderId="181" xfId="0" applyNumberFormat="1" applyFont="1" applyBorder="1" applyAlignment="1">
      <alignment horizontal="right" vertical="center" indent="1"/>
    </xf>
    <xf numFmtId="3" fontId="77" fillId="0" borderId="27" xfId="0" applyNumberFormat="1" applyFont="1" applyBorder="1" applyAlignment="1">
      <alignment horizontal="right" vertical="center" indent="1"/>
    </xf>
    <xf numFmtId="3" fontId="76" fillId="0" borderId="182" xfId="0" applyNumberFormat="1" applyFont="1" applyBorder="1" applyAlignment="1">
      <alignment horizontal="right" vertical="center" indent="1"/>
    </xf>
    <xf numFmtId="3" fontId="18" fillId="0" borderId="26" xfId="0" applyNumberFormat="1" applyFont="1" applyBorder="1" applyAlignment="1">
      <alignment horizontal="right" vertical="center" indent="1"/>
    </xf>
    <xf numFmtId="3" fontId="6" fillId="7" borderId="70" xfId="0" applyNumberFormat="1" applyFont="1" applyFill="1" applyBorder="1" applyAlignment="1">
      <alignment horizontal="right" vertical="center" indent="1"/>
    </xf>
    <xf numFmtId="0" fontId="3" fillId="2" borderId="17" xfId="0" applyFont="1" applyFill="1" applyBorder="1" applyAlignment="1">
      <alignment horizontal="left" vertical="center" indent="1"/>
    </xf>
    <xf numFmtId="0" fontId="17" fillId="2" borderId="17" xfId="0" applyFont="1" applyFill="1" applyBorder="1" applyAlignment="1">
      <alignment horizontal="left" vertical="center" indent="1"/>
    </xf>
    <xf numFmtId="0" fontId="17" fillId="2" borderId="74" xfId="0" applyFont="1" applyFill="1" applyBorder="1" applyAlignment="1">
      <alignment horizontal="left" vertical="center" indent="1"/>
    </xf>
    <xf numFmtId="0" fontId="44" fillId="0" borderId="211" xfId="0" applyFont="1" applyBorder="1" applyAlignment="1">
      <alignment horizontal="left" vertical="center" indent="1"/>
    </xf>
    <xf numFmtId="4" fontId="0" fillId="0" borderId="0" xfId="0" applyNumberFormat="1" applyAlignment="1">
      <alignment horizontal="center"/>
    </xf>
    <xf numFmtId="0" fontId="8" fillId="0" borderId="179" xfId="0" applyFont="1" applyBorder="1" applyAlignment="1">
      <alignment horizontal="center" vertical="center"/>
    </xf>
    <xf numFmtId="0" fontId="8" fillId="0" borderId="59" xfId="0" applyFont="1" applyBorder="1" applyAlignment="1">
      <alignment horizontal="center" vertical="center"/>
    </xf>
    <xf numFmtId="0" fontId="13" fillId="0" borderId="59" xfId="0" applyFont="1" applyBorder="1" applyAlignment="1">
      <alignment horizontal="center" vertical="center"/>
    </xf>
    <xf numFmtId="0" fontId="8" fillId="0" borderId="212" xfId="0" applyFont="1" applyBorder="1" applyAlignment="1">
      <alignment horizontal="center" vertical="center"/>
    </xf>
    <xf numFmtId="0" fontId="11" fillId="0" borderId="81" xfId="0" applyFont="1" applyBorder="1" applyAlignment="1">
      <alignment horizontal="left" vertical="center" wrapText="1" indent="1"/>
    </xf>
    <xf numFmtId="0" fontId="14" fillId="0" borderId="79" xfId="0" applyFont="1" applyBorder="1" applyAlignment="1">
      <alignment horizontal="center" vertical="center"/>
    </xf>
    <xf numFmtId="3" fontId="12" fillId="0" borderId="213" xfId="0" applyNumberFormat="1" applyFont="1" applyBorder="1" applyAlignment="1">
      <alignment horizontal="center" vertical="center"/>
    </xf>
    <xf numFmtId="3" fontId="12" fillId="0" borderId="202" xfId="0" applyNumberFormat="1" applyFont="1" applyBorder="1" applyAlignment="1">
      <alignment horizontal="center" vertical="center"/>
    </xf>
    <xf numFmtId="0" fontId="7" fillId="4" borderId="214" xfId="0" applyFont="1" applyFill="1" applyBorder="1" applyAlignment="1">
      <alignment horizontal="center" vertical="center"/>
    </xf>
    <xf numFmtId="0" fontId="7" fillId="4" borderId="215" xfId="0" applyFont="1" applyFill="1" applyBorder="1" applyAlignment="1">
      <alignment horizontal="center" vertical="center"/>
    </xf>
    <xf numFmtId="0" fontId="7" fillId="4" borderId="216" xfId="0" applyFont="1" applyFill="1" applyBorder="1" applyAlignment="1">
      <alignment horizontal="center" vertical="center"/>
    </xf>
    <xf numFmtId="3" fontId="12" fillId="0" borderId="52" xfId="0" applyNumberFormat="1" applyFont="1" applyBorder="1" applyAlignment="1">
      <alignment horizontal="right" vertical="center" indent="1"/>
    </xf>
    <xf numFmtId="0" fontId="5" fillId="2" borderId="10" xfId="0" applyFont="1" applyFill="1" applyBorder="1" applyAlignment="1">
      <alignment horizontal="center" vertical="center"/>
    </xf>
    <xf numFmtId="0" fontId="5" fillId="2" borderId="17"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4" borderId="18" xfId="0" applyFont="1" applyFill="1" applyBorder="1" applyAlignment="1">
      <alignment horizontal="center" vertical="center"/>
    </xf>
    <xf numFmtId="0" fontId="6" fillId="4" borderId="19" xfId="0" applyFont="1" applyFill="1" applyBorder="1" applyAlignment="1">
      <alignment horizontal="center" vertical="center"/>
    </xf>
    <xf numFmtId="0" fontId="8" fillId="2" borderId="38"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69" xfId="0" applyFont="1" applyFill="1" applyBorder="1" applyAlignment="1">
      <alignment horizontal="center" vertical="center"/>
    </xf>
    <xf numFmtId="0" fontId="8" fillId="2" borderId="1" xfId="0" applyFont="1" applyFill="1" applyBorder="1" applyAlignment="1">
      <alignment horizontal="center" vertical="center"/>
    </xf>
    <xf numFmtId="0" fontId="8" fillId="2" borderId="31" xfId="0" applyFont="1" applyFill="1" applyBorder="1" applyAlignment="1">
      <alignment horizontal="center" vertical="center"/>
    </xf>
    <xf numFmtId="0" fontId="8" fillId="2" borderId="32" xfId="0" applyFont="1" applyFill="1" applyBorder="1" applyAlignment="1">
      <alignment horizontal="center" vertical="center"/>
    </xf>
    <xf numFmtId="0" fontId="15" fillId="5" borderId="58" xfId="0" applyFont="1" applyFill="1" applyBorder="1" applyAlignment="1">
      <alignment horizontal="center" vertical="center"/>
    </xf>
    <xf numFmtId="0" fontId="15" fillId="5" borderId="59" xfId="0" applyFont="1" applyFill="1" applyBorder="1" applyAlignment="1">
      <alignment horizontal="center" vertical="center"/>
    </xf>
    <xf numFmtId="3" fontId="7" fillId="6" borderId="58" xfId="0" applyNumberFormat="1" applyFont="1" applyFill="1" applyBorder="1" applyAlignment="1">
      <alignment horizontal="center" vertical="center"/>
    </xf>
    <xf numFmtId="3" fontId="7" fillId="6" borderId="59" xfId="0" applyNumberFormat="1" applyFont="1" applyFill="1" applyBorder="1" applyAlignment="1">
      <alignment horizontal="center" vertical="center"/>
    </xf>
    <xf numFmtId="0" fontId="15" fillId="7" borderId="63" xfId="0" applyFont="1" applyFill="1" applyBorder="1" applyAlignment="1">
      <alignment horizontal="center" vertical="center"/>
    </xf>
    <xf numFmtId="0" fontId="15" fillId="7" borderId="64" xfId="0" applyFont="1" applyFill="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2" borderId="3" xfId="0" applyFont="1" applyFill="1" applyBorder="1" applyAlignment="1">
      <alignment horizontal="center" vertical="center" wrapText="1"/>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5" fillId="2" borderId="81" xfId="0" applyFont="1" applyFill="1" applyBorder="1" applyAlignment="1">
      <alignment horizontal="center" vertical="center"/>
    </xf>
    <xf numFmtId="0" fontId="2" fillId="0" borderId="83" xfId="0" applyFont="1" applyBorder="1" applyAlignment="1">
      <alignment horizontal="center" vertical="center"/>
    </xf>
    <xf numFmtId="0" fontId="2" fillId="0" borderId="84" xfId="0" applyFont="1" applyBorder="1" applyAlignment="1">
      <alignment horizontal="center" vertical="center"/>
    </xf>
    <xf numFmtId="0" fontId="2" fillId="0" borderId="85" xfId="0" applyFont="1" applyBorder="1" applyAlignment="1">
      <alignment horizontal="center" vertical="center"/>
    </xf>
    <xf numFmtId="0" fontId="3" fillId="2" borderId="94" xfId="0" applyFont="1" applyFill="1" applyBorder="1" applyAlignment="1">
      <alignment horizontal="center" vertical="center" wrapText="1"/>
    </xf>
    <xf numFmtId="0" fontId="3" fillId="2" borderId="84" xfId="0" applyFont="1" applyFill="1" applyBorder="1" applyAlignment="1">
      <alignment horizontal="center" vertical="center" wrapText="1"/>
    </xf>
    <xf numFmtId="0" fontId="3" fillId="2" borderId="85" xfId="0" applyFont="1" applyFill="1" applyBorder="1" applyAlignment="1">
      <alignment horizontal="center" vertical="center" wrapText="1"/>
    </xf>
    <xf numFmtId="0" fontId="1" fillId="3" borderId="93" xfId="0" applyFont="1" applyFill="1" applyBorder="1" applyAlignment="1">
      <alignment horizontal="center" vertical="center"/>
    </xf>
    <xf numFmtId="0" fontId="8" fillId="2" borderId="83" xfId="0" applyFont="1" applyFill="1" applyBorder="1" applyAlignment="1">
      <alignment horizontal="center" vertical="center"/>
    </xf>
    <xf numFmtId="0" fontId="8" fillId="2" borderId="92" xfId="0" applyFont="1" applyFill="1" applyBorder="1" applyAlignment="1">
      <alignment horizontal="center" vertical="center"/>
    </xf>
    <xf numFmtId="0" fontId="8" fillId="2" borderId="58" xfId="0" applyFont="1" applyFill="1" applyBorder="1" applyAlignment="1">
      <alignment horizontal="center" vertical="center"/>
    </xf>
    <xf numFmtId="0" fontId="8" fillId="2" borderId="37" xfId="0" applyFont="1" applyFill="1" applyBorder="1" applyAlignment="1">
      <alignment horizontal="center" vertical="center"/>
    </xf>
    <xf numFmtId="0" fontId="6" fillId="3" borderId="90" xfId="0" applyFont="1" applyFill="1" applyBorder="1" applyAlignment="1">
      <alignment horizontal="center" vertical="center"/>
    </xf>
    <xf numFmtId="0" fontId="6" fillId="3" borderId="91" xfId="0" applyFont="1" applyFill="1" applyBorder="1" applyAlignment="1">
      <alignment horizontal="center" vertical="center"/>
    </xf>
    <xf numFmtId="0" fontId="6" fillId="4" borderId="88" xfId="0" applyFont="1" applyFill="1" applyBorder="1" applyAlignment="1">
      <alignment horizontal="center" vertical="center"/>
    </xf>
    <xf numFmtId="0" fontId="6" fillId="4" borderId="89" xfId="0" applyFont="1" applyFill="1" applyBorder="1" applyAlignment="1">
      <alignment horizontal="center" vertical="center"/>
    </xf>
    <xf numFmtId="0" fontId="8" fillId="2" borderId="87" xfId="0" applyFont="1" applyFill="1" applyBorder="1" applyAlignment="1">
      <alignment horizontal="center" vertical="center"/>
    </xf>
    <xf numFmtId="0" fontId="8" fillId="2" borderId="46" xfId="0" applyFont="1" applyFill="1" applyBorder="1" applyAlignment="1">
      <alignment horizontal="center" vertical="center"/>
    </xf>
    <xf numFmtId="0" fontId="15" fillId="5" borderId="37" xfId="0" applyFont="1" applyFill="1" applyBorder="1" applyAlignment="1">
      <alignment horizontal="center" vertical="center"/>
    </xf>
    <xf numFmtId="3" fontId="7" fillId="6" borderId="37" xfId="0" applyNumberFormat="1" applyFont="1" applyFill="1" applyBorder="1" applyAlignment="1">
      <alignment horizontal="center" vertical="center"/>
    </xf>
    <xf numFmtId="0" fontId="15" fillId="7" borderId="86" xfId="0" applyFont="1" applyFill="1" applyBorder="1" applyAlignment="1">
      <alignment horizontal="center" vertical="center"/>
    </xf>
    <xf numFmtId="0" fontId="1" fillId="3" borderId="101" xfId="0" applyFont="1" applyFill="1" applyBorder="1" applyAlignment="1">
      <alignment horizontal="center" vertical="center"/>
    </xf>
    <xf numFmtId="0" fontId="7" fillId="3" borderId="109" xfId="0" applyFont="1" applyFill="1" applyBorder="1" applyAlignment="1">
      <alignment horizontal="center" vertical="center" wrapText="1"/>
    </xf>
    <xf numFmtId="0" fontId="7" fillId="3" borderId="0" xfId="0" applyFont="1" applyFill="1" applyAlignment="1">
      <alignment horizontal="center" vertical="center" wrapText="1"/>
    </xf>
    <xf numFmtId="0" fontId="7" fillId="7" borderId="110" xfId="0" applyFont="1" applyFill="1" applyBorder="1" applyAlignment="1">
      <alignment horizontal="center" vertical="center" wrapText="1"/>
    </xf>
    <xf numFmtId="0" fontId="7" fillId="7" borderId="29" xfId="0" applyFont="1" applyFill="1" applyBorder="1" applyAlignment="1">
      <alignment horizontal="center" vertical="center" wrapText="1"/>
    </xf>
    <xf numFmtId="3" fontId="1" fillId="15" borderId="0" xfId="0" applyNumberFormat="1" applyFont="1" applyFill="1" applyAlignment="1">
      <alignment horizontal="center"/>
    </xf>
    <xf numFmtId="3" fontId="1" fillId="16" borderId="0" xfId="0" applyNumberFormat="1" applyFont="1" applyFill="1" applyAlignment="1">
      <alignment horizontal="center"/>
    </xf>
    <xf numFmtId="0" fontId="7" fillId="7" borderId="63" xfId="0" applyFont="1" applyFill="1" applyBorder="1" applyAlignment="1">
      <alignment horizontal="center" vertical="center"/>
    </xf>
    <xf numFmtId="0" fontId="7" fillId="7" borderId="86" xfId="0" applyFont="1" applyFill="1" applyBorder="1" applyAlignment="1">
      <alignment horizontal="center" vertical="center"/>
    </xf>
    <xf numFmtId="0" fontId="16" fillId="2" borderId="83" xfId="0" applyFont="1" applyFill="1" applyBorder="1" applyAlignment="1">
      <alignment horizontal="center" vertical="center"/>
    </xf>
    <xf numFmtId="0" fontId="16" fillId="2" borderId="92" xfId="0" applyFont="1" applyFill="1" applyBorder="1" applyAlignment="1">
      <alignment horizontal="center" vertical="center"/>
    </xf>
    <xf numFmtId="0" fontId="7" fillId="5" borderId="58" xfId="0" applyFont="1" applyFill="1" applyBorder="1" applyAlignment="1">
      <alignment horizontal="center" vertical="center"/>
    </xf>
    <xf numFmtId="0" fontId="7" fillId="5" borderId="37" xfId="0" applyFont="1" applyFill="1" applyBorder="1" applyAlignment="1">
      <alignment horizontal="center" vertical="center"/>
    </xf>
    <xf numFmtId="0" fontId="8" fillId="2" borderId="114" xfId="0" applyFont="1" applyFill="1" applyBorder="1" applyAlignment="1">
      <alignment horizontal="center" vertical="center"/>
    </xf>
    <xf numFmtId="0" fontId="7" fillId="55" borderId="164" xfId="0" applyFont="1" applyFill="1" applyBorder="1" applyAlignment="1">
      <alignment horizontal="center" vertical="center" wrapText="1"/>
    </xf>
    <xf numFmtId="0" fontId="7" fillId="55" borderId="165" xfId="0" applyFont="1" applyFill="1" applyBorder="1" applyAlignment="1">
      <alignment horizontal="center" vertical="center" wrapText="1"/>
    </xf>
    <xf numFmtId="0" fontId="7" fillId="55" borderId="166" xfId="0" applyFont="1" applyFill="1" applyBorder="1" applyAlignment="1">
      <alignment horizontal="center" vertical="center" wrapText="1"/>
    </xf>
    <xf numFmtId="0" fontId="16" fillId="2" borderId="167" xfId="0" applyFont="1" applyFill="1" applyBorder="1" applyAlignment="1">
      <alignment horizontal="center" vertical="center"/>
    </xf>
    <xf numFmtId="0" fontId="16" fillId="2" borderId="0" xfId="0" applyFont="1" applyFill="1" applyAlignment="1">
      <alignment horizontal="center" vertical="center"/>
    </xf>
    <xf numFmtId="0" fontId="16" fillId="2" borderId="168" xfId="0" applyFont="1" applyFill="1" applyBorder="1" applyAlignment="1">
      <alignment horizontal="center" vertical="center"/>
    </xf>
    <xf numFmtId="0" fontId="7" fillId="7" borderId="69"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73" xfId="0" applyFont="1" applyFill="1" applyBorder="1" applyAlignment="1">
      <alignment horizontal="center" vertical="center" wrapText="1"/>
    </xf>
    <xf numFmtId="0" fontId="70" fillId="52" borderId="156" xfId="0" applyFont="1" applyFill="1" applyBorder="1" applyAlignment="1">
      <alignment horizontal="center" vertical="center"/>
    </xf>
    <xf numFmtId="0" fontId="70" fillId="52" borderId="157" xfId="0" applyFont="1" applyFill="1" applyBorder="1" applyAlignment="1">
      <alignment horizontal="center" vertical="center"/>
    </xf>
    <xf numFmtId="0" fontId="70" fillId="52" borderId="158" xfId="0" applyFont="1" applyFill="1" applyBorder="1" applyAlignment="1">
      <alignment horizontal="center" vertical="center"/>
    </xf>
    <xf numFmtId="3" fontId="69" fillId="51" borderId="159" xfId="0" applyNumberFormat="1" applyFont="1" applyFill="1" applyBorder="1" applyAlignment="1">
      <alignment horizontal="center" vertical="center"/>
    </xf>
    <xf numFmtId="3" fontId="69" fillId="51" borderId="160" xfId="0" applyNumberFormat="1" applyFont="1" applyFill="1" applyBorder="1" applyAlignment="1">
      <alignment horizontal="center" vertical="center"/>
    </xf>
    <xf numFmtId="3" fontId="69" fillId="51" borderId="161" xfId="0" applyNumberFormat="1" applyFont="1" applyFill="1" applyBorder="1" applyAlignment="1">
      <alignment horizontal="center" vertical="center"/>
    </xf>
    <xf numFmtId="3" fontId="7" fillId="54" borderId="140" xfId="0" applyNumberFormat="1" applyFont="1" applyFill="1" applyBorder="1" applyAlignment="1">
      <alignment horizontal="center" vertical="center" wrapText="1"/>
    </xf>
    <xf numFmtId="3" fontId="7" fillId="54" borderId="162" xfId="0" applyNumberFormat="1" applyFont="1" applyFill="1" applyBorder="1" applyAlignment="1">
      <alignment horizontal="center" vertical="center" wrapText="1"/>
    </xf>
    <xf numFmtId="3" fontId="7" fillId="54" borderId="141" xfId="0" applyNumberFormat="1" applyFont="1" applyFill="1" applyBorder="1" applyAlignment="1">
      <alignment horizontal="center" vertical="center" wrapText="1"/>
    </xf>
    <xf numFmtId="3" fontId="7" fillId="6" borderId="142" xfId="0" applyNumberFormat="1" applyFont="1" applyFill="1" applyBorder="1" applyAlignment="1">
      <alignment horizontal="center" vertical="center" wrapText="1"/>
    </xf>
    <xf numFmtId="3" fontId="7" fillId="6" borderId="163" xfId="0" applyNumberFormat="1" applyFont="1" applyFill="1" applyBorder="1" applyAlignment="1">
      <alignment horizontal="center" vertical="center" wrapText="1"/>
    </xf>
    <xf numFmtId="3" fontId="7" fillId="6" borderId="146" xfId="0" applyNumberFormat="1" applyFont="1" applyFill="1" applyBorder="1" applyAlignment="1">
      <alignment horizontal="center" vertical="center" wrapText="1"/>
    </xf>
    <xf numFmtId="0" fontId="6" fillId="3" borderId="112" xfId="0" applyFont="1" applyFill="1" applyBorder="1" applyAlignment="1">
      <alignment horizontal="center" vertical="center"/>
    </xf>
    <xf numFmtId="0" fontId="6" fillId="4" borderId="113" xfId="0" applyFont="1" applyFill="1" applyBorder="1" applyAlignment="1">
      <alignment horizontal="center" vertical="center"/>
    </xf>
    <xf numFmtId="0" fontId="44" fillId="2" borderId="95" xfId="0" applyFont="1" applyFill="1" applyBorder="1" applyAlignment="1">
      <alignment horizontal="center" vertical="center"/>
    </xf>
    <xf numFmtId="0" fontId="48" fillId="14" borderId="0" xfId="0" applyFont="1" applyFill="1" applyAlignment="1">
      <alignment horizontal="center" vertical="center"/>
    </xf>
  </cellXfs>
  <cellStyles count="43">
    <cellStyle name="20% - Énfasis1" xfId="17" builtinId="30" customBuiltin="1"/>
    <cellStyle name="20% - Énfasis2" xfId="20" builtinId="34" customBuiltin="1"/>
    <cellStyle name="20% - Énfasis3" xfId="23" builtinId="38" customBuiltin="1"/>
    <cellStyle name="20% - Énfasis4" xfId="26" builtinId="42" customBuiltin="1"/>
    <cellStyle name="20% - Énfasis5" xfId="29" builtinId="46" customBuiltin="1"/>
    <cellStyle name="20% - Énfasis6" xfId="32" builtinId="50" customBuiltin="1"/>
    <cellStyle name="40% - Énfasis1" xfId="18" builtinId="31" customBuiltin="1"/>
    <cellStyle name="40% - Énfasis2" xfId="21" builtinId="35" customBuiltin="1"/>
    <cellStyle name="40% - Énfasis3" xfId="24" builtinId="39" customBuiltin="1"/>
    <cellStyle name="40% - Énfasis4" xfId="27" builtinId="43" customBuiltin="1"/>
    <cellStyle name="40% - Énfasis5" xfId="30" builtinId="47" customBuiltin="1"/>
    <cellStyle name="40% - Énfasis6" xfId="33" builtinId="51" customBuiltin="1"/>
    <cellStyle name="60% - Énfasis1 2" xfId="36" xr:uid="{EB3B6A92-C5B7-4E4C-84CB-8CBBF3FA023B}"/>
    <cellStyle name="60% - Énfasis2 2" xfId="37" xr:uid="{918414EA-8317-4656-873B-CAF78155CD3B}"/>
    <cellStyle name="60% - Énfasis3 2" xfId="38" xr:uid="{635CDEC3-CE31-4A99-8F71-BC3AE8925501}"/>
    <cellStyle name="60% - Énfasis4 2" xfId="39" xr:uid="{CA376523-84DE-4E72-B885-3F2C45A1BD4F}"/>
    <cellStyle name="60% - Énfasis5 2" xfId="40" xr:uid="{34F97C3D-E972-4D81-B3D1-DE78955EC89C}"/>
    <cellStyle name="60% - Énfasis6 2" xfId="41" xr:uid="{E3C58EF2-1D65-40F4-9BD2-D3F5276627B4}"/>
    <cellStyle name="Bueno" xfId="5" builtinId="26" customBuiltin="1"/>
    <cellStyle name="Cálculo" xfId="9" builtinId="22" customBuiltin="1"/>
    <cellStyle name="Celda de comprobación" xfId="11" builtinId="23" customBuiltin="1"/>
    <cellStyle name="Celda vinculada" xfId="10" builtinId="24" customBuiltin="1"/>
    <cellStyle name="Encabezado 1" xfId="1" builtinId="16" customBuiltin="1"/>
    <cellStyle name="Encabezado 4" xfId="4" builtinId="19" customBuiltin="1"/>
    <cellStyle name="Énfasis1" xfId="16" builtinId="29" customBuiltin="1"/>
    <cellStyle name="Énfasis2" xfId="19" builtinId="33" customBuiltin="1"/>
    <cellStyle name="Énfasis3" xfId="22" builtinId="37" customBuiltin="1"/>
    <cellStyle name="Énfasis4" xfId="25" builtinId="41" customBuiltin="1"/>
    <cellStyle name="Énfasis5" xfId="28" builtinId="45" customBuiltin="1"/>
    <cellStyle name="Énfasis6" xfId="31" builtinId="49" customBuiltin="1"/>
    <cellStyle name="Entrada" xfId="7" builtinId="20" customBuiltin="1"/>
    <cellStyle name="Incorrecto" xfId="6" builtinId="27" customBuiltin="1"/>
    <cellStyle name="Neutral 2" xfId="35" xr:uid="{1A12A78D-A801-4EA4-BB5A-36CDC62C002A}"/>
    <cellStyle name="Normal" xfId="0" builtinId="0"/>
    <cellStyle name="Notas" xfId="13" builtinId="10" customBuiltin="1"/>
    <cellStyle name="Porcentaje" xfId="42" builtinId="5"/>
    <cellStyle name="Salida" xfId="8" builtinId="21" customBuiltin="1"/>
    <cellStyle name="Texto de advertencia" xfId="12" builtinId="11" customBuiltin="1"/>
    <cellStyle name="Texto explicativo" xfId="14" builtinId="53" customBuiltin="1"/>
    <cellStyle name="Título 2" xfId="2" builtinId="17" customBuiltin="1"/>
    <cellStyle name="Título 3" xfId="3" builtinId="18" customBuiltin="1"/>
    <cellStyle name="Título 4" xfId="34" xr:uid="{683A49C8-1A07-476F-8598-6AFBCDFEB80D}"/>
    <cellStyle name="Total" xfId="15" builtinId="25" customBuiltin="1"/>
  </cellStyles>
  <dxfs count="227">
    <dxf>
      <fill>
        <patternFill>
          <bgColor theme="9" tint="0.79998168889431442"/>
        </patternFill>
      </fill>
    </dxf>
    <dxf>
      <fill>
        <patternFill>
          <bgColor rgb="FFFFFFCC"/>
        </patternFill>
      </fill>
    </dxf>
    <dxf>
      <fill>
        <patternFill>
          <bgColor rgb="FFFFE1E1"/>
        </patternFill>
      </fill>
    </dxf>
    <dxf>
      <fill>
        <patternFill>
          <bgColor theme="9" tint="0.79998168889431442"/>
        </patternFill>
      </fill>
    </dxf>
    <dxf>
      <fill>
        <patternFill>
          <bgColor rgb="FFFFFFCC"/>
        </patternFill>
      </fill>
    </dxf>
    <dxf>
      <fill>
        <patternFill>
          <bgColor rgb="FFFFDDDD"/>
        </patternFill>
      </fill>
    </dxf>
    <dxf>
      <fill>
        <patternFill>
          <bgColor theme="9" tint="0.79998168889431442"/>
        </patternFill>
      </fill>
    </dxf>
    <dxf>
      <fill>
        <patternFill>
          <bgColor rgb="FFFFFFCC"/>
        </patternFill>
      </fill>
    </dxf>
    <dxf>
      <fill>
        <patternFill>
          <bgColor rgb="FFFFDDDD"/>
        </patternFill>
      </fill>
    </dxf>
    <dxf>
      <fill>
        <patternFill>
          <bgColor theme="0"/>
        </patternFill>
      </fill>
    </dxf>
    <dxf>
      <fill>
        <patternFill>
          <bgColor rgb="FFFFDDDD"/>
        </patternFill>
      </fill>
    </dxf>
    <dxf>
      <fill>
        <patternFill>
          <bgColor rgb="FFFFFFCC"/>
        </patternFill>
      </fill>
    </dxf>
    <dxf>
      <fill>
        <patternFill>
          <bgColor theme="9" tint="0.79998168889431442"/>
        </patternFill>
      </fill>
    </dxf>
    <dxf>
      <fill>
        <patternFill>
          <bgColor theme="0"/>
        </patternFill>
      </fill>
    </dxf>
    <dxf>
      <fill>
        <patternFill>
          <bgColor theme="9" tint="0.79998168889431442"/>
        </patternFill>
      </fill>
    </dxf>
    <dxf>
      <fill>
        <patternFill>
          <bgColor theme="0"/>
        </patternFill>
      </fill>
    </dxf>
    <dxf>
      <fill>
        <patternFill>
          <bgColor rgb="FFFFDDDD"/>
        </patternFill>
      </fill>
    </dxf>
    <dxf>
      <fill>
        <patternFill>
          <bgColor rgb="FFFFFFCC"/>
        </patternFill>
      </fill>
    </dxf>
    <dxf>
      <fill>
        <patternFill>
          <bgColor theme="9" tint="0.79998168889431442"/>
        </patternFill>
      </fill>
    </dxf>
    <dxf>
      <fill>
        <patternFill>
          <bgColor rgb="FFFFFFCC"/>
        </patternFill>
      </fill>
    </dxf>
    <dxf>
      <fill>
        <patternFill>
          <bgColor rgb="FFFFDDDD"/>
        </patternFill>
      </fill>
    </dxf>
    <dxf>
      <fill>
        <patternFill>
          <bgColor theme="0"/>
        </patternFill>
      </fill>
    </dxf>
    <dxf>
      <fill>
        <patternFill>
          <bgColor theme="0"/>
        </patternFill>
      </fill>
    </dxf>
    <dxf>
      <fill>
        <patternFill>
          <bgColor theme="0"/>
        </patternFill>
      </fill>
    </dxf>
    <dxf>
      <fill>
        <patternFill>
          <bgColor theme="9" tint="0.79998168889431442"/>
        </patternFill>
      </fill>
    </dxf>
    <dxf>
      <fill>
        <patternFill>
          <bgColor rgb="FFFFFFCC"/>
        </patternFill>
      </fill>
    </dxf>
    <dxf>
      <fill>
        <patternFill>
          <bgColor rgb="FFFFDDDD"/>
        </patternFill>
      </fill>
    </dxf>
    <dxf>
      <fill>
        <patternFill>
          <bgColor theme="9" tint="0.79998168889431442"/>
        </patternFill>
      </fill>
    </dxf>
    <dxf>
      <fill>
        <patternFill>
          <bgColor rgb="FFFFFFCC"/>
        </patternFill>
      </fill>
    </dxf>
    <dxf>
      <fill>
        <patternFill>
          <bgColor rgb="FFFFE1E1"/>
        </patternFill>
      </fill>
    </dxf>
    <dxf>
      <fill>
        <patternFill>
          <bgColor rgb="FFFFDDDD"/>
        </patternFill>
      </fill>
    </dxf>
    <dxf>
      <fill>
        <patternFill>
          <bgColor rgb="FFFFFFCC"/>
        </patternFill>
      </fill>
    </dxf>
    <dxf>
      <fill>
        <patternFill>
          <bgColor theme="9" tint="0.79998168889431442"/>
        </patternFill>
      </fill>
    </dxf>
    <dxf>
      <fill>
        <patternFill>
          <bgColor rgb="FFFFDDDD"/>
        </patternFill>
      </fill>
    </dxf>
    <dxf>
      <fill>
        <patternFill>
          <bgColor rgb="FFFFFFCC"/>
        </patternFill>
      </fill>
    </dxf>
    <dxf>
      <fill>
        <patternFill>
          <bgColor theme="9" tint="0.79998168889431442"/>
        </patternFill>
      </fill>
    </dxf>
    <dxf>
      <fill>
        <patternFill>
          <bgColor theme="0"/>
        </patternFill>
      </fill>
    </dxf>
    <dxf>
      <fill>
        <patternFill>
          <bgColor rgb="FFFFE1E1"/>
        </patternFill>
      </fill>
    </dxf>
    <dxf>
      <fill>
        <patternFill>
          <bgColor theme="9" tint="0.79998168889431442"/>
        </patternFill>
      </fill>
    </dxf>
    <dxf>
      <fill>
        <patternFill>
          <bgColor rgb="FFFFFFCC"/>
        </patternFill>
      </fill>
    </dxf>
    <dxf>
      <fill>
        <patternFill>
          <bgColor theme="9" tint="0.79998168889431442"/>
        </patternFill>
      </fill>
    </dxf>
    <dxf>
      <fill>
        <patternFill>
          <bgColor rgb="FFFFFFCC"/>
        </patternFill>
      </fill>
    </dxf>
    <dxf>
      <fill>
        <patternFill>
          <bgColor rgb="FFFFDDDD"/>
        </patternFill>
      </fill>
    </dxf>
    <dxf>
      <fill>
        <patternFill>
          <bgColor theme="9" tint="0.79998168889431442"/>
        </patternFill>
      </fill>
    </dxf>
    <dxf>
      <fill>
        <patternFill>
          <bgColor rgb="FFFFFFCC"/>
        </patternFill>
      </fill>
    </dxf>
    <dxf>
      <fill>
        <patternFill>
          <bgColor rgb="FFFFDDDD"/>
        </patternFill>
      </fill>
    </dxf>
    <dxf>
      <fill>
        <patternFill>
          <bgColor theme="0"/>
        </patternFill>
      </fill>
    </dxf>
    <dxf>
      <fill>
        <patternFill>
          <bgColor rgb="FFFFDDDD"/>
        </patternFill>
      </fill>
    </dxf>
    <dxf>
      <fill>
        <patternFill>
          <bgColor rgb="FFFFFFCC"/>
        </patternFill>
      </fill>
    </dxf>
    <dxf>
      <fill>
        <patternFill>
          <bgColor theme="9" tint="0.79998168889431442"/>
        </patternFill>
      </fill>
    </dxf>
    <dxf>
      <fill>
        <patternFill>
          <bgColor theme="0"/>
        </patternFill>
      </fill>
    </dxf>
    <dxf>
      <fill>
        <patternFill>
          <bgColor theme="0"/>
        </patternFill>
      </fill>
    </dxf>
    <dxf>
      <fill>
        <patternFill>
          <bgColor rgb="FFFFDDDD"/>
        </patternFill>
      </fill>
    </dxf>
    <dxf>
      <fill>
        <patternFill>
          <bgColor rgb="FFFFFFCC"/>
        </patternFill>
      </fill>
    </dxf>
    <dxf>
      <fill>
        <patternFill>
          <bgColor theme="9" tint="0.79998168889431442"/>
        </patternFill>
      </fill>
    </dxf>
    <dxf>
      <fill>
        <patternFill>
          <bgColor theme="0"/>
        </patternFill>
      </fill>
    </dxf>
    <dxf>
      <fill>
        <patternFill>
          <bgColor theme="9" tint="0.79998168889431442"/>
        </patternFill>
      </fill>
    </dxf>
    <dxf>
      <fill>
        <patternFill>
          <bgColor rgb="FFFFFFCC"/>
        </patternFill>
      </fill>
    </dxf>
    <dxf>
      <fill>
        <patternFill>
          <bgColor rgb="FFFFDDDD"/>
        </patternFill>
      </fill>
    </dxf>
    <dxf>
      <fill>
        <patternFill>
          <bgColor theme="0"/>
        </patternFill>
      </fill>
    </dxf>
    <dxf>
      <fill>
        <patternFill>
          <bgColor theme="9" tint="0.79998168889431442"/>
        </patternFill>
      </fill>
    </dxf>
    <dxf>
      <fill>
        <patternFill>
          <bgColor rgb="FFFFFFCC"/>
        </patternFill>
      </fill>
    </dxf>
    <dxf>
      <fill>
        <patternFill>
          <bgColor rgb="FFFFE1E1"/>
        </patternFill>
      </fill>
    </dxf>
    <dxf>
      <fill>
        <patternFill>
          <bgColor rgb="FFFFDDDD"/>
        </patternFill>
      </fill>
    </dxf>
    <dxf>
      <fill>
        <patternFill>
          <bgColor rgb="FFFFFFCC"/>
        </patternFill>
      </fill>
    </dxf>
    <dxf>
      <fill>
        <patternFill>
          <bgColor theme="9" tint="0.79998168889431442"/>
        </patternFill>
      </fill>
    </dxf>
    <dxf>
      <fill>
        <patternFill>
          <bgColor rgb="FFFFFFCC"/>
        </patternFill>
      </fill>
    </dxf>
    <dxf>
      <fill>
        <patternFill>
          <bgColor theme="9" tint="0.79998168889431442"/>
        </patternFill>
      </fill>
    </dxf>
    <dxf>
      <fill>
        <patternFill>
          <bgColor theme="0"/>
        </patternFill>
      </fill>
    </dxf>
    <dxf>
      <fill>
        <patternFill>
          <bgColor rgb="FFFFDDDD"/>
        </patternFill>
      </fill>
    </dxf>
    <dxf>
      <fill>
        <patternFill>
          <bgColor rgb="FFFFE1E1"/>
        </patternFill>
      </fill>
    </dxf>
    <dxf>
      <fill>
        <patternFill>
          <bgColor rgb="FFFFFFCC"/>
        </patternFill>
      </fill>
    </dxf>
    <dxf>
      <fill>
        <patternFill>
          <bgColor theme="9" tint="0.79998168889431442"/>
        </patternFill>
      </fill>
    </dxf>
    <dxf>
      <fill>
        <patternFill>
          <bgColor theme="9" tint="0.79998168889431442"/>
        </patternFill>
      </fill>
    </dxf>
    <dxf>
      <fill>
        <patternFill>
          <bgColor rgb="FFFFFFCC"/>
        </patternFill>
      </fill>
    </dxf>
    <dxf>
      <fill>
        <patternFill>
          <bgColor rgb="FFFFDDDD"/>
        </patternFill>
      </fill>
    </dxf>
    <dxf>
      <fill>
        <patternFill>
          <bgColor theme="0"/>
        </patternFill>
      </fill>
    </dxf>
    <dxf>
      <fill>
        <patternFill>
          <bgColor theme="0"/>
        </patternFill>
      </fill>
    </dxf>
    <dxf>
      <fill>
        <patternFill>
          <bgColor rgb="FFFFDDDD"/>
        </patternFill>
      </fill>
    </dxf>
    <dxf>
      <fill>
        <patternFill>
          <bgColor rgb="FFFFFFCC"/>
        </patternFill>
      </fill>
    </dxf>
    <dxf>
      <fill>
        <patternFill>
          <bgColor theme="9" tint="0.79998168889431442"/>
        </patternFill>
      </fill>
    </dxf>
    <dxf>
      <fill>
        <patternFill>
          <bgColor theme="0"/>
        </patternFill>
      </fill>
    </dxf>
    <dxf>
      <fill>
        <patternFill>
          <bgColor rgb="FFFFDDDD"/>
        </patternFill>
      </fill>
    </dxf>
    <dxf>
      <fill>
        <patternFill>
          <bgColor rgb="FFFFFFCC"/>
        </patternFill>
      </fill>
    </dxf>
    <dxf>
      <fill>
        <patternFill>
          <bgColor theme="9" tint="0.79998168889431442"/>
        </patternFill>
      </fill>
    </dxf>
    <dxf>
      <fill>
        <patternFill>
          <bgColor rgb="FFFFFFCC"/>
        </patternFill>
      </fill>
    </dxf>
    <dxf>
      <fill>
        <patternFill>
          <bgColor rgb="FFFFDDDD"/>
        </patternFill>
      </fill>
    </dxf>
    <dxf>
      <fill>
        <patternFill>
          <bgColor theme="0"/>
        </patternFill>
      </fill>
    </dxf>
    <dxf>
      <fill>
        <patternFill>
          <bgColor theme="9" tint="0.79998168889431442"/>
        </patternFill>
      </fill>
    </dxf>
    <dxf>
      <fill>
        <patternFill>
          <bgColor theme="0"/>
        </patternFill>
      </fill>
    </dxf>
    <dxf>
      <fill>
        <patternFill>
          <bgColor rgb="FFFFDDDD"/>
        </patternFill>
      </fill>
    </dxf>
    <dxf>
      <fill>
        <patternFill>
          <bgColor theme="9" tint="0.79998168889431442"/>
        </patternFill>
      </fill>
    </dxf>
    <dxf>
      <fill>
        <patternFill>
          <bgColor rgb="FFFFFFCC"/>
        </patternFill>
      </fill>
    </dxf>
    <dxf>
      <fill>
        <patternFill>
          <bgColor rgb="FFFFDDDD"/>
        </patternFill>
      </fill>
    </dxf>
    <dxf>
      <fill>
        <patternFill>
          <bgColor theme="0"/>
        </patternFill>
      </fill>
    </dxf>
    <dxf>
      <fill>
        <patternFill>
          <bgColor theme="9" tint="0.79998168889431442"/>
        </patternFill>
      </fill>
    </dxf>
    <dxf>
      <fill>
        <patternFill>
          <bgColor rgb="FFFFFFCC"/>
        </patternFill>
      </fill>
    </dxf>
    <dxf>
      <fill>
        <patternFill>
          <bgColor rgb="FFFFDDDD"/>
        </patternFill>
      </fill>
    </dxf>
    <dxf>
      <fill>
        <patternFill>
          <bgColor theme="0"/>
        </patternFill>
      </fill>
    </dxf>
    <dxf>
      <fill>
        <patternFill>
          <bgColor rgb="FFFFFFCC"/>
        </patternFill>
      </fill>
    </dxf>
    <dxf>
      <fill>
        <patternFill>
          <bgColor theme="9" tint="0.79998168889431442"/>
        </patternFill>
      </fill>
    </dxf>
    <dxf>
      <fill>
        <patternFill>
          <bgColor theme="0"/>
        </patternFill>
      </fill>
    </dxf>
    <dxf>
      <fill>
        <patternFill>
          <bgColor rgb="FFFFDDDD"/>
        </patternFill>
      </fill>
    </dxf>
    <dxf>
      <fill>
        <patternFill>
          <bgColor rgb="FFFFFFCC"/>
        </patternFill>
      </fill>
    </dxf>
    <dxf>
      <fill>
        <patternFill>
          <bgColor theme="9" tint="0.79998168889431442"/>
        </patternFill>
      </fill>
    </dxf>
    <dxf>
      <fill>
        <patternFill>
          <bgColor rgb="FFFFE1E1"/>
        </patternFill>
      </fill>
    </dxf>
    <dxf>
      <fill>
        <patternFill>
          <bgColor theme="9" tint="0.79998168889431442"/>
        </patternFill>
      </fill>
    </dxf>
    <dxf>
      <fill>
        <patternFill>
          <bgColor rgb="FFFFFFCC"/>
        </patternFill>
      </fill>
    </dxf>
    <dxf>
      <fill>
        <patternFill>
          <bgColor theme="0"/>
        </patternFill>
      </fill>
    </dxf>
    <dxf>
      <fill>
        <patternFill>
          <bgColor rgb="FFFFDDDD"/>
        </patternFill>
      </fill>
    </dxf>
    <dxf>
      <fill>
        <patternFill>
          <bgColor rgb="FFFFFFCC"/>
        </patternFill>
      </fill>
    </dxf>
    <dxf>
      <fill>
        <patternFill>
          <bgColor theme="9" tint="0.79998168889431442"/>
        </patternFill>
      </fill>
    </dxf>
    <dxf>
      <fill>
        <patternFill>
          <bgColor theme="0"/>
        </patternFill>
      </fill>
    </dxf>
    <dxf>
      <fill>
        <patternFill>
          <bgColor rgb="FFFFDDDD"/>
        </patternFill>
      </fill>
    </dxf>
    <dxf>
      <fill>
        <patternFill>
          <bgColor theme="9" tint="0.79998168889431442"/>
        </patternFill>
      </fill>
    </dxf>
    <dxf>
      <fill>
        <patternFill>
          <bgColor rgb="FFFFFFCC"/>
        </patternFill>
      </fill>
    </dxf>
    <dxf>
      <fill>
        <patternFill>
          <bgColor theme="0"/>
        </patternFill>
      </fill>
    </dxf>
    <dxf>
      <fill>
        <patternFill>
          <bgColor rgb="FFFFDDDD"/>
        </patternFill>
      </fill>
    </dxf>
    <dxf>
      <fill>
        <patternFill>
          <bgColor rgb="FFFFFFCC"/>
        </patternFill>
      </fill>
    </dxf>
    <dxf>
      <fill>
        <patternFill>
          <bgColor theme="9" tint="0.79998168889431442"/>
        </patternFill>
      </fill>
    </dxf>
    <dxf>
      <fill>
        <patternFill>
          <bgColor theme="9" tint="0.79998168889431442"/>
        </patternFill>
      </fill>
    </dxf>
    <dxf>
      <fill>
        <patternFill>
          <bgColor rgb="FFFFFFCC"/>
        </patternFill>
      </fill>
    </dxf>
    <dxf>
      <fill>
        <patternFill>
          <bgColor rgb="FFFFDDDD"/>
        </patternFill>
      </fill>
    </dxf>
    <dxf>
      <fill>
        <patternFill>
          <bgColor theme="0"/>
        </patternFill>
      </fill>
    </dxf>
    <dxf>
      <fill>
        <patternFill>
          <bgColor theme="9" tint="0.79998168889431442"/>
        </patternFill>
      </fill>
    </dxf>
    <dxf>
      <fill>
        <patternFill>
          <bgColor rgb="FFFFFFCC"/>
        </patternFill>
      </fill>
    </dxf>
    <dxf>
      <fill>
        <patternFill>
          <bgColor rgb="FFFFE1E1"/>
        </patternFill>
      </fill>
    </dxf>
    <dxf>
      <fill>
        <patternFill>
          <bgColor theme="9" tint="0.79998168889431442"/>
        </patternFill>
      </fill>
    </dxf>
    <dxf>
      <fill>
        <patternFill>
          <bgColor rgb="FFFFFFCC"/>
        </patternFill>
      </fill>
    </dxf>
    <dxf>
      <fill>
        <patternFill>
          <bgColor rgb="FFFFDDDD"/>
        </patternFill>
      </fill>
    </dxf>
    <dxf>
      <fill>
        <patternFill>
          <bgColor theme="0"/>
        </patternFill>
      </fill>
    </dxf>
    <dxf>
      <fill>
        <patternFill>
          <bgColor rgb="FFFFDDDD"/>
        </patternFill>
      </fill>
    </dxf>
    <dxf>
      <fill>
        <patternFill>
          <bgColor theme="9" tint="0.79998168889431442"/>
        </patternFill>
      </fill>
    </dxf>
    <dxf>
      <fill>
        <patternFill>
          <bgColor rgb="FFFFFFCC"/>
        </patternFill>
      </fill>
    </dxf>
    <dxf>
      <fill>
        <patternFill>
          <bgColor theme="0"/>
        </patternFill>
      </fill>
    </dxf>
    <dxf>
      <fill>
        <patternFill>
          <bgColor rgb="FFFFFFCC"/>
        </patternFill>
      </fill>
    </dxf>
    <dxf>
      <fill>
        <patternFill>
          <bgColor rgb="FFFFDDDD"/>
        </patternFill>
      </fill>
    </dxf>
    <dxf>
      <fill>
        <patternFill>
          <bgColor theme="0"/>
        </patternFill>
      </fill>
    </dxf>
    <dxf>
      <fill>
        <patternFill>
          <bgColor theme="9" tint="0.79998168889431442"/>
        </patternFill>
      </fill>
    </dxf>
    <dxf>
      <fill>
        <patternFill>
          <bgColor theme="0"/>
        </patternFill>
      </fill>
    </dxf>
    <dxf>
      <fill>
        <patternFill>
          <bgColor rgb="FFFFDDDD"/>
        </patternFill>
      </fill>
    </dxf>
    <dxf>
      <fill>
        <patternFill>
          <bgColor rgb="FFFFFFCC"/>
        </patternFill>
      </fill>
    </dxf>
    <dxf>
      <fill>
        <patternFill>
          <bgColor theme="9" tint="0.79998168889431442"/>
        </patternFill>
      </fill>
    </dxf>
    <dxf>
      <fill>
        <patternFill>
          <bgColor rgb="FFFFFFCC"/>
        </patternFill>
      </fill>
    </dxf>
    <dxf>
      <fill>
        <patternFill>
          <bgColor theme="9" tint="0.79998168889431442"/>
        </patternFill>
      </fill>
    </dxf>
    <dxf>
      <fill>
        <patternFill>
          <bgColor rgb="FFFFE1E1"/>
        </patternFill>
      </fill>
    </dxf>
    <dxf>
      <fill>
        <patternFill>
          <bgColor theme="0"/>
        </patternFill>
      </fill>
    </dxf>
    <dxf>
      <fill>
        <patternFill>
          <bgColor rgb="FFFFDDDD"/>
        </patternFill>
      </fill>
    </dxf>
    <dxf>
      <fill>
        <patternFill>
          <bgColor rgb="FFFFFFCC"/>
        </patternFill>
      </fill>
    </dxf>
    <dxf>
      <fill>
        <patternFill>
          <bgColor theme="9" tint="0.79998168889431442"/>
        </patternFill>
      </fill>
    </dxf>
    <dxf>
      <fill>
        <patternFill>
          <bgColor theme="0"/>
        </patternFill>
      </fill>
    </dxf>
    <dxf>
      <fill>
        <patternFill>
          <bgColor rgb="FFFFDDDD"/>
        </patternFill>
      </fill>
    </dxf>
    <dxf>
      <fill>
        <patternFill>
          <bgColor rgb="FFFFFFCC"/>
        </patternFill>
      </fill>
    </dxf>
    <dxf>
      <fill>
        <patternFill>
          <bgColor theme="9" tint="0.79998168889431442"/>
        </patternFill>
      </fill>
    </dxf>
    <dxf>
      <fill>
        <patternFill>
          <bgColor theme="0"/>
        </patternFill>
      </fill>
    </dxf>
    <dxf>
      <fill>
        <patternFill>
          <bgColor rgb="FFFFDDDD"/>
        </patternFill>
      </fill>
    </dxf>
    <dxf>
      <fill>
        <patternFill>
          <bgColor rgb="FFFFFFCC"/>
        </patternFill>
      </fill>
    </dxf>
    <dxf>
      <fill>
        <patternFill>
          <bgColor theme="9" tint="0.79998168889431442"/>
        </patternFill>
      </fill>
    </dxf>
    <dxf>
      <fill>
        <patternFill>
          <bgColor rgb="FFFFDDDD"/>
        </patternFill>
      </fill>
    </dxf>
    <dxf>
      <fill>
        <patternFill>
          <bgColor theme="0"/>
        </patternFill>
      </fill>
    </dxf>
    <dxf>
      <fill>
        <patternFill>
          <bgColor rgb="FFFFFFCC"/>
        </patternFill>
      </fill>
    </dxf>
    <dxf>
      <fill>
        <patternFill>
          <bgColor theme="9" tint="0.79998168889431442"/>
        </patternFill>
      </fill>
    </dxf>
    <dxf>
      <fill>
        <patternFill>
          <bgColor rgb="FFFFE1E1"/>
        </patternFill>
      </fill>
    </dxf>
    <dxf>
      <fill>
        <patternFill>
          <bgColor rgb="FFFFFFCC"/>
        </patternFill>
      </fill>
    </dxf>
    <dxf>
      <fill>
        <patternFill>
          <bgColor theme="9" tint="0.79998168889431442"/>
        </patternFill>
      </fill>
    </dxf>
    <dxf>
      <fill>
        <patternFill>
          <bgColor theme="0"/>
        </patternFill>
      </fill>
    </dxf>
    <dxf>
      <fill>
        <patternFill>
          <bgColor rgb="FFFFDDDD"/>
        </patternFill>
      </fill>
    </dxf>
    <dxf>
      <fill>
        <patternFill>
          <bgColor rgb="FFFFFFCC"/>
        </patternFill>
      </fill>
    </dxf>
    <dxf>
      <fill>
        <patternFill>
          <bgColor theme="9" tint="0.79998168889431442"/>
        </patternFill>
      </fill>
    </dxf>
    <dxf>
      <fill>
        <patternFill>
          <bgColor theme="9" tint="0.79998168889431442"/>
        </patternFill>
      </fill>
    </dxf>
    <dxf>
      <fill>
        <patternFill>
          <bgColor theme="0"/>
        </patternFill>
      </fill>
    </dxf>
    <dxf>
      <fill>
        <patternFill>
          <bgColor rgb="FFFFDDDD"/>
        </patternFill>
      </fill>
    </dxf>
    <dxf>
      <fill>
        <patternFill>
          <bgColor rgb="FFFFFFCC"/>
        </patternFill>
      </fill>
    </dxf>
    <dxf>
      <fill>
        <patternFill>
          <bgColor theme="0"/>
        </patternFill>
      </fill>
    </dxf>
    <dxf>
      <fill>
        <patternFill>
          <bgColor rgb="FFFFDDDD"/>
        </patternFill>
      </fill>
    </dxf>
    <dxf>
      <fill>
        <patternFill>
          <bgColor rgb="FFFFFFCC"/>
        </patternFill>
      </fill>
    </dxf>
    <dxf>
      <fill>
        <patternFill>
          <bgColor theme="9" tint="0.79998168889431442"/>
        </patternFill>
      </fill>
    </dxf>
    <dxf>
      <fill>
        <patternFill>
          <bgColor theme="9" tint="0.79998168889431442"/>
        </patternFill>
      </fill>
    </dxf>
    <dxf>
      <fill>
        <patternFill>
          <bgColor theme="0"/>
        </patternFill>
      </fill>
    </dxf>
    <dxf>
      <fill>
        <patternFill>
          <bgColor rgb="FFFFDDDD"/>
        </patternFill>
      </fill>
    </dxf>
    <dxf>
      <fill>
        <patternFill>
          <bgColor rgb="FFFFFFCC"/>
        </patternFill>
      </fill>
    </dxf>
    <dxf>
      <fill>
        <patternFill>
          <bgColor rgb="FFFFE1E1"/>
        </patternFill>
      </fill>
    </dxf>
    <dxf>
      <fill>
        <patternFill>
          <bgColor rgb="FFFFFFCC"/>
        </patternFill>
      </fill>
    </dxf>
    <dxf>
      <fill>
        <patternFill>
          <bgColor theme="9" tint="0.79998168889431442"/>
        </patternFill>
      </fill>
    </dxf>
    <dxf>
      <fill>
        <patternFill>
          <bgColor theme="0"/>
        </patternFill>
      </fill>
    </dxf>
    <dxf>
      <fill>
        <patternFill>
          <bgColor rgb="FFFFFFCC"/>
        </patternFill>
      </fill>
    </dxf>
    <dxf>
      <fill>
        <patternFill>
          <bgColor theme="9" tint="0.79998168889431442"/>
        </patternFill>
      </fill>
    </dxf>
    <dxf>
      <fill>
        <patternFill>
          <bgColor rgb="FFFFDDDD"/>
        </patternFill>
      </fill>
    </dxf>
    <dxf>
      <fill>
        <patternFill>
          <bgColor rgb="FFFFDDDD"/>
        </patternFill>
      </fill>
    </dxf>
    <dxf>
      <fill>
        <patternFill>
          <bgColor theme="0"/>
        </patternFill>
      </fill>
    </dxf>
    <dxf>
      <fill>
        <patternFill>
          <bgColor rgb="FFFFFFCC"/>
        </patternFill>
      </fill>
    </dxf>
    <dxf>
      <fill>
        <patternFill>
          <bgColor theme="9" tint="0.79998168889431442"/>
        </patternFill>
      </fill>
    </dxf>
    <dxf>
      <fill>
        <patternFill>
          <bgColor theme="0"/>
        </patternFill>
      </fill>
    </dxf>
    <dxf>
      <fill>
        <patternFill>
          <bgColor rgb="FFFFDDDD"/>
        </patternFill>
      </fill>
    </dxf>
    <dxf>
      <fill>
        <patternFill>
          <bgColor rgb="FFFFFFCC"/>
        </patternFill>
      </fill>
    </dxf>
    <dxf>
      <fill>
        <patternFill>
          <bgColor theme="9" tint="0.79998168889431442"/>
        </patternFill>
      </fill>
    </dxf>
    <dxf>
      <fill>
        <patternFill>
          <bgColor rgb="FFFFFFCC"/>
        </patternFill>
      </fill>
    </dxf>
    <dxf>
      <fill>
        <patternFill>
          <bgColor theme="9" tint="0.79998168889431442"/>
        </patternFill>
      </fill>
    </dxf>
    <dxf>
      <fill>
        <patternFill>
          <bgColor theme="0"/>
        </patternFill>
      </fill>
    </dxf>
    <dxf>
      <fill>
        <patternFill>
          <bgColor rgb="FFFFDDDD"/>
        </patternFill>
      </fill>
    </dxf>
    <dxf>
      <fill>
        <patternFill>
          <bgColor theme="9" tint="0.79998168889431442"/>
        </patternFill>
      </fill>
    </dxf>
    <dxf>
      <fill>
        <patternFill>
          <bgColor rgb="FFFFFFCC"/>
        </patternFill>
      </fill>
    </dxf>
    <dxf>
      <fill>
        <patternFill>
          <bgColor theme="0"/>
        </patternFill>
      </fill>
    </dxf>
    <dxf>
      <fill>
        <patternFill>
          <bgColor rgb="FFFFDDDD"/>
        </patternFill>
      </fill>
    </dxf>
    <dxf>
      <fill>
        <patternFill>
          <bgColor theme="9" tint="0.79998168889431442"/>
        </patternFill>
      </fill>
    </dxf>
    <dxf>
      <fill>
        <patternFill>
          <bgColor rgb="FFFFE1E1"/>
        </patternFill>
      </fill>
    </dxf>
    <dxf>
      <fill>
        <patternFill>
          <bgColor rgb="FFFFFFCC"/>
        </patternFill>
      </fill>
    </dxf>
    <dxf>
      <fill>
        <patternFill>
          <bgColor theme="0"/>
        </patternFill>
      </fill>
    </dxf>
    <dxf>
      <fill>
        <patternFill>
          <bgColor rgb="FFFFDDDD"/>
        </patternFill>
      </fill>
    </dxf>
    <dxf>
      <fill>
        <patternFill>
          <bgColor rgb="FFFFFFCC"/>
        </patternFill>
      </fill>
    </dxf>
    <dxf>
      <fill>
        <patternFill>
          <bgColor theme="9" tint="0.79998168889431442"/>
        </patternFill>
      </fill>
    </dxf>
    <dxf>
      <fill>
        <patternFill>
          <bgColor theme="0"/>
        </patternFill>
      </fill>
    </dxf>
    <dxf>
      <fill>
        <patternFill>
          <bgColor rgb="FFFFDDDD"/>
        </patternFill>
      </fill>
    </dxf>
    <dxf>
      <fill>
        <patternFill>
          <bgColor rgb="FFFFFFCC"/>
        </patternFill>
      </fill>
    </dxf>
    <dxf>
      <fill>
        <patternFill>
          <bgColor theme="9" tint="0.79998168889431442"/>
        </patternFill>
      </fill>
    </dxf>
    <dxf>
      <fill>
        <patternFill>
          <bgColor rgb="FFFFDDDD"/>
        </patternFill>
      </fill>
    </dxf>
    <dxf>
      <fill>
        <patternFill>
          <bgColor rgb="FFFFFFCC"/>
        </patternFill>
      </fill>
    </dxf>
    <dxf>
      <fill>
        <patternFill>
          <bgColor theme="9" tint="0.79998168889431442"/>
        </patternFill>
      </fill>
    </dxf>
    <dxf>
      <fill>
        <patternFill>
          <bgColor theme="0"/>
        </patternFill>
      </fill>
    </dxf>
    <dxf>
      <fill>
        <patternFill>
          <bgColor theme="0"/>
        </patternFill>
      </fill>
    </dxf>
    <dxf>
      <fill>
        <patternFill>
          <bgColor rgb="FFFFDDDD"/>
        </patternFill>
      </fill>
    </dxf>
    <dxf>
      <fill>
        <patternFill>
          <bgColor theme="9" tint="0.79998168889431442"/>
        </patternFill>
      </fill>
    </dxf>
    <dxf>
      <fill>
        <patternFill>
          <bgColor rgb="FFFFFFCC"/>
        </patternFill>
      </fill>
    </dxf>
    <dxf>
      <fill>
        <patternFill>
          <bgColor rgb="FFFFFFCC"/>
        </patternFill>
      </fill>
    </dxf>
    <dxf>
      <fill>
        <patternFill>
          <bgColor theme="9" tint="0.79998168889431442"/>
        </patternFill>
      </fill>
    </dxf>
    <dxf>
      <fill>
        <patternFill>
          <bgColor rgb="FFFFDDDD"/>
        </patternFill>
      </fill>
    </dxf>
    <dxf>
      <fill>
        <patternFill>
          <bgColor theme="0"/>
        </patternFill>
      </fill>
    </dxf>
  </dxfs>
  <tableStyles count="0" defaultTableStyle="TableStyleMedium2" defaultPivotStyle="PivotStyleLight16"/>
  <colors>
    <mruColors>
      <color rgb="FFFFE1E1"/>
      <color rgb="FFFFFFCC"/>
      <color rgb="FFFFDDDD"/>
      <color rgb="FFFFC5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8</xdr:col>
      <xdr:colOff>709783</xdr:colOff>
      <xdr:row>31</xdr:row>
      <xdr:rowOff>161219</xdr:rowOff>
    </xdr:to>
    <xdr:pic>
      <xdr:nvPicPr>
        <xdr:cNvPr id="3" name="Imagen 2">
          <a:extLst>
            <a:ext uri="{FF2B5EF4-FFF2-40B4-BE49-F238E27FC236}">
              <a16:creationId xmlns:a16="http://schemas.microsoft.com/office/drawing/2014/main" id="{D3CAAF82-2D9A-CF0D-B4BF-B4E3856A03F7}"/>
            </a:ext>
          </a:extLst>
        </xdr:cNvPr>
        <xdr:cNvPicPr>
          <a:picLocks noChangeAspect="1"/>
        </xdr:cNvPicPr>
      </xdr:nvPicPr>
      <xdr:blipFill>
        <a:blip xmlns:r="http://schemas.openxmlformats.org/officeDocument/2006/relationships" r:embed="rId1"/>
        <a:stretch>
          <a:fillRect/>
        </a:stretch>
      </xdr:blipFill>
      <xdr:spPr>
        <a:xfrm>
          <a:off x="792480" y="182880"/>
          <a:ext cx="6257143" cy="5647619"/>
        </a:xfrm>
        <a:prstGeom prst="rect">
          <a:avLst/>
        </a:prstGeom>
      </xdr:spPr>
    </xdr:pic>
    <xdr:clientData/>
  </xdr:twoCellAnchor>
  <xdr:twoCellAnchor editAs="oneCell">
    <xdr:from>
      <xdr:col>1</xdr:col>
      <xdr:colOff>0</xdr:colOff>
      <xdr:row>34</xdr:row>
      <xdr:rowOff>0</xdr:rowOff>
    </xdr:from>
    <xdr:to>
      <xdr:col>8</xdr:col>
      <xdr:colOff>719307</xdr:colOff>
      <xdr:row>64</xdr:row>
      <xdr:rowOff>161219</xdr:rowOff>
    </xdr:to>
    <xdr:pic>
      <xdr:nvPicPr>
        <xdr:cNvPr id="4" name="Imagen 3">
          <a:extLst>
            <a:ext uri="{FF2B5EF4-FFF2-40B4-BE49-F238E27FC236}">
              <a16:creationId xmlns:a16="http://schemas.microsoft.com/office/drawing/2014/main" id="{B6A37535-1D12-B313-6ACC-3EE7B56D5194}"/>
            </a:ext>
          </a:extLst>
        </xdr:cNvPr>
        <xdr:cNvPicPr>
          <a:picLocks noChangeAspect="1"/>
        </xdr:cNvPicPr>
      </xdr:nvPicPr>
      <xdr:blipFill>
        <a:blip xmlns:r="http://schemas.openxmlformats.org/officeDocument/2006/relationships" r:embed="rId2"/>
        <a:stretch>
          <a:fillRect/>
        </a:stretch>
      </xdr:blipFill>
      <xdr:spPr>
        <a:xfrm>
          <a:off x="792480" y="6217920"/>
          <a:ext cx="6266667" cy="5647619"/>
        </a:xfrm>
        <a:prstGeom prst="rect">
          <a:avLst/>
        </a:prstGeom>
      </xdr:spPr>
    </xdr:pic>
    <xdr:clientData/>
  </xdr:twoCellAnchor>
  <xdr:twoCellAnchor editAs="oneCell">
    <xdr:from>
      <xdr:col>1</xdr:col>
      <xdr:colOff>0</xdr:colOff>
      <xdr:row>69</xdr:row>
      <xdr:rowOff>0</xdr:rowOff>
    </xdr:from>
    <xdr:to>
      <xdr:col>8</xdr:col>
      <xdr:colOff>757402</xdr:colOff>
      <xdr:row>99</xdr:row>
      <xdr:rowOff>170743</xdr:rowOff>
    </xdr:to>
    <xdr:pic>
      <xdr:nvPicPr>
        <xdr:cNvPr id="5" name="Imagen 4">
          <a:extLst>
            <a:ext uri="{FF2B5EF4-FFF2-40B4-BE49-F238E27FC236}">
              <a16:creationId xmlns:a16="http://schemas.microsoft.com/office/drawing/2014/main" id="{12B3AB16-5F09-D870-07C9-1D4393B29D26}"/>
            </a:ext>
          </a:extLst>
        </xdr:cNvPr>
        <xdr:cNvPicPr>
          <a:picLocks noChangeAspect="1"/>
        </xdr:cNvPicPr>
      </xdr:nvPicPr>
      <xdr:blipFill>
        <a:blip xmlns:r="http://schemas.openxmlformats.org/officeDocument/2006/relationships" r:embed="rId3"/>
        <a:stretch>
          <a:fillRect/>
        </a:stretch>
      </xdr:blipFill>
      <xdr:spPr>
        <a:xfrm>
          <a:off x="792480" y="12618720"/>
          <a:ext cx="6304762" cy="56571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10</xdr:col>
      <xdr:colOff>105775</xdr:colOff>
      <xdr:row>19</xdr:row>
      <xdr:rowOff>127208</xdr:rowOff>
    </xdr:to>
    <xdr:pic>
      <xdr:nvPicPr>
        <xdr:cNvPr id="2" name="Imagen 1">
          <a:extLst>
            <a:ext uri="{FF2B5EF4-FFF2-40B4-BE49-F238E27FC236}">
              <a16:creationId xmlns:a16="http://schemas.microsoft.com/office/drawing/2014/main" id="{5A3CC47B-3556-A795-D41D-0607C9188240}"/>
            </a:ext>
          </a:extLst>
        </xdr:cNvPr>
        <xdr:cNvPicPr>
          <a:picLocks noChangeAspect="1"/>
        </xdr:cNvPicPr>
      </xdr:nvPicPr>
      <xdr:blipFill>
        <a:blip xmlns:r="http://schemas.openxmlformats.org/officeDocument/2006/relationships" r:embed="rId1"/>
        <a:stretch>
          <a:fillRect/>
        </a:stretch>
      </xdr:blipFill>
      <xdr:spPr>
        <a:xfrm>
          <a:off x="792480" y="182880"/>
          <a:ext cx="7238095" cy="3419048"/>
        </a:xfrm>
        <a:prstGeom prst="rect">
          <a:avLst/>
        </a:prstGeom>
      </xdr:spPr>
    </xdr:pic>
    <xdr:clientData/>
  </xdr:twoCellAnchor>
  <xdr:twoCellAnchor editAs="oneCell">
    <xdr:from>
      <xdr:col>1</xdr:col>
      <xdr:colOff>0</xdr:colOff>
      <xdr:row>22</xdr:row>
      <xdr:rowOff>0</xdr:rowOff>
    </xdr:from>
    <xdr:to>
      <xdr:col>9</xdr:col>
      <xdr:colOff>203017</xdr:colOff>
      <xdr:row>43</xdr:row>
      <xdr:rowOff>130949</xdr:rowOff>
    </xdr:to>
    <xdr:pic>
      <xdr:nvPicPr>
        <xdr:cNvPr id="3" name="Imagen 2">
          <a:extLst>
            <a:ext uri="{FF2B5EF4-FFF2-40B4-BE49-F238E27FC236}">
              <a16:creationId xmlns:a16="http://schemas.microsoft.com/office/drawing/2014/main" id="{958BC13B-2FED-C96B-3218-1BD345871DCF}"/>
            </a:ext>
          </a:extLst>
        </xdr:cNvPr>
        <xdr:cNvPicPr>
          <a:picLocks noChangeAspect="1"/>
        </xdr:cNvPicPr>
      </xdr:nvPicPr>
      <xdr:blipFill>
        <a:blip xmlns:r="http://schemas.openxmlformats.org/officeDocument/2006/relationships" r:embed="rId2"/>
        <a:stretch>
          <a:fillRect/>
        </a:stretch>
      </xdr:blipFill>
      <xdr:spPr>
        <a:xfrm>
          <a:off x="792480" y="4023360"/>
          <a:ext cx="6542857" cy="397142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1FB4C-76F0-4916-806B-ADC79EED9ABD}">
  <dimension ref="A1:H47"/>
  <sheetViews>
    <sheetView showGridLines="0" workbookViewId="0">
      <pane xSplit="1" ySplit="1" topLeftCell="B2" activePane="bottomRight" state="frozen"/>
      <selection pane="topRight" activeCell="B1" sqref="B1"/>
      <selection pane="bottomLeft" activeCell="A2" sqref="A2"/>
      <selection pane="bottomRight" activeCell="C50" sqref="C50"/>
    </sheetView>
  </sheetViews>
  <sheetFormatPr baseColWidth="10" defaultColWidth="8.88671875" defaultRowHeight="14.4" x14ac:dyDescent="0.3"/>
  <cols>
    <col min="1" max="1" width="4.109375" customWidth="1"/>
    <col min="2" max="2" width="40.33203125" style="111" customWidth="1"/>
    <col min="3" max="3" width="49.88671875" customWidth="1"/>
    <col min="4" max="4" width="15.5546875" style="112" customWidth="1"/>
    <col min="5" max="5" width="15.5546875" style="113" customWidth="1"/>
    <col min="6" max="6" width="12.88671875" hidden="1" customWidth="1"/>
    <col min="7" max="7" width="15.6640625" customWidth="1"/>
    <col min="8" max="8" width="57.109375" style="114" customWidth="1"/>
  </cols>
  <sheetData>
    <row r="1" spans="1:8" s="91" customFormat="1" ht="42.6" customHeight="1" x14ac:dyDescent="0.3">
      <c r="A1" s="88" t="s">
        <v>38</v>
      </c>
      <c r="B1" s="88" t="s">
        <v>39</v>
      </c>
      <c r="C1" s="89" t="s">
        <v>40</v>
      </c>
      <c r="D1" s="89" t="s">
        <v>41</v>
      </c>
      <c r="E1" s="90" t="s">
        <v>42</v>
      </c>
      <c r="F1" s="89" t="s">
        <v>43</v>
      </c>
      <c r="G1" s="89" t="s">
        <v>44</v>
      </c>
      <c r="H1" s="89" t="s">
        <v>45</v>
      </c>
    </row>
    <row r="2" spans="1:8" s="100" customFormat="1" ht="199.95" customHeight="1" x14ac:dyDescent="0.3">
      <c r="A2" s="92">
        <v>1</v>
      </c>
      <c r="B2" s="93" t="s">
        <v>46</v>
      </c>
      <c r="C2" s="94" t="s">
        <v>47</v>
      </c>
      <c r="D2" s="95" t="s">
        <v>48</v>
      </c>
      <c r="E2" s="96"/>
      <c r="F2" s="97" t="s">
        <v>49</v>
      </c>
      <c r="G2" s="98" t="s">
        <v>50</v>
      </c>
      <c r="H2" s="99" t="s">
        <v>51</v>
      </c>
    </row>
    <row r="3" spans="1:8" s="100" customFormat="1" ht="126" customHeight="1" x14ac:dyDescent="0.3">
      <c r="A3" s="92">
        <v>2</v>
      </c>
      <c r="B3" s="93" t="s">
        <v>52</v>
      </c>
      <c r="C3" s="94" t="s">
        <v>53</v>
      </c>
      <c r="D3" s="95" t="s">
        <v>54</v>
      </c>
      <c r="E3" s="96"/>
      <c r="F3" s="101" t="s">
        <v>55</v>
      </c>
      <c r="G3" s="98" t="s">
        <v>50</v>
      </c>
      <c r="H3" s="99" t="s">
        <v>56</v>
      </c>
    </row>
    <row r="4" spans="1:8" s="100" customFormat="1" ht="171.6" customHeight="1" x14ac:dyDescent="0.3">
      <c r="A4" s="92">
        <v>3</v>
      </c>
      <c r="B4" s="93" t="s">
        <v>57</v>
      </c>
      <c r="C4" s="94" t="s">
        <v>58</v>
      </c>
      <c r="D4" s="95" t="s">
        <v>59</v>
      </c>
      <c r="E4" s="96"/>
      <c r="F4" s="101" t="s">
        <v>55</v>
      </c>
      <c r="G4" s="98" t="s">
        <v>50</v>
      </c>
      <c r="H4" s="99" t="s">
        <v>60</v>
      </c>
    </row>
    <row r="5" spans="1:8" s="100" customFormat="1" ht="171.6" customHeight="1" x14ac:dyDescent="0.3">
      <c r="A5" s="92">
        <v>4</v>
      </c>
      <c r="B5" s="93" t="s">
        <v>61</v>
      </c>
      <c r="C5" s="94" t="s">
        <v>62</v>
      </c>
      <c r="D5" s="95" t="s">
        <v>63</v>
      </c>
      <c r="E5" s="96"/>
      <c r="F5" s="101" t="s">
        <v>55</v>
      </c>
      <c r="G5" s="102" t="s">
        <v>64</v>
      </c>
      <c r="H5" s="99"/>
    </row>
    <row r="6" spans="1:8" s="100" customFormat="1" ht="73.95" customHeight="1" x14ac:dyDescent="0.3">
      <c r="A6" s="92">
        <v>5</v>
      </c>
      <c r="B6" s="93" t="s">
        <v>65</v>
      </c>
      <c r="C6" s="94" t="s">
        <v>66</v>
      </c>
      <c r="D6" s="95" t="s">
        <v>59</v>
      </c>
      <c r="E6" s="96"/>
      <c r="F6" s="101" t="s">
        <v>55</v>
      </c>
      <c r="G6" s="98" t="s">
        <v>50</v>
      </c>
      <c r="H6" s="99" t="s">
        <v>67</v>
      </c>
    </row>
    <row r="7" spans="1:8" s="100" customFormat="1" ht="89.4" customHeight="1" x14ac:dyDescent="0.3">
      <c r="A7" s="92">
        <v>6</v>
      </c>
      <c r="B7" s="93" t="s">
        <v>68</v>
      </c>
      <c r="C7" s="94" t="s">
        <v>69</v>
      </c>
      <c r="D7" s="95" t="s">
        <v>59</v>
      </c>
      <c r="E7" s="96">
        <v>45506</v>
      </c>
      <c r="F7" s="101"/>
      <c r="G7" s="103" t="s">
        <v>70</v>
      </c>
      <c r="H7" s="99"/>
    </row>
    <row r="8" spans="1:8" s="100" customFormat="1" ht="87" customHeight="1" x14ac:dyDescent="0.3">
      <c r="A8" s="92">
        <v>7</v>
      </c>
      <c r="B8" s="93" t="s">
        <v>71</v>
      </c>
      <c r="C8" s="94" t="s">
        <v>72</v>
      </c>
      <c r="D8" s="95" t="s">
        <v>73</v>
      </c>
      <c r="E8" s="96"/>
      <c r="F8" s="101" t="s">
        <v>55</v>
      </c>
      <c r="G8" s="98" t="s">
        <v>50</v>
      </c>
      <c r="H8" s="99"/>
    </row>
    <row r="9" spans="1:8" s="100" customFormat="1" ht="69" customHeight="1" x14ac:dyDescent="0.3">
      <c r="A9" s="92">
        <v>8</v>
      </c>
      <c r="B9" s="93" t="s">
        <v>74</v>
      </c>
      <c r="C9" s="104" t="s">
        <v>75</v>
      </c>
      <c r="D9" s="95" t="s">
        <v>54</v>
      </c>
      <c r="E9" s="96">
        <v>45531</v>
      </c>
      <c r="F9" s="101" t="s">
        <v>55</v>
      </c>
      <c r="G9" s="102" t="s">
        <v>64</v>
      </c>
      <c r="H9" s="99"/>
    </row>
    <row r="10" spans="1:8" s="100" customFormat="1" ht="63.6" customHeight="1" x14ac:dyDescent="0.3">
      <c r="A10" s="92">
        <v>9</v>
      </c>
      <c r="B10" s="93" t="s">
        <v>76</v>
      </c>
      <c r="C10" s="104" t="s">
        <v>77</v>
      </c>
      <c r="D10" s="95" t="s">
        <v>78</v>
      </c>
      <c r="E10" s="96">
        <v>45536</v>
      </c>
      <c r="F10" s="101"/>
      <c r="G10" s="98" t="s">
        <v>50</v>
      </c>
      <c r="H10" s="99"/>
    </row>
    <row r="11" spans="1:8" s="100" customFormat="1" ht="63.6" customHeight="1" x14ac:dyDescent="0.3">
      <c r="A11" s="92">
        <v>10</v>
      </c>
      <c r="B11" s="93" t="s">
        <v>79</v>
      </c>
      <c r="C11" s="104" t="s">
        <v>80</v>
      </c>
      <c r="D11" s="95" t="s">
        <v>81</v>
      </c>
      <c r="E11" s="96">
        <v>45545</v>
      </c>
      <c r="F11" s="101"/>
      <c r="G11" s="103" t="s">
        <v>70</v>
      </c>
      <c r="H11" s="99"/>
    </row>
    <row r="12" spans="1:8" s="100" customFormat="1" ht="63.6" customHeight="1" x14ac:dyDescent="0.3">
      <c r="A12" s="92">
        <v>11</v>
      </c>
      <c r="B12" s="93" t="s">
        <v>82</v>
      </c>
      <c r="C12" s="104" t="s">
        <v>83</v>
      </c>
      <c r="D12" s="95" t="s">
        <v>84</v>
      </c>
      <c r="E12" s="96">
        <v>45545</v>
      </c>
      <c r="F12" s="101"/>
      <c r="G12" s="102" t="s">
        <v>64</v>
      </c>
      <c r="H12" s="99"/>
    </row>
    <row r="13" spans="1:8" s="100" customFormat="1" ht="63.6" customHeight="1" x14ac:dyDescent="0.3">
      <c r="A13" s="92">
        <v>12</v>
      </c>
      <c r="B13" s="93" t="s">
        <v>85</v>
      </c>
      <c r="C13" s="105"/>
      <c r="D13" s="95" t="s">
        <v>86</v>
      </c>
      <c r="E13" s="96">
        <v>45551</v>
      </c>
      <c r="F13" s="101"/>
      <c r="G13" s="102" t="s">
        <v>64</v>
      </c>
      <c r="H13" s="99"/>
    </row>
    <row r="14" spans="1:8" s="100" customFormat="1" ht="48.6" customHeight="1" x14ac:dyDescent="0.3">
      <c r="A14" s="92">
        <v>13</v>
      </c>
      <c r="B14" s="93" t="s">
        <v>87</v>
      </c>
      <c r="C14" s="94" t="s">
        <v>88</v>
      </c>
      <c r="D14" s="95" t="s">
        <v>59</v>
      </c>
      <c r="E14" s="96">
        <v>45559</v>
      </c>
      <c r="F14" s="101" t="s">
        <v>55</v>
      </c>
      <c r="G14" s="98" t="s">
        <v>50</v>
      </c>
      <c r="H14" s="99" t="s">
        <v>89</v>
      </c>
    </row>
    <row r="15" spans="1:8" s="100" customFormat="1" ht="129" customHeight="1" x14ac:dyDescent="0.3">
      <c r="A15" s="92">
        <v>14</v>
      </c>
      <c r="B15" s="93" t="s">
        <v>90</v>
      </c>
      <c r="C15" s="94" t="s">
        <v>91</v>
      </c>
      <c r="D15" s="95" t="s">
        <v>59</v>
      </c>
      <c r="E15" s="96">
        <v>45559</v>
      </c>
      <c r="F15" s="101" t="s">
        <v>55</v>
      </c>
      <c r="G15" s="102" t="s">
        <v>64</v>
      </c>
      <c r="H15" s="106" t="s">
        <v>92</v>
      </c>
    </row>
    <row r="16" spans="1:8" s="100" customFormat="1" ht="39.6" customHeight="1" x14ac:dyDescent="0.3">
      <c r="A16" s="92">
        <v>15</v>
      </c>
      <c r="B16" s="93" t="s">
        <v>93</v>
      </c>
      <c r="C16" s="94" t="s">
        <v>94</v>
      </c>
      <c r="D16" s="95" t="s">
        <v>81</v>
      </c>
      <c r="E16" s="96">
        <v>45559</v>
      </c>
      <c r="F16" s="101"/>
      <c r="G16" s="103" t="s">
        <v>70</v>
      </c>
      <c r="H16" s="106" t="s">
        <v>95</v>
      </c>
    </row>
    <row r="17" spans="1:8" s="100" customFormat="1" ht="39.6" customHeight="1" x14ac:dyDescent="0.3">
      <c r="A17" s="92">
        <v>16</v>
      </c>
      <c r="B17" s="93" t="s">
        <v>96</v>
      </c>
      <c r="C17" s="94"/>
      <c r="D17" s="95" t="s">
        <v>81</v>
      </c>
      <c r="E17" s="96">
        <v>45559</v>
      </c>
      <c r="F17" s="101"/>
      <c r="G17" s="103" t="s">
        <v>70</v>
      </c>
      <c r="H17" s="106" t="s">
        <v>95</v>
      </c>
    </row>
    <row r="18" spans="1:8" s="100" customFormat="1" ht="33" customHeight="1" x14ac:dyDescent="0.3">
      <c r="A18" s="92">
        <v>17</v>
      </c>
      <c r="B18" s="93" t="s">
        <v>97</v>
      </c>
      <c r="C18" s="105"/>
      <c r="D18" s="95" t="s">
        <v>98</v>
      </c>
      <c r="E18" s="96">
        <v>45559</v>
      </c>
      <c r="F18" s="101"/>
      <c r="G18" s="98" t="s">
        <v>50</v>
      </c>
      <c r="H18" s="99"/>
    </row>
    <row r="19" spans="1:8" s="100" customFormat="1" ht="31.2" customHeight="1" x14ac:dyDescent="0.3">
      <c r="A19" s="92">
        <v>18</v>
      </c>
      <c r="B19" s="93" t="s">
        <v>99</v>
      </c>
      <c r="C19" s="105"/>
      <c r="D19" s="95" t="s">
        <v>100</v>
      </c>
      <c r="E19" s="96">
        <v>45566</v>
      </c>
      <c r="F19" s="101"/>
      <c r="G19" s="98" t="s">
        <v>50</v>
      </c>
      <c r="H19" s="99"/>
    </row>
    <row r="20" spans="1:8" ht="52.95" customHeight="1" x14ac:dyDescent="0.3">
      <c r="A20" s="92">
        <v>19</v>
      </c>
      <c r="B20" s="93" t="s">
        <v>101</v>
      </c>
      <c r="C20" s="94" t="s">
        <v>102</v>
      </c>
      <c r="D20" s="95" t="s">
        <v>54</v>
      </c>
      <c r="E20" s="96">
        <v>45566</v>
      </c>
      <c r="F20" s="101"/>
      <c r="G20" s="102" t="s">
        <v>64</v>
      </c>
      <c r="H20" s="99" t="s">
        <v>103</v>
      </c>
    </row>
    <row r="21" spans="1:8" s="100" customFormat="1" ht="36.6" customHeight="1" x14ac:dyDescent="0.3">
      <c r="A21" s="92">
        <v>20</v>
      </c>
      <c r="B21" s="93" t="s">
        <v>104</v>
      </c>
      <c r="C21" s="104" t="s">
        <v>105</v>
      </c>
      <c r="D21" s="95" t="s">
        <v>86</v>
      </c>
      <c r="E21" s="96">
        <v>45566</v>
      </c>
      <c r="F21" s="101"/>
      <c r="G21" s="98" t="s">
        <v>50</v>
      </c>
      <c r="H21" s="99"/>
    </row>
    <row r="22" spans="1:8" ht="77.400000000000006" customHeight="1" x14ac:dyDescent="0.3">
      <c r="A22" s="92">
        <v>21</v>
      </c>
      <c r="B22" s="93" t="s">
        <v>106</v>
      </c>
      <c r="C22" s="105"/>
      <c r="D22" s="95" t="s">
        <v>107</v>
      </c>
      <c r="E22" s="96">
        <v>45566</v>
      </c>
      <c r="F22" s="101"/>
      <c r="G22" s="102" t="s">
        <v>64</v>
      </c>
      <c r="H22" s="99"/>
    </row>
    <row r="23" spans="1:8" ht="82.95" customHeight="1" x14ac:dyDescent="0.3">
      <c r="A23" s="92">
        <v>22</v>
      </c>
      <c r="B23" s="93" t="s">
        <v>108</v>
      </c>
      <c r="C23" s="105"/>
      <c r="D23" s="95" t="s">
        <v>109</v>
      </c>
      <c r="E23" s="96">
        <v>45566</v>
      </c>
      <c r="F23" s="101"/>
      <c r="G23" s="102" t="s">
        <v>64</v>
      </c>
      <c r="H23" s="99"/>
    </row>
    <row r="24" spans="1:8" ht="82.2" customHeight="1" x14ac:dyDescent="0.3">
      <c r="A24" s="92">
        <v>23</v>
      </c>
      <c r="B24" s="93" t="s">
        <v>110</v>
      </c>
      <c r="C24" s="104" t="s">
        <v>111</v>
      </c>
      <c r="D24" s="95" t="s">
        <v>59</v>
      </c>
      <c r="E24" s="96">
        <v>45573</v>
      </c>
      <c r="F24" s="101"/>
      <c r="G24" s="98" t="s">
        <v>50</v>
      </c>
      <c r="H24" s="99" t="s">
        <v>112</v>
      </c>
    </row>
    <row r="25" spans="1:8" ht="78.599999999999994" customHeight="1" x14ac:dyDescent="0.3">
      <c r="A25" s="92">
        <v>24</v>
      </c>
      <c r="B25" s="93" t="s">
        <v>113</v>
      </c>
      <c r="C25" s="104" t="s">
        <v>114</v>
      </c>
      <c r="D25" s="95" t="s">
        <v>59</v>
      </c>
      <c r="E25" s="96">
        <v>45573</v>
      </c>
      <c r="F25" s="101"/>
      <c r="G25" s="102" t="s">
        <v>64</v>
      </c>
      <c r="H25" s="99" t="s">
        <v>115</v>
      </c>
    </row>
    <row r="26" spans="1:8" ht="158.4" x14ac:dyDescent="0.3">
      <c r="A26" s="92">
        <v>25</v>
      </c>
      <c r="B26" s="93" t="s">
        <v>116</v>
      </c>
      <c r="C26" s="105"/>
      <c r="D26" s="95" t="s">
        <v>86</v>
      </c>
      <c r="E26" s="96">
        <v>45573</v>
      </c>
      <c r="F26" s="101"/>
      <c r="G26" s="102" t="s">
        <v>64</v>
      </c>
      <c r="H26" s="99" t="s">
        <v>117</v>
      </c>
    </row>
    <row r="27" spans="1:8" ht="165" customHeight="1" x14ac:dyDescent="0.3">
      <c r="A27" s="92">
        <v>26</v>
      </c>
      <c r="B27" s="93" t="s">
        <v>118</v>
      </c>
      <c r="C27" s="105"/>
      <c r="D27" s="95" t="s">
        <v>86</v>
      </c>
      <c r="E27" s="96">
        <v>45573</v>
      </c>
      <c r="F27" s="101"/>
      <c r="G27" s="102" t="s">
        <v>64</v>
      </c>
      <c r="H27" s="99" t="s">
        <v>119</v>
      </c>
    </row>
    <row r="28" spans="1:8" ht="70.2" customHeight="1" x14ac:dyDescent="0.3">
      <c r="A28" s="92">
        <v>27</v>
      </c>
      <c r="B28" s="93" t="s">
        <v>120</v>
      </c>
      <c r="C28" s="105"/>
      <c r="D28" s="95" t="s">
        <v>86</v>
      </c>
      <c r="E28" s="96">
        <v>45573</v>
      </c>
      <c r="F28" s="101"/>
      <c r="G28" s="102" t="s">
        <v>64</v>
      </c>
      <c r="H28" s="99" t="s">
        <v>121</v>
      </c>
    </row>
    <row r="29" spans="1:8" ht="67.95" customHeight="1" x14ac:dyDescent="0.3">
      <c r="A29" s="92">
        <v>28</v>
      </c>
      <c r="B29" s="93" t="s">
        <v>122</v>
      </c>
      <c r="C29" s="105"/>
      <c r="D29" s="95" t="s">
        <v>86</v>
      </c>
      <c r="E29" s="96">
        <v>45573</v>
      </c>
      <c r="F29" s="101"/>
      <c r="G29" s="102" t="s">
        <v>64</v>
      </c>
      <c r="H29" s="99" t="s">
        <v>123</v>
      </c>
    </row>
    <row r="30" spans="1:8" ht="106.95" customHeight="1" x14ac:dyDescent="0.3">
      <c r="A30" s="92">
        <v>29</v>
      </c>
      <c r="B30" s="107" t="s">
        <v>124</v>
      </c>
      <c r="C30" s="104" t="s">
        <v>125</v>
      </c>
      <c r="D30" s="95" t="s">
        <v>84</v>
      </c>
      <c r="E30" s="96">
        <v>45581</v>
      </c>
      <c r="F30" s="101"/>
      <c r="G30" s="98" t="s">
        <v>50</v>
      </c>
      <c r="H30" s="99" t="s">
        <v>126</v>
      </c>
    </row>
    <row r="31" spans="1:8" ht="66.599999999999994" customHeight="1" x14ac:dyDescent="0.3">
      <c r="A31" s="92">
        <v>30</v>
      </c>
      <c r="B31" s="107" t="s">
        <v>127</v>
      </c>
      <c r="C31" s="104"/>
      <c r="D31" s="95"/>
      <c r="E31" s="96"/>
      <c r="F31" s="101"/>
      <c r="G31" s="98" t="s">
        <v>50</v>
      </c>
      <c r="H31" s="99" t="s">
        <v>128</v>
      </c>
    </row>
    <row r="32" spans="1:8" ht="74.400000000000006" customHeight="1" x14ac:dyDescent="0.3">
      <c r="A32" s="92">
        <v>31</v>
      </c>
      <c r="B32" s="107" t="s">
        <v>129</v>
      </c>
      <c r="C32" s="104"/>
      <c r="D32" s="95" t="s">
        <v>130</v>
      </c>
      <c r="E32" s="96">
        <v>45580</v>
      </c>
      <c r="F32" s="101"/>
      <c r="G32" s="102" t="s">
        <v>64</v>
      </c>
      <c r="H32" s="99" t="s">
        <v>131</v>
      </c>
    </row>
    <row r="33" spans="1:8" ht="54" customHeight="1" x14ac:dyDescent="0.3">
      <c r="A33" s="92">
        <v>32</v>
      </c>
      <c r="B33" s="107" t="s">
        <v>132</v>
      </c>
      <c r="C33" s="104"/>
      <c r="D33" s="95"/>
      <c r="E33" s="96"/>
      <c r="F33" s="101"/>
      <c r="G33" s="108" t="s">
        <v>133</v>
      </c>
      <c r="H33" s="99" t="s">
        <v>134</v>
      </c>
    </row>
    <row r="34" spans="1:8" ht="38.4" customHeight="1" x14ac:dyDescent="0.3">
      <c r="A34" s="92">
        <v>33</v>
      </c>
      <c r="B34" s="107" t="s">
        <v>135</v>
      </c>
      <c r="C34" s="104"/>
      <c r="D34" s="95"/>
      <c r="E34" s="96"/>
      <c r="F34" s="101"/>
      <c r="G34" s="109" t="s">
        <v>136</v>
      </c>
      <c r="H34" s="99"/>
    </row>
    <row r="35" spans="1:8" ht="40.200000000000003" customHeight="1" x14ac:dyDescent="0.3">
      <c r="A35" s="92">
        <v>34</v>
      </c>
      <c r="B35" s="107" t="s">
        <v>137</v>
      </c>
      <c r="C35" s="104"/>
      <c r="D35" s="95"/>
      <c r="E35" s="96"/>
      <c r="F35" s="101"/>
      <c r="G35" s="109" t="s">
        <v>136</v>
      </c>
      <c r="H35" s="99"/>
    </row>
    <row r="36" spans="1:8" ht="104.4" customHeight="1" x14ac:dyDescent="0.3">
      <c r="A36" s="92">
        <v>35</v>
      </c>
      <c r="B36" s="107" t="s">
        <v>138</v>
      </c>
      <c r="C36" s="104"/>
      <c r="D36" s="95"/>
      <c r="E36" s="96"/>
      <c r="F36" s="101"/>
      <c r="G36" s="109" t="s">
        <v>136</v>
      </c>
      <c r="H36" s="99"/>
    </row>
    <row r="37" spans="1:8" ht="126.6" customHeight="1" x14ac:dyDescent="0.3">
      <c r="A37" s="92">
        <v>36</v>
      </c>
      <c r="B37" s="107" t="s">
        <v>139</v>
      </c>
      <c r="C37" s="104" t="s">
        <v>140</v>
      </c>
      <c r="D37" s="95"/>
      <c r="E37" s="96"/>
      <c r="F37" s="101"/>
      <c r="G37" s="109" t="s">
        <v>136</v>
      </c>
      <c r="H37" s="99"/>
    </row>
    <row r="38" spans="1:8" ht="57.6" customHeight="1" x14ac:dyDescent="0.3">
      <c r="A38" s="92">
        <v>37</v>
      </c>
      <c r="B38" s="107" t="s">
        <v>141</v>
      </c>
      <c r="C38" s="104" t="s">
        <v>142</v>
      </c>
      <c r="D38" s="95" t="s">
        <v>86</v>
      </c>
      <c r="E38" s="96">
        <v>45587</v>
      </c>
      <c r="F38" s="101"/>
      <c r="G38" s="102" t="s">
        <v>64</v>
      </c>
      <c r="H38" s="99"/>
    </row>
    <row r="39" spans="1:8" ht="38.4" customHeight="1" x14ac:dyDescent="0.3">
      <c r="A39" s="92">
        <v>38</v>
      </c>
      <c r="B39" s="107" t="s">
        <v>143</v>
      </c>
      <c r="C39" s="104" t="s">
        <v>144</v>
      </c>
      <c r="D39" s="95" t="s">
        <v>145</v>
      </c>
      <c r="E39" s="96">
        <v>45594</v>
      </c>
      <c r="F39" s="101"/>
      <c r="G39" s="102" t="s">
        <v>64</v>
      </c>
      <c r="H39" s="99"/>
    </row>
    <row r="40" spans="1:8" ht="55.95" customHeight="1" x14ac:dyDescent="0.3">
      <c r="A40" s="92">
        <v>39</v>
      </c>
      <c r="B40" s="107" t="s">
        <v>146</v>
      </c>
      <c r="C40" s="104"/>
      <c r="D40" s="95" t="s">
        <v>86</v>
      </c>
      <c r="E40" s="96">
        <v>45601</v>
      </c>
      <c r="F40" s="101"/>
      <c r="G40" s="102" t="s">
        <v>64</v>
      </c>
      <c r="H40" s="99"/>
    </row>
    <row r="41" spans="1:8" ht="55.95" customHeight="1" x14ac:dyDescent="0.3">
      <c r="A41" s="92">
        <v>40</v>
      </c>
      <c r="B41" s="107" t="s">
        <v>147</v>
      </c>
      <c r="C41" s="104" t="s">
        <v>148</v>
      </c>
      <c r="D41" s="95" t="s">
        <v>86</v>
      </c>
      <c r="E41" s="96">
        <v>45601</v>
      </c>
      <c r="F41" s="101"/>
      <c r="G41" s="102" t="s">
        <v>64</v>
      </c>
      <c r="H41" s="99"/>
    </row>
    <row r="42" spans="1:8" ht="79.2" customHeight="1" x14ac:dyDescent="0.3">
      <c r="A42" s="92">
        <v>41</v>
      </c>
      <c r="B42" s="107" t="s">
        <v>149</v>
      </c>
      <c r="C42" s="104" t="s">
        <v>150</v>
      </c>
      <c r="D42" s="95" t="s">
        <v>145</v>
      </c>
      <c r="E42" s="96">
        <v>45635</v>
      </c>
      <c r="F42" s="101"/>
      <c r="G42" s="110" t="s">
        <v>151</v>
      </c>
      <c r="H42" s="99"/>
    </row>
    <row r="43" spans="1:8" ht="79.2" customHeight="1" x14ac:dyDescent="0.3">
      <c r="A43" s="92">
        <v>42</v>
      </c>
      <c r="B43" s="107" t="s">
        <v>152</v>
      </c>
      <c r="C43" s="104" t="s">
        <v>153</v>
      </c>
      <c r="D43" s="95" t="s">
        <v>145</v>
      </c>
      <c r="E43" s="96">
        <v>45635</v>
      </c>
      <c r="F43" s="101"/>
      <c r="G43" s="110" t="s">
        <v>151</v>
      </c>
      <c r="H43" s="99"/>
    </row>
    <row r="44" spans="1:8" ht="79.2" customHeight="1" x14ac:dyDescent="0.3">
      <c r="A44" s="92">
        <v>43</v>
      </c>
      <c r="B44" s="107" t="s">
        <v>154</v>
      </c>
      <c r="C44" s="104" t="s">
        <v>155</v>
      </c>
      <c r="D44" s="95" t="s">
        <v>59</v>
      </c>
      <c r="E44" s="96">
        <v>45635</v>
      </c>
      <c r="F44" s="101"/>
      <c r="G44" s="110" t="s">
        <v>151</v>
      </c>
      <c r="H44" s="99"/>
    </row>
    <row r="45" spans="1:8" ht="96.6" customHeight="1" x14ac:dyDescent="0.3">
      <c r="A45" s="92">
        <v>44</v>
      </c>
      <c r="B45" s="107" t="s">
        <v>156</v>
      </c>
      <c r="C45" s="104" t="s">
        <v>157</v>
      </c>
      <c r="D45" s="95" t="s">
        <v>59</v>
      </c>
      <c r="E45" s="96">
        <v>45635</v>
      </c>
      <c r="F45" s="101"/>
      <c r="G45" s="110" t="s">
        <v>151</v>
      </c>
      <c r="H45" s="99"/>
    </row>
    <row r="46" spans="1:8" ht="79.2" customHeight="1" x14ac:dyDescent="0.3">
      <c r="A46" s="92">
        <v>45</v>
      </c>
      <c r="B46" s="107" t="s">
        <v>158</v>
      </c>
      <c r="C46" s="104" t="s">
        <v>159</v>
      </c>
      <c r="D46" s="95" t="s">
        <v>160</v>
      </c>
      <c r="E46" s="96">
        <v>45635</v>
      </c>
      <c r="F46" s="101"/>
      <c r="G46" s="110" t="s">
        <v>151</v>
      </c>
      <c r="H46" s="99"/>
    </row>
    <row r="47" spans="1:8" ht="143.4" customHeight="1" x14ac:dyDescent="0.3">
      <c r="A47" s="92">
        <v>46</v>
      </c>
      <c r="B47" s="107" t="s">
        <v>161</v>
      </c>
      <c r="C47" s="104" t="s">
        <v>162</v>
      </c>
      <c r="D47" s="95" t="s">
        <v>63</v>
      </c>
      <c r="E47" s="96">
        <v>45635</v>
      </c>
      <c r="F47" s="101"/>
      <c r="G47" s="110" t="s">
        <v>151</v>
      </c>
      <c r="H47" s="99"/>
    </row>
  </sheetData>
  <autoFilter ref="A1:H1" xr:uid="{A071FB4C-76F0-4916-806B-ADC79EED9ABD}"/>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A23B8-8839-410A-95E0-097CF32B133C}">
  <sheetPr>
    <pageSetUpPr fitToPage="1"/>
  </sheetPr>
  <dimension ref="A1:T44"/>
  <sheetViews>
    <sheetView showGridLines="0" workbookViewId="0">
      <pane xSplit="1" ySplit="4" topLeftCell="B28" activePane="bottomRight" state="frozen"/>
      <selection pane="topRight" activeCell="B1" sqref="B1"/>
      <selection pane="bottomLeft" activeCell="A5" sqref="A5"/>
      <selection pane="bottomRight" activeCell="C5" sqref="C5:R5"/>
    </sheetView>
  </sheetViews>
  <sheetFormatPr baseColWidth="10" defaultRowHeight="14.4" x14ac:dyDescent="0.3"/>
  <cols>
    <col min="1" max="1" width="3.6640625" customWidth="1"/>
    <col min="2" max="2" width="12.33203125" customWidth="1"/>
    <col min="3" max="3" width="7.5546875" customWidth="1"/>
    <col min="4" max="4" width="7.88671875" bestFit="1" customWidth="1"/>
    <col min="5" max="16" width="7.5546875" customWidth="1"/>
    <col min="17" max="17" width="7.88671875" customWidth="1"/>
    <col min="18" max="18" width="11.6640625" customWidth="1"/>
    <col min="19" max="19" width="53.5546875" hidden="1" customWidth="1"/>
    <col min="20" max="20" width="6.5546875" customWidth="1"/>
    <col min="21" max="21" width="47.6640625" bestFit="1" customWidth="1"/>
  </cols>
  <sheetData>
    <row r="1" spans="1:19" ht="34.200000000000003" thickBot="1" x14ac:dyDescent="0.35">
      <c r="A1" s="461" t="s">
        <v>35</v>
      </c>
      <c r="B1" s="461"/>
      <c r="C1" s="461"/>
      <c r="D1" s="461"/>
      <c r="E1" s="461"/>
      <c r="F1" s="461"/>
      <c r="G1" s="461"/>
      <c r="H1" s="461"/>
      <c r="I1" s="461"/>
      <c r="J1" s="461"/>
      <c r="K1" s="461"/>
      <c r="L1" s="462"/>
      <c r="M1" s="463" t="s">
        <v>0</v>
      </c>
      <c r="N1" s="463"/>
      <c r="O1" s="463"/>
      <c r="P1" s="463"/>
      <c r="Q1" s="463"/>
      <c r="R1" s="1">
        <v>0</v>
      </c>
      <c r="S1" s="2"/>
    </row>
    <row r="2" spans="1:19" ht="14.4" customHeight="1" x14ac:dyDescent="0.3">
      <c r="A2" s="464" t="s">
        <v>1</v>
      </c>
      <c r="B2" s="465"/>
      <c r="C2" s="466" t="s">
        <v>2</v>
      </c>
      <c r="D2" s="467"/>
      <c r="E2" s="466" t="s">
        <v>3</v>
      </c>
      <c r="F2" s="467"/>
      <c r="G2" s="466" t="s">
        <v>4</v>
      </c>
      <c r="H2" s="467"/>
      <c r="I2" s="466" t="s">
        <v>5</v>
      </c>
      <c r="J2" s="467"/>
      <c r="K2" s="466" t="s">
        <v>6</v>
      </c>
      <c r="L2" s="467"/>
      <c r="M2" s="466" t="s">
        <v>7</v>
      </c>
      <c r="N2" s="467"/>
      <c r="O2" s="466" t="s">
        <v>8</v>
      </c>
      <c r="P2" s="467"/>
      <c r="Q2" s="466" t="s">
        <v>9</v>
      </c>
      <c r="R2" s="468"/>
      <c r="S2" s="443" t="s">
        <v>10</v>
      </c>
    </row>
    <row r="3" spans="1:19" ht="15" thickBot="1" x14ac:dyDescent="0.35">
      <c r="A3" s="445" t="s">
        <v>11</v>
      </c>
      <c r="B3" s="446"/>
      <c r="C3" s="3" t="s">
        <v>13</v>
      </c>
      <c r="D3" s="4" t="s">
        <v>12</v>
      </c>
      <c r="E3" s="3" t="s">
        <v>13</v>
      </c>
      <c r="F3" s="4" t="s">
        <v>12</v>
      </c>
      <c r="G3" s="3" t="s">
        <v>13</v>
      </c>
      <c r="H3" s="4" t="s">
        <v>12</v>
      </c>
      <c r="I3" s="3" t="s">
        <v>13</v>
      </c>
      <c r="J3" s="4" t="s">
        <v>12</v>
      </c>
      <c r="K3" s="3" t="s">
        <v>13</v>
      </c>
      <c r="L3" s="4" t="s">
        <v>12</v>
      </c>
      <c r="M3" s="3" t="s">
        <v>13</v>
      </c>
      <c r="N3" s="4" t="s">
        <v>12</v>
      </c>
      <c r="O3" s="3" t="s">
        <v>13</v>
      </c>
      <c r="P3" s="4" t="s">
        <v>12</v>
      </c>
      <c r="Q3" s="5" t="s">
        <v>13</v>
      </c>
      <c r="R3" s="6" t="s">
        <v>14</v>
      </c>
      <c r="S3" s="444"/>
    </row>
    <row r="4" spans="1:19" ht="14.4" customHeight="1" x14ac:dyDescent="0.3">
      <c r="A4" s="447" t="s">
        <v>15</v>
      </c>
      <c r="B4" s="448"/>
      <c r="C4" s="7">
        <v>600</v>
      </c>
      <c r="D4" s="8">
        <f>D42/20</f>
        <v>0</v>
      </c>
      <c r="E4" s="9">
        <v>400</v>
      </c>
      <c r="F4" s="8">
        <f>F42/20</f>
        <v>0</v>
      </c>
      <c r="G4" s="9">
        <v>250</v>
      </c>
      <c r="H4" s="8">
        <f>H42/20</f>
        <v>0</v>
      </c>
      <c r="I4" s="9">
        <v>600</v>
      </c>
      <c r="J4" s="8">
        <f>J42/20</f>
        <v>0</v>
      </c>
      <c r="K4" s="9">
        <v>600</v>
      </c>
      <c r="L4" s="8">
        <f>L42/20</f>
        <v>0</v>
      </c>
      <c r="M4" s="9">
        <v>600</v>
      </c>
      <c r="N4" s="8">
        <f>N42/20</f>
        <v>0</v>
      </c>
      <c r="O4" s="9">
        <v>0</v>
      </c>
      <c r="P4" s="8">
        <v>0</v>
      </c>
      <c r="Q4" s="7">
        <f>Q42/20</f>
        <v>600</v>
      </c>
      <c r="R4" s="10"/>
      <c r="S4" s="444"/>
    </row>
    <row r="5" spans="1:19" x14ac:dyDescent="0.3">
      <c r="A5" s="33">
        <v>1</v>
      </c>
      <c r="B5" s="34" t="s">
        <v>17</v>
      </c>
      <c r="C5" s="35" t="s">
        <v>36</v>
      </c>
      <c r="D5" s="31" t="s">
        <v>36</v>
      </c>
      <c r="E5" s="35" t="s">
        <v>36</v>
      </c>
      <c r="F5" s="31" t="s">
        <v>36</v>
      </c>
      <c r="G5" s="35" t="s">
        <v>36</v>
      </c>
      <c r="H5" s="31" t="s">
        <v>36</v>
      </c>
      <c r="I5" s="35" t="s">
        <v>36</v>
      </c>
      <c r="J5" s="31" t="s">
        <v>36</v>
      </c>
      <c r="K5" s="35" t="s">
        <v>36</v>
      </c>
      <c r="L5" s="31" t="s">
        <v>36</v>
      </c>
      <c r="M5" s="35" t="s">
        <v>36</v>
      </c>
      <c r="N5" s="31" t="s">
        <v>36</v>
      </c>
      <c r="O5" s="35" t="s">
        <v>36</v>
      </c>
      <c r="P5" s="31" t="s">
        <v>36</v>
      </c>
      <c r="Q5" s="36" t="s">
        <v>36</v>
      </c>
      <c r="R5" s="37" t="s">
        <v>36</v>
      </c>
      <c r="S5" s="28"/>
    </row>
    <row r="6" spans="1:19" x14ac:dyDescent="0.3">
      <c r="A6" s="20">
        <v>2</v>
      </c>
      <c r="B6" s="21" t="s">
        <v>18</v>
      </c>
      <c r="C6" s="22">
        <v>1</v>
      </c>
      <c r="D6" s="24">
        <v>17</v>
      </c>
      <c r="E6" s="22"/>
      <c r="F6" s="24"/>
      <c r="G6" s="22"/>
      <c r="H6" s="24"/>
      <c r="I6" s="22">
        <v>1</v>
      </c>
      <c r="J6" s="24"/>
      <c r="K6" s="25">
        <v>392</v>
      </c>
      <c r="L6" s="23">
        <v>180</v>
      </c>
      <c r="M6" s="25">
        <v>252</v>
      </c>
      <c r="N6" s="23"/>
      <c r="O6" s="25"/>
      <c r="P6" s="23"/>
      <c r="Q6" s="26">
        <v>48</v>
      </c>
      <c r="R6" s="27">
        <v>988629</v>
      </c>
      <c r="S6" s="28"/>
    </row>
    <row r="7" spans="1:19" x14ac:dyDescent="0.3">
      <c r="A7" s="29">
        <v>3</v>
      </c>
      <c r="B7" s="30" t="s">
        <v>19</v>
      </c>
      <c r="C7" s="22"/>
      <c r="D7" s="24"/>
      <c r="E7" s="22"/>
      <c r="F7" s="24"/>
      <c r="G7" s="22">
        <v>715</v>
      </c>
      <c r="H7" s="23"/>
      <c r="I7" s="22">
        <v>590</v>
      </c>
      <c r="J7" s="24"/>
      <c r="K7" s="25"/>
      <c r="L7" s="23"/>
      <c r="M7" s="25">
        <v>350</v>
      </c>
      <c r="N7" s="23"/>
      <c r="O7" s="25"/>
      <c r="P7" s="23"/>
      <c r="Q7" s="26">
        <v>17</v>
      </c>
      <c r="R7" s="27">
        <v>459302</v>
      </c>
      <c r="S7" s="32"/>
    </row>
    <row r="8" spans="1:19" x14ac:dyDescent="0.3">
      <c r="A8" s="33">
        <v>4</v>
      </c>
      <c r="B8" s="34" t="s">
        <v>20</v>
      </c>
      <c r="C8" s="35">
        <v>381</v>
      </c>
      <c r="D8" s="31"/>
      <c r="E8" s="35"/>
      <c r="F8" s="31"/>
      <c r="G8" s="35"/>
      <c r="H8" s="31"/>
      <c r="I8" s="35"/>
      <c r="J8" s="31"/>
      <c r="K8" s="35"/>
      <c r="L8" s="31"/>
      <c r="M8" s="35"/>
      <c r="N8" s="31"/>
      <c r="O8" s="35"/>
      <c r="P8" s="31"/>
      <c r="Q8" s="36"/>
      <c r="R8" s="37"/>
      <c r="S8" s="32"/>
    </row>
    <row r="9" spans="1:19" x14ac:dyDescent="0.3">
      <c r="A9" s="33">
        <v>5</v>
      </c>
      <c r="B9" s="34" t="s">
        <v>21</v>
      </c>
      <c r="C9" s="35"/>
      <c r="D9" s="31"/>
      <c r="E9" s="35"/>
      <c r="F9" s="31"/>
      <c r="G9" s="35"/>
      <c r="H9" s="31"/>
      <c r="I9" s="35"/>
      <c r="J9" s="31"/>
      <c r="K9" s="35"/>
      <c r="L9" s="31"/>
      <c r="M9" s="35"/>
      <c r="N9" s="31"/>
      <c r="O9" s="35"/>
      <c r="P9" s="31"/>
      <c r="Q9" s="36"/>
      <c r="R9" s="37"/>
      <c r="S9" s="32"/>
    </row>
    <row r="10" spans="1:19" ht="15" thickBot="1" x14ac:dyDescent="0.35">
      <c r="A10" s="449" t="s">
        <v>22</v>
      </c>
      <c r="B10" s="450"/>
      <c r="C10" s="38">
        <f t="shared" ref="C10:N10" si="0">SUM(C5:C9)</f>
        <v>382</v>
      </c>
      <c r="D10" s="39">
        <f t="shared" si="0"/>
        <v>17</v>
      </c>
      <c r="E10" s="38">
        <f t="shared" si="0"/>
        <v>0</v>
      </c>
      <c r="F10" s="39">
        <f t="shared" si="0"/>
        <v>0</v>
      </c>
      <c r="G10" s="38">
        <f t="shared" si="0"/>
        <v>715</v>
      </c>
      <c r="H10" s="39">
        <f t="shared" si="0"/>
        <v>0</v>
      </c>
      <c r="I10" s="38">
        <f t="shared" si="0"/>
        <v>591</v>
      </c>
      <c r="J10" s="39">
        <f t="shared" si="0"/>
        <v>0</v>
      </c>
      <c r="K10" s="38">
        <f t="shared" si="0"/>
        <v>392</v>
      </c>
      <c r="L10" s="39">
        <f t="shared" si="0"/>
        <v>180</v>
      </c>
      <c r="M10" s="38">
        <f t="shared" si="0"/>
        <v>602</v>
      </c>
      <c r="N10" s="39">
        <f t="shared" si="0"/>
        <v>0</v>
      </c>
      <c r="O10" s="38"/>
      <c r="P10" s="39"/>
      <c r="Q10" s="40">
        <f>SUM(Q5:Q9)</f>
        <v>65</v>
      </c>
      <c r="R10" s="41">
        <f>SUM(R5:R9)</f>
        <v>1447931</v>
      </c>
      <c r="S10" s="42"/>
    </row>
    <row r="11" spans="1:19" x14ac:dyDescent="0.3">
      <c r="A11" s="11">
        <v>6</v>
      </c>
      <c r="B11" s="12" t="s">
        <v>16</v>
      </c>
      <c r="C11" s="13"/>
      <c r="D11" s="14"/>
      <c r="E11" s="13">
        <v>604</v>
      </c>
      <c r="F11" s="14">
        <v>8</v>
      </c>
      <c r="G11" s="13">
        <v>977</v>
      </c>
      <c r="H11" s="14"/>
      <c r="I11" s="13">
        <v>1080</v>
      </c>
      <c r="J11" s="14"/>
      <c r="K11" s="15"/>
      <c r="L11" s="16"/>
      <c r="M11" s="25">
        <v>54</v>
      </c>
      <c r="N11" s="16"/>
      <c r="O11" s="15"/>
      <c r="P11" s="16"/>
      <c r="Q11" s="17">
        <v>741</v>
      </c>
      <c r="R11" s="18">
        <v>10273556</v>
      </c>
      <c r="S11" s="19"/>
    </row>
    <row r="12" spans="1:19" x14ac:dyDescent="0.3">
      <c r="A12" s="20">
        <v>7</v>
      </c>
      <c r="B12" s="21" t="s">
        <v>17</v>
      </c>
      <c r="C12" s="22"/>
      <c r="D12" s="23"/>
      <c r="E12" s="22"/>
      <c r="F12" s="24"/>
      <c r="G12" s="22">
        <v>715</v>
      </c>
      <c r="H12" s="24"/>
      <c r="I12" s="22"/>
      <c r="J12" s="24"/>
      <c r="K12" s="25"/>
      <c r="L12" s="23"/>
      <c r="M12" s="25">
        <v>292</v>
      </c>
      <c r="N12" s="23"/>
      <c r="O12" s="25"/>
      <c r="P12" s="23"/>
      <c r="Q12" s="26">
        <v>202</v>
      </c>
      <c r="R12" s="27">
        <v>1771805</v>
      </c>
      <c r="S12" s="28"/>
    </row>
    <row r="13" spans="1:19" x14ac:dyDescent="0.3">
      <c r="A13" s="20">
        <v>8</v>
      </c>
      <c r="B13" s="21" t="s">
        <v>17</v>
      </c>
      <c r="C13" s="22">
        <v>206</v>
      </c>
      <c r="D13" s="24"/>
      <c r="E13" s="22"/>
      <c r="F13" s="24">
        <v>5</v>
      </c>
      <c r="G13" s="22"/>
      <c r="H13" s="24"/>
      <c r="I13" s="22"/>
      <c r="J13" s="24"/>
      <c r="K13" s="25"/>
      <c r="L13" s="23"/>
      <c r="M13" s="25"/>
      <c r="N13" s="23">
        <v>172</v>
      </c>
      <c r="O13" s="25"/>
      <c r="P13" s="23"/>
      <c r="Q13" s="26">
        <v>6</v>
      </c>
      <c r="R13" s="27">
        <v>177475</v>
      </c>
      <c r="S13" s="28"/>
    </row>
    <row r="14" spans="1:19" x14ac:dyDescent="0.3">
      <c r="A14" s="20">
        <v>9</v>
      </c>
      <c r="B14" s="21" t="s">
        <v>18</v>
      </c>
      <c r="C14" s="22"/>
      <c r="D14" s="24"/>
      <c r="E14" s="22"/>
      <c r="F14" s="24">
        <v>21</v>
      </c>
      <c r="G14" s="22"/>
      <c r="H14" s="24"/>
      <c r="I14" s="22">
        <v>715</v>
      </c>
      <c r="J14" s="24"/>
      <c r="K14" s="25"/>
      <c r="L14" s="23"/>
      <c r="M14" s="25"/>
      <c r="N14" s="23"/>
      <c r="O14" s="25"/>
      <c r="P14" s="23"/>
      <c r="Q14" s="36">
        <v>-19</v>
      </c>
      <c r="R14" s="37">
        <v>-772936</v>
      </c>
      <c r="S14" s="28"/>
    </row>
    <row r="15" spans="1:19" x14ac:dyDescent="0.3">
      <c r="A15" s="29">
        <v>10</v>
      </c>
      <c r="B15" s="30" t="s">
        <v>19</v>
      </c>
      <c r="C15" s="22">
        <v>601</v>
      </c>
      <c r="D15" s="24"/>
      <c r="E15" s="22"/>
      <c r="F15" s="24"/>
      <c r="G15" s="22"/>
      <c r="H15" s="31"/>
      <c r="I15" s="22"/>
      <c r="J15" s="24"/>
      <c r="K15" s="25"/>
      <c r="L15" s="23">
        <v>16</v>
      </c>
      <c r="M15" s="43"/>
      <c r="N15" s="23"/>
      <c r="O15" s="25"/>
      <c r="P15" s="23"/>
      <c r="Q15" s="26">
        <v>103</v>
      </c>
      <c r="R15" s="27">
        <v>2528721</v>
      </c>
      <c r="S15" s="32"/>
    </row>
    <row r="16" spans="1:19" x14ac:dyDescent="0.3">
      <c r="A16" s="33">
        <v>11</v>
      </c>
      <c r="B16" s="34" t="s">
        <v>20</v>
      </c>
      <c r="C16" s="35"/>
      <c r="D16" s="31"/>
      <c r="E16" s="35"/>
      <c r="F16" s="31"/>
      <c r="G16" s="35"/>
      <c r="H16" s="31"/>
      <c r="I16" s="35"/>
      <c r="J16" s="31"/>
      <c r="K16" s="35"/>
      <c r="L16" s="31"/>
      <c r="M16" s="35"/>
      <c r="N16" s="31"/>
      <c r="O16" s="35"/>
      <c r="P16" s="31"/>
      <c r="Q16" s="36"/>
      <c r="R16" s="37"/>
      <c r="S16" s="32"/>
    </row>
    <row r="17" spans="1:20" x14ac:dyDescent="0.3">
      <c r="A17" s="44">
        <v>12</v>
      </c>
      <c r="B17" s="45" t="s">
        <v>21</v>
      </c>
      <c r="C17" s="22"/>
      <c r="D17" s="31"/>
      <c r="E17" s="22"/>
      <c r="F17" s="31"/>
      <c r="G17" s="22"/>
      <c r="H17" s="31"/>
      <c r="I17" s="22"/>
      <c r="J17" s="31"/>
      <c r="K17" s="25"/>
      <c r="L17" s="31"/>
      <c r="M17" s="25"/>
      <c r="N17" s="31"/>
      <c r="O17" s="25"/>
      <c r="P17" s="31"/>
      <c r="Q17" s="26"/>
      <c r="R17" s="37"/>
      <c r="S17" s="28"/>
    </row>
    <row r="18" spans="1:20" ht="15" thickBot="1" x14ac:dyDescent="0.35">
      <c r="A18" s="449" t="s">
        <v>23</v>
      </c>
      <c r="B18" s="450"/>
      <c r="C18" s="38">
        <f>SUM(C11:C17)</f>
        <v>807</v>
      </c>
      <c r="D18" s="39">
        <f t="shared" ref="D18:Q18" si="1">SUM(D11:D17)</f>
        <v>0</v>
      </c>
      <c r="E18" s="38">
        <f t="shared" si="1"/>
        <v>604</v>
      </c>
      <c r="F18" s="39">
        <f t="shared" si="1"/>
        <v>34</v>
      </c>
      <c r="G18" s="38">
        <f t="shared" si="1"/>
        <v>1692</v>
      </c>
      <c r="H18" s="39">
        <f t="shared" si="1"/>
        <v>0</v>
      </c>
      <c r="I18" s="38">
        <f t="shared" si="1"/>
        <v>1795</v>
      </c>
      <c r="J18" s="39">
        <f t="shared" si="1"/>
        <v>0</v>
      </c>
      <c r="K18" s="38">
        <f t="shared" si="1"/>
        <v>0</v>
      </c>
      <c r="L18" s="39">
        <f t="shared" si="1"/>
        <v>16</v>
      </c>
      <c r="M18" s="38">
        <f>SUM(M11:M17)</f>
        <v>346</v>
      </c>
      <c r="N18" s="39">
        <f t="shared" si="1"/>
        <v>172</v>
      </c>
      <c r="O18" s="38">
        <f t="shared" si="1"/>
        <v>0</v>
      </c>
      <c r="P18" s="39">
        <f t="shared" si="1"/>
        <v>0</v>
      </c>
      <c r="Q18" s="40">
        <f t="shared" si="1"/>
        <v>1033</v>
      </c>
      <c r="R18" s="41">
        <f>SUM(R11:R17)</f>
        <v>13978621</v>
      </c>
      <c r="S18" s="46"/>
    </row>
    <row r="19" spans="1:20" x14ac:dyDescent="0.3">
      <c r="A19" s="47">
        <v>13</v>
      </c>
      <c r="B19" s="48" t="s">
        <v>16</v>
      </c>
      <c r="C19" s="49">
        <v>673</v>
      </c>
      <c r="D19" s="50"/>
      <c r="E19" s="49"/>
      <c r="F19" s="50">
        <v>20</v>
      </c>
      <c r="G19" s="49"/>
      <c r="H19" s="50"/>
      <c r="I19" s="49">
        <v>262</v>
      </c>
      <c r="J19" s="51"/>
      <c r="K19" s="52">
        <v>750</v>
      </c>
      <c r="L19" s="51">
        <v>83</v>
      </c>
      <c r="M19" s="52"/>
      <c r="N19" s="51"/>
      <c r="O19" s="52"/>
      <c r="P19" s="51"/>
      <c r="Q19" s="84">
        <v>1</v>
      </c>
      <c r="R19" s="85">
        <v>-297807</v>
      </c>
      <c r="S19" s="53"/>
    </row>
    <row r="20" spans="1:20" x14ac:dyDescent="0.3">
      <c r="A20" s="20">
        <v>14</v>
      </c>
      <c r="B20" s="21" t="s">
        <v>17</v>
      </c>
      <c r="C20" s="22">
        <v>300</v>
      </c>
      <c r="D20" s="24"/>
      <c r="E20" s="22"/>
      <c r="F20" s="24"/>
      <c r="G20" s="22"/>
      <c r="H20" s="24"/>
      <c r="I20" s="22">
        <v>643</v>
      </c>
      <c r="J20" s="23"/>
      <c r="K20" s="25">
        <v>164</v>
      </c>
      <c r="L20" s="23"/>
      <c r="M20" s="25"/>
      <c r="N20" s="23"/>
      <c r="O20" s="25"/>
      <c r="P20" s="23"/>
      <c r="Q20" s="36">
        <v>0</v>
      </c>
      <c r="R20" s="37">
        <v>0</v>
      </c>
      <c r="S20" s="54" t="s">
        <v>24</v>
      </c>
    </row>
    <row r="21" spans="1:20" x14ac:dyDescent="0.3">
      <c r="A21" s="20">
        <v>15</v>
      </c>
      <c r="B21" s="21" t="s">
        <v>17</v>
      </c>
      <c r="C21" s="22"/>
      <c r="D21" s="24">
        <v>1</v>
      </c>
      <c r="E21" s="22">
        <v>7</v>
      </c>
      <c r="F21" s="24">
        <v>3</v>
      </c>
      <c r="G21" s="22"/>
      <c r="H21" s="24"/>
      <c r="I21" s="22">
        <v>266</v>
      </c>
      <c r="J21" s="24"/>
      <c r="K21" s="25">
        <v>1</v>
      </c>
      <c r="L21" s="23">
        <v>2</v>
      </c>
      <c r="M21" s="25">
        <v>1</v>
      </c>
      <c r="N21" s="23"/>
      <c r="O21" s="25"/>
      <c r="P21" s="23"/>
      <c r="Q21" s="26">
        <v>0</v>
      </c>
      <c r="R21" s="27">
        <v>0</v>
      </c>
      <c r="S21" s="54"/>
    </row>
    <row r="22" spans="1:20" x14ac:dyDescent="0.3">
      <c r="A22" s="20">
        <v>16</v>
      </c>
      <c r="B22" s="21" t="s">
        <v>18</v>
      </c>
      <c r="C22" s="22"/>
      <c r="D22" s="24"/>
      <c r="E22" s="22">
        <v>4</v>
      </c>
      <c r="F22" s="24">
        <v>3</v>
      </c>
      <c r="G22" s="22"/>
      <c r="H22" s="24"/>
      <c r="I22" s="22">
        <v>241</v>
      </c>
      <c r="J22" s="24"/>
      <c r="K22" s="25">
        <v>1</v>
      </c>
      <c r="L22" s="23">
        <v>22</v>
      </c>
      <c r="M22" s="25">
        <v>2</v>
      </c>
      <c r="N22" s="23"/>
      <c r="O22" s="25"/>
      <c r="P22" s="23"/>
      <c r="Q22" s="26">
        <v>0</v>
      </c>
      <c r="R22" s="27">
        <v>0</v>
      </c>
      <c r="S22" s="28"/>
      <c r="T22" s="55"/>
    </row>
    <row r="23" spans="1:20" x14ac:dyDescent="0.3">
      <c r="A23" s="20">
        <v>17</v>
      </c>
      <c r="B23" s="21" t="s">
        <v>19</v>
      </c>
      <c r="C23" s="25"/>
      <c r="D23" s="23"/>
      <c r="E23" s="25"/>
      <c r="F23" s="23">
        <v>7</v>
      </c>
      <c r="G23" s="25"/>
      <c r="H23" s="23"/>
      <c r="I23" s="25"/>
      <c r="J23" s="23"/>
      <c r="K23" s="25">
        <v>352</v>
      </c>
      <c r="L23" s="23">
        <v>1</v>
      </c>
      <c r="M23" s="25"/>
      <c r="N23" s="23"/>
      <c r="O23" s="25"/>
      <c r="P23" s="23"/>
      <c r="Q23" s="26">
        <v>3</v>
      </c>
      <c r="R23" s="27">
        <v>92970</v>
      </c>
      <c r="S23" s="32"/>
    </row>
    <row r="24" spans="1:20" x14ac:dyDescent="0.3">
      <c r="A24" s="33">
        <v>18</v>
      </c>
      <c r="B24" s="34" t="s">
        <v>20</v>
      </c>
      <c r="C24" s="35"/>
      <c r="D24" s="31"/>
      <c r="E24" s="35"/>
      <c r="F24" s="31"/>
      <c r="G24" s="35"/>
      <c r="H24" s="31"/>
      <c r="I24" s="35"/>
      <c r="J24" s="31"/>
      <c r="K24" s="35"/>
      <c r="L24" s="31"/>
      <c r="M24" s="35"/>
      <c r="N24" s="31"/>
      <c r="O24" s="35"/>
      <c r="P24" s="31"/>
      <c r="Q24" s="36"/>
      <c r="R24" s="37"/>
      <c r="S24" s="32"/>
    </row>
    <row r="25" spans="1:20" x14ac:dyDescent="0.3">
      <c r="A25" s="44">
        <v>19</v>
      </c>
      <c r="B25" s="45" t="s">
        <v>21</v>
      </c>
      <c r="C25" s="22"/>
      <c r="D25" s="31"/>
      <c r="E25" s="35"/>
      <c r="F25" s="31"/>
      <c r="G25" s="35"/>
      <c r="H25" s="31"/>
      <c r="I25" s="35"/>
      <c r="J25" s="31"/>
      <c r="K25" s="35"/>
      <c r="L25" s="31"/>
      <c r="M25" s="35"/>
      <c r="N25" s="31"/>
      <c r="O25" s="35"/>
      <c r="P25" s="31"/>
      <c r="Q25" s="36"/>
      <c r="R25" s="37"/>
      <c r="S25" s="32"/>
    </row>
    <row r="26" spans="1:20" ht="15" thickBot="1" x14ac:dyDescent="0.35">
      <c r="A26" s="449" t="s">
        <v>25</v>
      </c>
      <c r="B26" s="450"/>
      <c r="C26" s="38">
        <f>SUM(C19:C25)</f>
        <v>973</v>
      </c>
      <c r="D26" s="39">
        <f t="shared" ref="D26:Q26" si="2">SUM(D19:D25)</f>
        <v>1</v>
      </c>
      <c r="E26" s="38">
        <f t="shared" si="2"/>
        <v>11</v>
      </c>
      <c r="F26" s="39">
        <f t="shared" si="2"/>
        <v>33</v>
      </c>
      <c r="G26" s="38">
        <f t="shared" si="2"/>
        <v>0</v>
      </c>
      <c r="H26" s="39">
        <f t="shared" si="2"/>
        <v>0</v>
      </c>
      <c r="I26" s="38">
        <f t="shared" si="2"/>
        <v>1412</v>
      </c>
      <c r="J26" s="39">
        <f t="shared" si="2"/>
        <v>0</v>
      </c>
      <c r="K26" s="38">
        <f t="shared" si="2"/>
        <v>1268</v>
      </c>
      <c r="L26" s="39">
        <f t="shared" si="2"/>
        <v>108</v>
      </c>
      <c r="M26" s="38">
        <f t="shared" si="2"/>
        <v>3</v>
      </c>
      <c r="N26" s="39">
        <f t="shared" si="2"/>
        <v>0</v>
      </c>
      <c r="O26" s="38">
        <f t="shared" si="2"/>
        <v>0</v>
      </c>
      <c r="P26" s="39">
        <f t="shared" si="2"/>
        <v>0</v>
      </c>
      <c r="Q26" s="40">
        <f t="shared" si="2"/>
        <v>4</v>
      </c>
      <c r="R26" s="41">
        <f>SUM(R19:R25)</f>
        <v>-204837</v>
      </c>
      <c r="S26" s="56"/>
    </row>
    <row r="27" spans="1:20" ht="14.4" customHeight="1" x14ac:dyDescent="0.3">
      <c r="A27" s="11">
        <v>20</v>
      </c>
      <c r="B27" s="12" t="s">
        <v>16</v>
      </c>
      <c r="C27" s="13">
        <v>1</v>
      </c>
      <c r="D27" s="14"/>
      <c r="E27" s="13">
        <v>6</v>
      </c>
      <c r="F27" s="14">
        <v>5</v>
      </c>
      <c r="G27" s="13"/>
      <c r="H27" s="14"/>
      <c r="I27" s="13"/>
      <c r="J27" s="14"/>
      <c r="K27" s="15">
        <v>2</v>
      </c>
      <c r="L27" s="16">
        <v>25</v>
      </c>
      <c r="M27" s="15"/>
      <c r="N27" s="16"/>
      <c r="O27" s="15"/>
      <c r="P27" s="16"/>
      <c r="Q27" s="57"/>
      <c r="R27" s="18"/>
      <c r="S27" s="53"/>
    </row>
    <row r="28" spans="1:20" ht="14.4" customHeight="1" x14ac:dyDescent="0.3">
      <c r="A28" s="20">
        <v>21</v>
      </c>
      <c r="B28" s="21" t="s">
        <v>17</v>
      </c>
      <c r="C28" s="22"/>
      <c r="D28" s="24"/>
      <c r="E28" s="22">
        <v>1</v>
      </c>
      <c r="F28" s="24">
        <v>1</v>
      </c>
      <c r="G28" s="22"/>
      <c r="H28" s="24"/>
      <c r="I28" s="22"/>
      <c r="J28" s="24"/>
      <c r="K28" s="25">
        <v>10</v>
      </c>
      <c r="L28" s="23">
        <v>19</v>
      </c>
      <c r="M28" s="25"/>
      <c r="N28" s="23"/>
      <c r="O28" s="25"/>
      <c r="P28" s="23"/>
      <c r="Q28" s="58"/>
      <c r="R28" s="37">
        <v>-32118</v>
      </c>
      <c r="S28" s="28"/>
    </row>
    <row r="29" spans="1:20" ht="14.4" customHeight="1" x14ac:dyDescent="0.3">
      <c r="A29" s="20">
        <v>22</v>
      </c>
      <c r="B29" s="21" t="s">
        <v>17</v>
      </c>
      <c r="C29" s="35"/>
      <c r="D29" s="31"/>
      <c r="E29" s="35"/>
      <c r="F29" s="31"/>
      <c r="G29" s="35"/>
      <c r="H29" s="31"/>
      <c r="I29" s="35"/>
      <c r="J29" s="31"/>
      <c r="K29" s="35"/>
      <c r="L29" s="23">
        <v>1</v>
      </c>
      <c r="M29" s="25">
        <v>692</v>
      </c>
      <c r="N29" s="31"/>
      <c r="O29" s="35"/>
      <c r="P29" s="31"/>
      <c r="Q29" s="58">
        <v>-1</v>
      </c>
      <c r="R29" s="37">
        <v>-28134</v>
      </c>
      <c r="S29" s="54"/>
    </row>
    <row r="30" spans="1:20" ht="14.4" customHeight="1" x14ac:dyDescent="0.3">
      <c r="A30" s="20">
        <v>23</v>
      </c>
      <c r="B30" s="21" t="s">
        <v>18</v>
      </c>
      <c r="C30" s="22"/>
      <c r="D30" s="24"/>
      <c r="E30" s="22"/>
      <c r="F30" s="24"/>
      <c r="G30" s="22"/>
      <c r="H30" s="31"/>
      <c r="I30" s="22"/>
      <c r="J30" s="24"/>
      <c r="K30" s="25"/>
      <c r="L30" s="23"/>
      <c r="M30" s="25"/>
      <c r="N30" s="23"/>
      <c r="O30" s="25"/>
      <c r="P30" s="23"/>
      <c r="Q30" s="58">
        <v>-113</v>
      </c>
      <c r="R30" s="37">
        <v>-2667623</v>
      </c>
      <c r="S30" s="28"/>
    </row>
    <row r="31" spans="1:20" ht="14.4" customHeight="1" x14ac:dyDescent="0.3">
      <c r="A31" s="20">
        <v>24</v>
      </c>
      <c r="B31" s="21" t="s">
        <v>19</v>
      </c>
      <c r="C31" s="22"/>
      <c r="D31" s="24"/>
      <c r="E31" s="22"/>
      <c r="F31" s="24"/>
      <c r="G31" s="35"/>
      <c r="H31" s="31"/>
      <c r="I31" s="35"/>
      <c r="J31" s="23"/>
      <c r="K31" s="35"/>
      <c r="L31" s="23"/>
      <c r="M31" s="25">
        <v>492</v>
      </c>
      <c r="N31" s="23"/>
      <c r="O31" s="35"/>
      <c r="P31" s="23"/>
      <c r="Q31" s="58"/>
      <c r="R31" s="37">
        <v>-51290</v>
      </c>
      <c r="S31" s="32"/>
    </row>
    <row r="32" spans="1:20" ht="14.4" customHeight="1" x14ac:dyDescent="0.3">
      <c r="A32" s="33">
        <v>25</v>
      </c>
      <c r="B32" s="34" t="s">
        <v>20</v>
      </c>
      <c r="C32" s="35"/>
      <c r="D32" s="31"/>
      <c r="E32" s="35"/>
      <c r="F32" s="31"/>
      <c r="G32" s="35"/>
      <c r="H32" s="31"/>
      <c r="I32" s="35"/>
      <c r="J32" s="31"/>
      <c r="K32" s="35"/>
      <c r="L32" s="31"/>
      <c r="M32" s="35"/>
      <c r="N32" s="31"/>
      <c r="O32" s="35"/>
      <c r="P32" s="31"/>
      <c r="Q32" s="59"/>
      <c r="R32" s="37"/>
      <c r="S32" s="32"/>
    </row>
    <row r="33" spans="1:19" ht="14.4" customHeight="1" x14ac:dyDescent="0.3">
      <c r="A33" s="44">
        <v>26</v>
      </c>
      <c r="B33" s="45" t="s">
        <v>21</v>
      </c>
      <c r="C33" s="22"/>
      <c r="D33" s="24"/>
      <c r="E33" s="22"/>
      <c r="F33" s="24"/>
      <c r="G33" s="22"/>
      <c r="H33" s="24"/>
      <c r="I33" s="22"/>
      <c r="J33" s="24"/>
      <c r="K33" s="25"/>
      <c r="L33" s="23"/>
      <c r="M33" s="25"/>
      <c r="N33" s="23"/>
      <c r="O33" s="25"/>
      <c r="P33" s="23"/>
      <c r="Q33" s="58"/>
      <c r="R33" s="27"/>
      <c r="S33" s="32"/>
    </row>
    <row r="34" spans="1:19" ht="15" thickBot="1" x14ac:dyDescent="0.35">
      <c r="A34" s="453" t="s">
        <v>26</v>
      </c>
      <c r="B34" s="454"/>
      <c r="C34" s="60">
        <f>SUM(C27:C33)</f>
        <v>1</v>
      </c>
      <c r="D34" s="61">
        <f t="shared" ref="D34:Q34" si="3">SUM(D27:D33)</f>
        <v>0</v>
      </c>
      <c r="E34" s="60">
        <f t="shared" si="3"/>
        <v>7</v>
      </c>
      <c r="F34" s="61">
        <f t="shared" si="3"/>
        <v>6</v>
      </c>
      <c r="G34" s="60">
        <f t="shared" si="3"/>
        <v>0</v>
      </c>
      <c r="H34" s="61">
        <f t="shared" si="3"/>
        <v>0</v>
      </c>
      <c r="I34" s="60">
        <f t="shared" si="3"/>
        <v>0</v>
      </c>
      <c r="J34" s="61">
        <f t="shared" si="3"/>
        <v>0</v>
      </c>
      <c r="K34" s="60">
        <f t="shared" si="3"/>
        <v>12</v>
      </c>
      <c r="L34" s="61">
        <f t="shared" si="3"/>
        <v>45</v>
      </c>
      <c r="M34" s="60">
        <f t="shared" si="3"/>
        <v>1184</v>
      </c>
      <c r="N34" s="61">
        <f t="shared" si="3"/>
        <v>0</v>
      </c>
      <c r="O34" s="60">
        <f t="shared" si="3"/>
        <v>0</v>
      </c>
      <c r="P34" s="61">
        <f t="shared" si="3"/>
        <v>0</v>
      </c>
      <c r="Q34" s="62">
        <f t="shared" si="3"/>
        <v>-114</v>
      </c>
      <c r="R34" s="63">
        <f>SUM(R27:R33)</f>
        <v>-2779165</v>
      </c>
      <c r="S34" s="56"/>
    </row>
    <row r="35" spans="1:19" ht="14.4" customHeight="1" x14ac:dyDescent="0.3">
      <c r="A35" s="11">
        <v>27</v>
      </c>
      <c r="B35" s="12" t="s">
        <v>16</v>
      </c>
      <c r="C35" s="22"/>
      <c r="D35" s="24"/>
      <c r="E35" s="22"/>
      <c r="F35" s="24"/>
      <c r="G35" s="22"/>
      <c r="H35" s="24"/>
      <c r="I35" s="22"/>
      <c r="J35" s="24"/>
      <c r="K35" s="25"/>
      <c r="L35" s="23"/>
      <c r="M35" s="25"/>
      <c r="N35" s="23"/>
      <c r="O35" s="25"/>
      <c r="P35" s="23"/>
      <c r="Q35" s="58">
        <v>47</v>
      </c>
      <c r="R35" s="27">
        <v>1200260</v>
      </c>
      <c r="S35" s="64"/>
    </row>
    <row r="36" spans="1:19" ht="14.4" customHeight="1" x14ac:dyDescent="0.3">
      <c r="A36" s="20">
        <v>28</v>
      </c>
      <c r="B36" s="21" t="s">
        <v>17</v>
      </c>
      <c r="C36" s="22"/>
      <c r="D36" s="24"/>
      <c r="E36" s="22"/>
      <c r="F36" s="24"/>
      <c r="G36" s="22"/>
      <c r="H36" s="24"/>
      <c r="I36" s="22"/>
      <c r="J36" s="24"/>
      <c r="K36" s="25"/>
      <c r="L36" s="23"/>
      <c r="M36" s="25">
        <v>2</v>
      </c>
      <c r="N36" s="23"/>
      <c r="O36" s="25"/>
      <c r="P36" s="23"/>
      <c r="Q36" s="58">
        <v>460</v>
      </c>
      <c r="R36" s="27">
        <v>11129361</v>
      </c>
      <c r="S36" s="64"/>
    </row>
    <row r="37" spans="1:19" ht="14.4" customHeight="1" x14ac:dyDescent="0.3">
      <c r="A37" s="20">
        <v>29</v>
      </c>
      <c r="B37" s="21" t="s">
        <v>17</v>
      </c>
      <c r="C37" s="22"/>
      <c r="D37" s="24"/>
      <c r="E37" s="22"/>
      <c r="F37" s="24"/>
      <c r="G37" s="22"/>
      <c r="H37" s="24"/>
      <c r="I37" s="22"/>
      <c r="J37" s="24"/>
      <c r="K37" s="25"/>
      <c r="L37" s="23"/>
      <c r="M37" s="25">
        <v>352</v>
      </c>
      <c r="N37" s="23"/>
      <c r="O37" s="25"/>
      <c r="P37" s="23"/>
      <c r="Q37" s="58">
        <v>-7</v>
      </c>
      <c r="R37" s="37">
        <v>-162930</v>
      </c>
      <c r="S37" s="64"/>
    </row>
    <row r="38" spans="1:19" ht="14.4" customHeight="1" x14ac:dyDescent="0.3">
      <c r="A38" s="20">
        <v>30</v>
      </c>
      <c r="B38" s="21" t="s">
        <v>18</v>
      </c>
      <c r="C38" s="22"/>
      <c r="D38" s="24"/>
      <c r="E38" s="22"/>
      <c r="F38" s="24"/>
      <c r="G38" s="22"/>
      <c r="H38" s="24"/>
      <c r="I38" s="22"/>
      <c r="J38" s="24"/>
      <c r="K38" s="25"/>
      <c r="L38" s="23"/>
      <c r="M38" s="25"/>
      <c r="N38" s="23"/>
      <c r="O38" s="25"/>
      <c r="P38" s="23"/>
      <c r="Q38" s="58">
        <v>348</v>
      </c>
      <c r="R38" s="27">
        <v>8478190</v>
      </c>
      <c r="S38" s="64"/>
    </row>
    <row r="39" spans="1:19" ht="14.4" customHeight="1" x14ac:dyDescent="0.3">
      <c r="A39" s="20">
        <v>31</v>
      </c>
      <c r="B39" s="21" t="s">
        <v>19</v>
      </c>
      <c r="C39" s="22"/>
      <c r="D39" s="24"/>
      <c r="E39" s="22"/>
      <c r="F39" s="24"/>
      <c r="G39" s="22"/>
      <c r="H39" s="24"/>
      <c r="I39" s="22"/>
      <c r="J39" s="24"/>
      <c r="K39" s="25"/>
      <c r="L39" s="23"/>
      <c r="M39" s="25"/>
      <c r="N39" s="23"/>
      <c r="O39" s="25"/>
      <c r="P39" s="23"/>
      <c r="Q39" s="58">
        <v>513</v>
      </c>
      <c r="R39" s="27">
        <v>12740304</v>
      </c>
      <c r="S39" s="64"/>
    </row>
    <row r="40" spans="1:19" x14ac:dyDescent="0.3">
      <c r="A40" s="453" t="s">
        <v>27</v>
      </c>
      <c r="B40" s="454"/>
      <c r="C40" s="60">
        <f t="shared" ref="C40:R40" si="4">SUM(C35:C39)</f>
        <v>0</v>
      </c>
      <c r="D40" s="61">
        <f t="shared" si="4"/>
        <v>0</v>
      </c>
      <c r="E40" s="60">
        <f t="shared" si="4"/>
        <v>0</v>
      </c>
      <c r="F40" s="61">
        <f t="shared" si="4"/>
        <v>0</v>
      </c>
      <c r="G40" s="60">
        <f t="shared" si="4"/>
        <v>0</v>
      </c>
      <c r="H40" s="61">
        <f t="shared" si="4"/>
        <v>0</v>
      </c>
      <c r="I40" s="60">
        <f t="shared" si="4"/>
        <v>0</v>
      </c>
      <c r="J40" s="61">
        <f t="shared" si="4"/>
        <v>0</v>
      </c>
      <c r="K40" s="60">
        <f t="shared" si="4"/>
        <v>0</v>
      </c>
      <c r="L40" s="61">
        <f t="shared" si="4"/>
        <v>0</v>
      </c>
      <c r="M40" s="60">
        <f t="shared" si="4"/>
        <v>354</v>
      </c>
      <c r="N40" s="61">
        <f t="shared" si="4"/>
        <v>0</v>
      </c>
      <c r="O40" s="60">
        <f t="shared" si="4"/>
        <v>0</v>
      </c>
      <c r="P40" s="61">
        <f t="shared" si="4"/>
        <v>0</v>
      </c>
      <c r="Q40" s="62">
        <f t="shared" si="4"/>
        <v>1361</v>
      </c>
      <c r="R40" s="63">
        <f t="shared" si="4"/>
        <v>33385185</v>
      </c>
      <c r="S40" s="64"/>
    </row>
    <row r="41" spans="1:19" ht="19.95" customHeight="1" x14ac:dyDescent="0.3">
      <c r="A41" s="455" t="s">
        <v>28</v>
      </c>
      <c r="B41" s="456"/>
      <c r="C41" s="65">
        <f t="shared" ref="C41:R41" si="5">C10+C18+C26+C34+C40</f>
        <v>2163</v>
      </c>
      <c r="D41" s="66">
        <f t="shared" si="5"/>
        <v>18</v>
      </c>
      <c r="E41" s="65">
        <f t="shared" si="5"/>
        <v>622</v>
      </c>
      <c r="F41" s="66">
        <f t="shared" si="5"/>
        <v>73</v>
      </c>
      <c r="G41" s="65">
        <f t="shared" si="5"/>
        <v>2407</v>
      </c>
      <c r="H41" s="66">
        <f t="shared" si="5"/>
        <v>0</v>
      </c>
      <c r="I41" s="65">
        <f t="shared" si="5"/>
        <v>3798</v>
      </c>
      <c r="J41" s="66">
        <f t="shared" si="5"/>
        <v>0</v>
      </c>
      <c r="K41" s="65">
        <f t="shared" si="5"/>
        <v>1672</v>
      </c>
      <c r="L41" s="66">
        <f t="shared" si="5"/>
        <v>349</v>
      </c>
      <c r="M41" s="65">
        <f t="shared" si="5"/>
        <v>2489</v>
      </c>
      <c r="N41" s="66">
        <f t="shared" si="5"/>
        <v>172</v>
      </c>
      <c r="O41" s="65">
        <f>O10+O18+O26+O34+O40</f>
        <v>0</v>
      </c>
      <c r="P41" s="66">
        <f>P10+P18+P26+P34+P40</f>
        <v>0</v>
      </c>
      <c r="Q41" s="67">
        <f t="shared" si="5"/>
        <v>2349</v>
      </c>
      <c r="R41" s="68">
        <f t="shared" si="5"/>
        <v>45827735</v>
      </c>
      <c r="S41" s="69" t="s">
        <v>29</v>
      </c>
    </row>
    <row r="42" spans="1:19" ht="18" customHeight="1" x14ac:dyDescent="0.3">
      <c r="A42" s="457" t="s">
        <v>30</v>
      </c>
      <c r="B42" s="458"/>
      <c r="C42" s="70">
        <v>12000</v>
      </c>
      <c r="D42" s="71"/>
      <c r="E42" s="70">
        <v>8000</v>
      </c>
      <c r="F42" s="71"/>
      <c r="G42" s="70">
        <v>5000</v>
      </c>
      <c r="H42" s="71"/>
      <c r="I42" s="70">
        <v>12000</v>
      </c>
      <c r="J42" s="71"/>
      <c r="K42" s="70">
        <v>12000</v>
      </c>
      <c r="L42" s="71"/>
      <c r="M42" s="70">
        <v>12000</v>
      </c>
      <c r="N42" s="71"/>
      <c r="O42" s="70"/>
      <c r="P42" s="71">
        <v>0</v>
      </c>
      <c r="Q42" s="70">
        <v>12000</v>
      </c>
      <c r="R42" s="72">
        <f>Q42*23990</f>
        <v>287880000</v>
      </c>
      <c r="S42" s="73"/>
    </row>
    <row r="43" spans="1:19" ht="15.6" customHeight="1" thickBot="1" x14ac:dyDescent="0.35">
      <c r="A43" s="459" t="s">
        <v>31</v>
      </c>
      <c r="B43" s="460"/>
      <c r="C43" s="74">
        <f>C41-C42</f>
        <v>-9837</v>
      </c>
      <c r="D43" s="75"/>
      <c r="E43" s="74">
        <f>E41-E42</f>
        <v>-7378</v>
      </c>
      <c r="F43" s="75"/>
      <c r="G43" s="74">
        <f>G41-G42</f>
        <v>-2593</v>
      </c>
      <c r="H43" s="75"/>
      <c r="I43" s="74">
        <f>I41-I42</f>
        <v>-8202</v>
      </c>
      <c r="J43" s="75"/>
      <c r="K43" s="74">
        <f>K41-K42</f>
        <v>-10328</v>
      </c>
      <c r="L43" s="75"/>
      <c r="M43" s="74">
        <f>M41-M42</f>
        <v>-9511</v>
      </c>
      <c r="N43" s="75"/>
      <c r="O43" s="74"/>
      <c r="P43" s="75">
        <f>P41-P42</f>
        <v>0</v>
      </c>
      <c r="Q43" s="76">
        <f>Q41-Q42</f>
        <v>-9651</v>
      </c>
      <c r="R43" s="77">
        <f>R42-R41</f>
        <v>242052265</v>
      </c>
      <c r="S43" s="78" t="s">
        <v>32</v>
      </c>
    </row>
    <row r="44" spans="1:19" ht="16.95" hidden="1" customHeight="1" thickBot="1" x14ac:dyDescent="0.35">
      <c r="A44" s="451" t="s">
        <v>33</v>
      </c>
      <c r="B44" s="452"/>
      <c r="C44" s="79" t="e">
        <f>ROUND(C43/R1,0)</f>
        <v>#DIV/0!</v>
      </c>
      <c r="D44" s="80" t="e">
        <f>ROUND(D43/R1,0)</f>
        <v>#DIV/0!</v>
      </c>
      <c r="E44" s="79" t="e">
        <f>ROUND((E43/R1),0)</f>
        <v>#DIV/0!</v>
      </c>
      <c r="F44" s="80"/>
      <c r="G44" s="79" t="e">
        <f>ROUND(G43/R1,0)</f>
        <v>#DIV/0!</v>
      </c>
      <c r="H44" s="80"/>
      <c r="I44" s="79" t="e">
        <f>ROUND(I43/R1,0)</f>
        <v>#DIV/0!</v>
      </c>
      <c r="J44" s="80"/>
      <c r="K44" s="79" t="e">
        <f>ROUND(K43/R1,0)</f>
        <v>#DIV/0!</v>
      </c>
      <c r="L44" s="80"/>
      <c r="M44" s="79" t="e">
        <f>ROUND(M43/R1,0)</f>
        <v>#DIV/0!</v>
      </c>
      <c r="N44" s="80"/>
      <c r="O44" s="79"/>
      <c r="P44" s="80"/>
      <c r="Q44" s="81" t="e">
        <f>ROUND(Q43/R1,0)</f>
        <v>#DIV/0!</v>
      </c>
      <c r="R44" s="82" t="e">
        <f>R43/R1</f>
        <v>#DIV/0!</v>
      </c>
      <c r="S44" s="83" t="s">
        <v>34</v>
      </c>
    </row>
  </sheetData>
  <mergeCells count="23">
    <mergeCell ref="A1:L1"/>
    <mergeCell ref="M1:Q1"/>
    <mergeCell ref="A2:B2"/>
    <mergeCell ref="C2:D2"/>
    <mergeCell ref="E2:F2"/>
    <mergeCell ref="G2:H2"/>
    <mergeCell ref="I2:J2"/>
    <mergeCell ref="K2:L2"/>
    <mergeCell ref="M2:N2"/>
    <mergeCell ref="O2:P2"/>
    <mergeCell ref="Q2:R2"/>
    <mergeCell ref="S2:S4"/>
    <mergeCell ref="A3:B3"/>
    <mergeCell ref="A4:B4"/>
    <mergeCell ref="A10:B10"/>
    <mergeCell ref="A44:B44"/>
    <mergeCell ref="A26:B26"/>
    <mergeCell ref="A34:B34"/>
    <mergeCell ref="A40:B40"/>
    <mergeCell ref="A41:B41"/>
    <mergeCell ref="A42:B42"/>
    <mergeCell ref="A43:B43"/>
    <mergeCell ref="A18:B18"/>
  </mergeCells>
  <pageMargins left="0.70866141732283472" right="0.70866141732283472" top="0.74803149606299213" bottom="0.74803149606299213" header="0.31496062992125984" footer="0.31496062992125984"/>
  <pageSetup scale="86" orientation="landscape" horizontalDpi="0"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04179-3376-4DF9-B038-BE09C2096FBC}">
  <dimension ref="A1:T38"/>
  <sheetViews>
    <sheetView showGridLines="0" topLeftCell="A2" workbookViewId="0">
      <selection activeCell="S44" sqref="S44"/>
    </sheetView>
  </sheetViews>
  <sheetFormatPr baseColWidth="10" defaultRowHeight="14.4" x14ac:dyDescent="0.3"/>
  <cols>
    <col min="1" max="1" width="3.6640625" customWidth="1"/>
    <col min="2" max="2" width="12.33203125" customWidth="1"/>
    <col min="3" max="3" width="7.5546875" customWidth="1"/>
    <col min="4" max="4" width="7.88671875" bestFit="1" customWidth="1"/>
    <col min="5" max="16" width="7.5546875" customWidth="1"/>
    <col min="17" max="17" width="8.5546875" customWidth="1"/>
    <col min="18" max="18" width="12.6640625" bestFit="1" customWidth="1"/>
    <col min="19" max="19" width="44.5546875" customWidth="1"/>
    <col min="20" max="20" width="51.109375" bestFit="1" customWidth="1"/>
    <col min="21" max="21" width="47.6640625" bestFit="1" customWidth="1"/>
  </cols>
  <sheetData>
    <row r="1" spans="1:20" ht="34.200000000000003" thickBot="1" x14ac:dyDescent="0.35">
      <c r="A1" s="461" t="s">
        <v>37</v>
      </c>
      <c r="B1" s="461"/>
      <c r="C1" s="461"/>
      <c r="D1" s="461"/>
      <c r="E1" s="461"/>
      <c r="F1" s="461"/>
      <c r="G1" s="461"/>
      <c r="H1" s="461"/>
      <c r="I1" s="461"/>
      <c r="J1" s="461"/>
      <c r="K1" s="461"/>
      <c r="L1" s="462"/>
      <c r="M1" s="463" t="s">
        <v>0</v>
      </c>
      <c r="N1" s="463"/>
      <c r="O1" s="463"/>
      <c r="P1" s="463"/>
      <c r="Q1" s="463"/>
      <c r="R1" s="1">
        <v>0</v>
      </c>
      <c r="S1" s="2"/>
    </row>
    <row r="2" spans="1:20" ht="14.4" customHeight="1" x14ac:dyDescent="0.3">
      <c r="A2" s="464" t="s">
        <v>1</v>
      </c>
      <c r="B2" s="465"/>
      <c r="C2" s="466" t="s">
        <v>2</v>
      </c>
      <c r="D2" s="467"/>
      <c r="E2" s="466" t="s">
        <v>3</v>
      </c>
      <c r="F2" s="467"/>
      <c r="G2" s="466" t="s">
        <v>4</v>
      </c>
      <c r="H2" s="467"/>
      <c r="I2" s="466" t="s">
        <v>5</v>
      </c>
      <c r="J2" s="467"/>
      <c r="K2" s="466" t="s">
        <v>6</v>
      </c>
      <c r="L2" s="467"/>
      <c r="M2" s="466" t="s">
        <v>7</v>
      </c>
      <c r="N2" s="467"/>
      <c r="O2" s="466" t="s">
        <v>8</v>
      </c>
      <c r="P2" s="467"/>
      <c r="Q2" s="466" t="s">
        <v>9</v>
      </c>
      <c r="R2" s="468"/>
      <c r="S2" s="443" t="s">
        <v>10</v>
      </c>
      <c r="T2" s="443" t="s">
        <v>10</v>
      </c>
    </row>
    <row r="3" spans="1:20" ht="15" thickBot="1" x14ac:dyDescent="0.35">
      <c r="A3" s="445" t="s">
        <v>11</v>
      </c>
      <c r="B3" s="446"/>
      <c r="C3" s="3" t="s">
        <v>13</v>
      </c>
      <c r="D3" s="4" t="s">
        <v>12</v>
      </c>
      <c r="E3" s="3" t="s">
        <v>13</v>
      </c>
      <c r="F3" s="4" t="s">
        <v>12</v>
      </c>
      <c r="G3" s="3" t="s">
        <v>13</v>
      </c>
      <c r="H3" s="4" t="s">
        <v>12</v>
      </c>
      <c r="I3" s="3" t="s">
        <v>13</v>
      </c>
      <c r="J3" s="4" t="s">
        <v>12</v>
      </c>
      <c r="K3" s="3" t="s">
        <v>13</v>
      </c>
      <c r="L3" s="4" t="s">
        <v>12</v>
      </c>
      <c r="M3" s="3" t="s">
        <v>13</v>
      </c>
      <c r="N3" s="4" t="s">
        <v>12</v>
      </c>
      <c r="O3" s="3" t="s">
        <v>13</v>
      </c>
      <c r="P3" s="4" t="s">
        <v>12</v>
      </c>
      <c r="Q3" s="5" t="s">
        <v>13</v>
      </c>
      <c r="R3" s="6" t="s">
        <v>14</v>
      </c>
      <c r="S3" s="444"/>
      <c r="T3" s="444"/>
    </row>
    <row r="4" spans="1:20" ht="14.4" customHeight="1" x14ac:dyDescent="0.3">
      <c r="A4" s="447" t="s">
        <v>15</v>
      </c>
      <c r="B4" s="448"/>
      <c r="C4" s="7">
        <v>600</v>
      </c>
      <c r="D4" s="8">
        <v>0</v>
      </c>
      <c r="E4" s="9">
        <v>400</v>
      </c>
      <c r="F4" s="8">
        <v>0</v>
      </c>
      <c r="G4" s="9">
        <v>250</v>
      </c>
      <c r="H4" s="8">
        <v>0</v>
      </c>
      <c r="I4" s="9">
        <v>600</v>
      </c>
      <c r="J4" s="8">
        <v>0</v>
      </c>
      <c r="K4" s="9">
        <v>600</v>
      </c>
      <c r="L4" s="8">
        <v>0</v>
      </c>
      <c r="M4" s="9">
        <v>600</v>
      </c>
      <c r="N4" s="8">
        <v>0</v>
      </c>
      <c r="O4" s="9">
        <v>0</v>
      </c>
      <c r="P4" s="8">
        <v>0</v>
      </c>
      <c r="Q4" s="7">
        <v>600</v>
      </c>
      <c r="R4" s="10"/>
      <c r="S4" s="444"/>
      <c r="T4" s="444"/>
    </row>
    <row r="5" spans="1:20" x14ac:dyDescent="0.3">
      <c r="A5" s="11">
        <v>3</v>
      </c>
      <c r="B5" s="12" t="s">
        <v>16</v>
      </c>
      <c r="C5" s="15"/>
      <c r="D5" s="16"/>
      <c r="E5" s="15"/>
      <c r="F5" s="16">
        <v>2</v>
      </c>
      <c r="G5" s="15"/>
      <c r="H5" s="16"/>
      <c r="I5" s="15"/>
      <c r="J5" s="16"/>
      <c r="K5" s="15"/>
      <c r="L5" s="16"/>
      <c r="M5" s="25"/>
      <c r="N5" s="16"/>
      <c r="O5" s="15"/>
      <c r="P5" s="16"/>
      <c r="Q5" s="17">
        <v>0</v>
      </c>
      <c r="R5" s="18">
        <v>0</v>
      </c>
      <c r="S5" s="19"/>
      <c r="T5" s="19"/>
    </row>
    <row r="6" spans="1:20" x14ac:dyDescent="0.3">
      <c r="A6" s="20">
        <v>4</v>
      </c>
      <c r="B6" s="21" t="s">
        <v>17</v>
      </c>
      <c r="C6" s="25">
        <v>570</v>
      </c>
      <c r="D6" s="23">
        <v>3</v>
      </c>
      <c r="E6" s="25"/>
      <c r="F6" s="23"/>
      <c r="G6" s="25"/>
      <c r="H6" s="23"/>
      <c r="I6" s="25"/>
      <c r="J6" s="23"/>
      <c r="K6" s="25"/>
      <c r="L6" s="23"/>
      <c r="M6" s="25"/>
      <c r="N6" s="23"/>
      <c r="O6" s="25"/>
      <c r="P6" s="23"/>
      <c r="Q6" s="26">
        <v>543</v>
      </c>
      <c r="R6" s="27">
        <v>13298006</v>
      </c>
      <c r="S6" s="28"/>
      <c r="T6" s="28"/>
    </row>
    <row r="7" spans="1:20" x14ac:dyDescent="0.3">
      <c r="A7" s="20">
        <v>5</v>
      </c>
      <c r="B7" s="21" t="s">
        <v>17</v>
      </c>
      <c r="C7" s="25"/>
      <c r="D7" s="23"/>
      <c r="E7" s="25"/>
      <c r="F7" s="23"/>
      <c r="G7" s="25"/>
      <c r="H7" s="23"/>
      <c r="I7" s="25"/>
      <c r="J7" s="23"/>
      <c r="K7" s="25"/>
      <c r="L7" s="23"/>
      <c r="M7" s="25"/>
      <c r="N7" s="23"/>
      <c r="O7" s="25"/>
      <c r="P7" s="23"/>
      <c r="Q7" s="26">
        <v>409</v>
      </c>
      <c r="R7" s="27">
        <v>9708980</v>
      </c>
      <c r="S7" s="28"/>
      <c r="T7" s="28"/>
    </row>
    <row r="8" spans="1:20" x14ac:dyDescent="0.3">
      <c r="A8" s="20">
        <v>6</v>
      </c>
      <c r="B8" s="21" t="s">
        <v>18</v>
      </c>
      <c r="C8" s="25"/>
      <c r="D8" s="23"/>
      <c r="E8" s="25"/>
      <c r="F8" s="23"/>
      <c r="G8" s="25"/>
      <c r="H8" s="23"/>
      <c r="I8" s="25"/>
      <c r="J8" s="23"/>
      <c r="K8" s="25"/>
      <c r="L8" s="23"/>
      <c r="M8" s="25"/>
      <c r="N8" s="23"/>
      <c r="O8" s="25"/>
      <c r="P8" s="23"/>
      <c r="Q8" s="26">
        <v>320</v>
      </c>
      <c r="R8" s="27">
        <v>7711326</v>
      </c>
      <c r="S8" s="28"/>
      <c r="T8" s="28"/>
    </row>
    <row r="9" spans="1:20" x14ac:dyDescent="0.3">
      <c r="A9" s="29">
        <v>7</v>
      </c>
      <c r="B9" s="30" t="s">
        <v>19</v>
      </c>
      <c r="C9" s="25"/>
      <c r="D9" s="23"/>
      <c r="E9" s="25"/>
      <c r="F9" s="23"/>
      <c r="G9" s="25"/>
      <c r="H9" s="23"/>
      <c r="I9" s="25"/>
      <c r="J9" s="23"/>
      <c r="K9" s="25"/>
      <c r="L9" s="23"/>
      <c r="M9" s="43"/>
      <c r="N9" s="23"/>
      <c r="O9" s="25"/>
      <c r="P9" s="23"/>
      <c r="Q9" s="26">
        <v>500</v>
      </c>
      <c r="R9" s="27">
        <v>13018964</v>
      </c>
      <c r="S9" s="32"/>
      <c r="T9" s="32"/>
    </row>
    <row r="10" spans="1:20" x14ac:dyDescent="0.3">
      <c r="A10" s="33">
        <v>8</v>
      </c>
      <c r="B10" s="34" t="s">
        <v>20</v>
      </c>
      <c r="C10" s="35"/>
      <c r="D10" s="31"/>
      <c r="E10" s="35"/>
      <c r="F10" s="31"/>
      <c r="G10" s="35"/>
      <c r="H10" s="31"/>
      <c r="I10" s="35"/>
      <c r="J10" s="31"/>
      <c r="K10" s="35"/>
      <c r="L10" s="31"/>
      <c r="M10" s="35"/>
      <c r="N10" s="31"/>
      <c r="O10" s="35"/>
      <c r="P10" s="31"/>
      <c r="Q10" s="36"/>
      <c r="R10" s="37"/>
      <c r="S10" s="32"/>
      <c r="T10" s="32"/>
    </row>
    <row r="11" spans="1:20" x14ac:dyDescent="0.3">
      <c r="A11" s="44">
        <v>9</v>
      </c>
      <c r="B11" s="45" t="s">
        <v>21</v>
      </c>
      <c r="C11" s="22"/>
      <c r="D11" s="31"/>
      <c r="E11" s="22"/>
      <c r="F11" s="31"/>
      <c r="G11" s="22"/>
      <c r="H11" s="31"/>
      <c r="I11" s="22"/>
      <c r="J11" s="31"/>
      <c r="K11" s="25"/>
      <c r="L11" s="31"/>
      <c r="M11" s="25"/>
      <c r="N11" s="31"/>
      <c r="O11" s="25"/>
      <c r="P11" s="31"/>
      <c r="Q11" s="26"/>
      <c r="R11" s="37"/>
      <c r="S11" s="28"/>
      <c r="T11" s="28"/>
    </row>
    <row r="12" spans="1:20" ht="15" thickBot="1" x14ac:dyDescent="0.35">
      <c r="A12" s="449" t="s">
        <v>22</v>
      </c>
      <c r="B12" s="450"/>
      <c r="C12" s="38">
        <f>SUM(C5:C11)</f>
        <v>570</v>
      </c>
      <c r="D12" s="39">
        <f t="shared" ref="D12:Q12" si="0">SUM(D5:D11)</f>
        <v>3</v>
      </c>
      <c r="E12" s="38">
        <f t="shared" si="0"/>
        <v>0</v>
      </c>
      <c r="F12" s="39">
        <f t="shared" si="0"/>
        <v>2</v>
      </c>
      <c r="G12" s="38">
        <f t="shared" si="0"/>
        <v>0</v>
      </c>
      <c r="H12" s="39">
        <f t="shared" si="0"/>
        <v>0</v>
      </c>
      <c r="I12" s="38">
        <f t="shared" si="0"/>
        <v>0</v>
      </c>
      <c r="J12" s="39">
        <f t="shared" si="0"/>
        <v>0</v>
      </c>
      <c r="K12" s="38">
        <f t="shared" si="0"/>
        <v>0</v>
      </c>
      <c r="L12" s="39">
        <f t="shared" si="0"/>
        <v>0</v>
      </c>
      <c r="M12" s="38">
        <f>SUM(M5:M11)</f>
        <v>0</v>
      </c>
      <c r="N12" s="39">
        <f t="shared" si="0"/>
        <v>0</v>
      </c>
      <c r="O12" s="38">
        <f t="shared" si="0"/>
        <v>0</v>
      </c>
      <c r="P12" s="39">
        <f t="shared" si="0"/>
        <v>0</v>
      </c>
      <c r="Q12" s="40">
        <f t="shared" si="0"/>
        <v>1772</v>
      </c>
      <c r="R12" s="41">
        <f>SUM(R5:R11)</f>
        <v>43737276</v>
      </c>
      <c r="S12" s="46"/>
      <c r="T12" s="46"/>
    </row>
    <row r="13" spans="1:20" ht="14.4" customHeight="1" x14ac:dyDescent="0.3">
      <c r="A13" s="47">
        <v>10</v>
      </c>
      <c r="B13" s="48" t="s">
        <v>16</v>
      </c>
      <c r="C13" s="52">
        <v>20</v>
      </c>
      <c r="D13" s="51"/>
      <c r="E13" s="52">
        <v>1204</v>
      </c>
      <c r="F13" s="51">
        <v>17</v>
      </c>
      <c r="G13" s="52">
        <v>206</v>
      </c>
      <c r="H13" s="51"/>
      <c r="I13" s="52">
        <v>713</v>
      </c>
      <c r="J13" s="51"/>
      <c r="K13" s="52"/>
      <c r="L13" s="51"/>
      <c r="M13" s="52">
        <v>338</v>
      </c>
      <c r="N13" s="51"/>
      <c r="O13" s="52"/>
      <c r="P13" s="51"/>
      <c r="Q13" s="86">
        <v>192</v>
      </c>
      <c r="R13" s="87">
        <v>5765645</v>
      </c>
      <c r="S13" s="115" t="s">
        <v>164</v>
      </c>
      <c r="T13" s="115" t="s">
        <v>164</v>
      </c>
    </row>
    <row r="14" spans="1:20" ht="14.4" customHeight="1" x14ac:dyDescent="0.3">
      <c r="A14" s="20">
        <v>11</v>
      </c>
      <c r="B14" s="21" t="s">
        <v>17</v>
      </c>
      <c r="C14" s="25">
        <v>546</v>
      </c>
      <c r="D14" s="23">
        <v>4</v>
      </c>
      <c r="E14" s="25">
        <v>300</v>
      </c>
      <c r="F14" s="23">
        <v>3</v>
      </c>
      <c r="G14" s="25"/>
      <c r="H14" s="23"/>
      <c r="I14" s="25">
        <v>250</v>
      </c>
      <c r="J14" s="23"/>
      <c r="K14" s="25">
        <v>130</v>
      </c>
      <c r="L14" s="23"/>
      <c r="M14" s="25">
        <v>26</v>
      </c>
      <c r="N14" s="23"/>
      <c r="O14" s="25"/>
      <c r="P14" s="23"/>
      <c r="Q14" s="26">
        <v>152</v>
      </c>
      <c r="R14" s="27">
        <v>9207733</v>
      </c>
      <c r="S14" s="54"/>
      <c r="T14" s="54"/>
    </row>
    <row r="15" spans="1:20" ht="14.4" customHeight="1" x14ac:dyDescent="0.3">
      <c r="A15" s="20">
        <v>12</v>
      </c>
      <c r="B15" s="21" t="s">
        <v>17</v>
      </c>
      <c r="C15" s="25">
        <v>510</v>
      </c>
      <c r="D15" s="23">
        <v>2</v>
      </c>
      <c r="E15" s="25">
        <v>120</v>
      </c>
      <c r="F15" s="23"/>
      <c r="G15" s="25"/>
      <c r="H15" s="23"/>
      <c r="I15" s="25">
        <v>354</v>
      </c>
      <c r="J15" s="23"/>
      <c r="K15" s="25">
        <v>475</v>
      </c>
      <c r="L15" s="23">
        <v>5</v>
      </c>
      <c r="M15" s="25">
        <v>158</v>
      </c>
      <c r="N15" s="23"/>
      <c r="O15" s="25"/>
      <c r="P15" s="23"/>
      <c r="Q15" s="26">
        <v>0</v>
      </c>
      <c r="R15" s="27">
        <v>0</v>
      </c>
      <c r="S15" s="54"/>
      <c r="T15" s="54"/>
    </row>
    <row r="16" spans="1:20" ht="14.4" customHeight="1" x14ac:dyDescent="0.3">
      <c r="A16" s="20">
        <v>13</v>
      </c>
      <c r="B16" s="21" t="s">
        <v>18</v>
      </c>
      <c r="C16" s="25"/>
      <c r="D16" s="23"/>
      <c r="E16" s="25">
        <v>400</v>
      </c>
      <c r="F16" s="23">
        <v>3</v>
      </c>
      <c r="G16" s="25"/>
      <c r="H16" s="23"/>
      <c r="I16" s="25">
        <v>340</v>
      </c>
      <c r="J16" s="23"/>
      <c r="K16" s="25">
        <v>499</v>
      </c>
      <c r="L16" s="23"/>
      <c r="M16" s="25">
        <v>350</v>
      </c>
      <c r="N16" s="23"/>
      <c r="O16" s="25"/>
      <c r="P16" s="23"/>
      <c r="Q16" s="26">
        <v>59</v>
      </c>
      <c r="R16" s="27">
        <v>1473709</v>
      </c>
      <c r="S16" s="28"/>
      <c r="T16" s="28"/>
    </row>
    <row r="17" spans="1:20" ht="14.4" customHeight="1" x14ac:dyDescent="0.3">
      <c r="A17" s="20">
        <v>14</v>
      </c>
      <c r="B17" s="21" t="s">
        <v>19</v>
      </c>
      <c r="C17" s="25">
        <v>490</v>
      </c>
      <c r="D17" s="23">
        <v>1</v>
      </c>
      <c r="E17" s="25">
        <v>261</v>
      </c>
      <c r="F17" s="23">
        <v>4</v>
      </c>
      <c r="G17" s="25"/>
      <c r="H17" s="23"/>
      <c r="I17" s="25"/>
      <c r="J17" s="23"/>
      <c r="K17" s="25">
        <v>150</v>
      </c>
      <c r="L17" s="23">
        <v>5</v>
      </c>
      <c r="M17" s="25">
        <v>362</v>
      </c>
      <c r="N17" s="23"/>
      <c r="O17" s="25"/>
      <c r="P17" s="23"/>
      <c r="Q17" s="26">
        <v>56</v>
      </c>
      <c r="R17" s="27">
        <v>1363351</v>
      </c>
      <c r="S17" s="32"/>
      <c r="T17" s="32"/>
    </row>
    <row r="18" spans="1:20" ht="14.4" customHeight="1" x14ac:dyDescent="0.3">
      <c r="A18" s="33">
        <v>15</v>
      </c>
      <c r="B18" s="34" t="s">
        <v>20</v>
      </c>
      <c r="C18" s="35"/>
      <c r="D18" s="31"/>
      <c r="E18" s="35"/>
      <c r="F18" s="31"/>
      <c r="G18" s="35"/>
      <c r="H18" s="31"/>
      <c r="I18" s="35"/>
      <c r="J18" s="31"/>
      <c r="K18" s="35"/>
      <c r="L18" s="31"/>
      <c r="M18" s="35"/>
      <c r="N18" s="31"/>
      <c r="O18" s="35"/>
      <c r="P18" s="31"/>
      <c r="Q18" s="36"/>
      <c r="R18" s="37"/>
      <c r="S18" s="32"/>
      <c r="T18" s="32"/>
    </row>
    <row r="19" spans="1:20" ht="14.4" customHeight="1" x14ac:dyDescent="0.3">
      <c r="A19" s="44">
        <v>16</v>
      </c>
      <c r="B19" s="45" t="s">
        <v>21</v>
      </c>
      <c r="C19" s="22"/>
      <c r="D19" s="31"/>
      <c r="E19" s="35"/>
      <c r="F19" s="31"/>
      <c r="G19" s="35"/>
      <c r="H19" s="31"/>
      <c r="I19" s="35"/>
      <c r="J19" s="31"/>
      <c r="K19" s="35"/>
      <c r="L19" s="31"/>
      <c r="M19" s="35"/>
      <c r="N19" s="31"/>
      <c r="O19" s="35"/>
      <c r="P19" s="31"/>
      <c r="Q19" s="36"/>
      <c r="R19" s="37"/>
      <c r="S19" s="32"/>
      <c r="T19" s="32"/>
    </row>
    <row r="20" spans="1:20" ht="15" customHeight="1" thickBot="1" x14ac:dyDescent="0.35">
      <c r="A20" s="449" t="s">
        <v>23</v>
      </c>
      <c r="B20" s="450"/>
      <c r="C20" s="38">
        <f>SUM(C13:C19)</f>
        <v>1566</v>
      </c>
      <c r="D20" s="39">
        <f t="shared" ref="D20:Q20" si="1">SUM(D13:D19)</f>
        <v>7</v>
      </c>
      <c r="E20" s="38">
        <f t="shared" si="1"/>
        <v>2285</v>
      </c>
      <c r="F20" s="39">
        <f t="shared" si="1"/>
        <v>27</v>
      </c>
      <c r="G20" s="38">
        <f t="shared" si="1"/>
        <v>206</v>
      </c>
      <c r="H20" s="39">
        <f t="shared" si="1"/>
        <v>0</v>
      </c>
      <c r="I20" s="38">
        <f t="shared" si="1"/>
        <v>1657</v>
      </c>
      <c r="J20" s="39">
        <f t="shared" si="1"/>
        <v>0</v>
      </c>
      <c r="K20" s="38">
        <f t="shared" si="1"/>
        <v>1254</v>
      </c>
      <c r="L20" s="39">
        <f t="shared" si="1"/>
        <v>10</v>
      </c>
      <c r="M20" s="38">
        <f t="shared" si="1"/>
        <v>1234</v>
      </c>
      <c r="N20" s="39">
        <f t="shared" si="1"/>
        <v>0</v>
      </c>
      <c r="O20" s="38">
        <f t="shared" si="1"/>
        <v>0</v>
      </c>
      <c r="P20" s="39">
        <f t="shared" si="1"/>
        <v>0</v>
      </c>
      <c r="Q20" s="40">
        <f t="shared" si="1"/>
        <v>459</v>
      </c>
      <c r="R20" s="41">
        <f>SUM(R13:R19)</f>
        <v>17810438</v>
      </c>
      <c r="S20" s="56"/>
      <c r="T20" s="56"/>
    </row>
    <row r="21" spans="1:20" ht="14.4" customHeight="1" thickBot="1" x14ac:dyDescent="0.35">
      <c r="A21" s="11">
        <v>17</v>
      </c>
      <c r="B21" s="12" t="s">
        <v>16</v>
      </c>
      <c r="C21" s="15">
        <v>0</v>
      </c>
      <c r="D21" s="16"/>
      <c r="E21" s="15">
        <v>500</v>
      </c>
      <c r="F21" s="16">
        <v>4</v>
      </c>
      <c r="G21" s="15"/>
      <c r="H21" s="16"/>
      <c r="I21" s="15">
        <v>261</v>
      </c>
      <c r="J21" s="16"/>
      <c r="K21" s="15">
        <v>770</v>
      </c>
      <c r="L21" s="16"/>
      <c r="M21" s="15">
        <v>200</v>
      </c>
      <c r="N21" s="16"/>
      <c r="O21" s="15"/>
      <c r="P21" s="16"/>
      <c r="Q21" s="57">
        <v>0</v>
      </c>
      <c r="R21" s="18"/>
      <c r="S21" s="116" t="s">
        <v>165</v>
      </c>
      <c r="T21" s="117"/>
    </row>
    <row r="22" spans="1:20" ht="14.4" customHeight="1" thickBot="1" x14ac:dyDescent="0.35">
      <c r="A22" s="20">
        <v>18</v>
      </c>
      <c r="B22" s="21" t="s">
        <v>17</v>
      </c>
      <c r="C22" s="25">
        <v>524</v>
      </c>
      <c r="D22" s="23"/>
      <c r="E22" s="25">
        <v>290</v>
      </c>
      <c r="F22" s="23"/>
      <c r="G22" s="25"/>
      <c r="H22" s="23"/>
      <c r="I22" s="25">
        <v>200</v>
      </c>
      <c r="J22" s="23"/>
      <c r="K22" s="25">
        <v>416</v>
      </c>
      <c r="L22" s="23"/>
      <c r="M22" s="25">
        <v>263</v>
      </c>
      <c r="N22" s="23"/>
      <c r="O22" s="25"/>
      <c r="P22" s="23"/>
      <c r="Q22" s="58">
        <v>275</v>
      </c>
      <c r="R22" s="27">
        <v>6719719</v>
      </c>
      <c r="S22" s="116" t="s">
        <v>166</v>
      </c>
      <c r="T22" s="117"/>
    </row>
    <row r="23" spans="1:20" ht="14.4" customHeight="1" x14ac:dyDescent="0.3">
      <c r="A23" s="20">
        <v>19</v>
      </c>
      <c r="B23" s="21" t="s">
        <v>17</v>
      </c>
      <c r="C23" s="25">
        <v>872</v>
      </c>
      <c r="D23" s="23"/>
      <c r="E23" s="25">
        <v>100</v>
      </c>
      <c r="F23" s="23">
        <v>7</v>
      </c>
      <c r="G23" s="25"/>
      <c r="H23" s="23"/>
      <c r="I23" s="25">
        <v>380</v>
      </c>
      <c r="J23" s="23"/>
      <c r="K23" s="25">
        <v>734</v>
      </c>
      <c r="L23" s="23"/>
      <c r="M23" s="25">
        <v>256</v>
      </c>
      <c r="N23" s="23"/>
      <c r="O23" s="25"/>
      <c r="P23" s="23"/>
      <c r="Q23" s="58">
        <v>64</v>
      </c>
      <c r="R23" s="27">
        <v>1556877</v>
      </c>
      <c r="S23" s="116" t="s">
        <v>167</v>
      </c>
      <c r="T23" s="117"/>
    </row>
    <row r="24" spans="1:20" ht="14.4" customHeight="1" x14ac:dyDescent="0.3">
      <c r="A24" s="20">
        <v>20</v>
      </c>
      <c r="B24" s="21" t="s">
        <v>18</v>
      </c>
      <c r="C24" s="118">
        <v>256</v>
      </c>
      <c r="D24" s="23">
        <v>1</v>
      </c>
      <c r="E24" s="118">
        <v>0</v>
      </c>
      <c r="F24" s="23"/>
      <c r="G24" s="25"/>
      <c r="H24" s="23"/>
      <c r="I24" s="25"/>
      <c r="J24" s="23"/>
      <c r="K24" s="118">
        <v>131</v>
      </c>
      <c r="L24" s="23"/>
      <c r="M24" s="25">
        <v>534</v>
      </c>
      <c r="N24" s="23"/>
      <c r="O24" s="25"/>
      <c r="P24" s="23"/>
      <c r="Q24" s="58">
        <v>95</v>
      </c>
      <c r="R24" s="27">
        <v>2079817</v>
      </c>
      <c r="S24" s="119" t="s">
        <v>168</v>
      </c>
      <c r="T24" s="119" t="s">
        <v>169</v>
      </c>
    </row>
    <row r="25" spans="1:20" ht="14.4" customHeight="1" x14ac:dyDescent="0.3">
      <c r="A25" s="20">
        <v>21</v>
      </c>
      <c r="B25" s="21" t="s">
        <v>19</v>
      </c>
      <c r="C25" s="118">
        <v>256</v>
      </c>
      <c r="D25" s="23">
        <v>3</v>
      </c>
      <c r="E25" s="25">
        <v>556</v>
      </c>
      <c r="F25" s="23">
        <v>3</v>
      </c>
      <c r="G25" s="25"/>
      <c r="H25" s="23"/>
      <c r="I25" s="25">
        <v>590</v>
      </c>
      <c r="J25" s="23"/>
      <c r="K25" s="118">
        <v>262</v>
      </c>
      <c r="L25" s="23"/>
      <c r="M25" s="118">
        <v>270</v>
      </c>
      <c r="N25" s="23"/>
      <c r="O25" s="25"/>
      <c r="P25" s="23"/>
      <c r="Q25" s="58">
        <v>325</v>
      </c>
      <c r="R25" s="27">
        <v>7422192</v>
      </c>
      <c r="S25" s="32"/>
      <c r="T25" s="32"/>
    </row>
    <row r="26" spans="1:20" ht="14.4" customHeight="1" x14ac:dyDescent="0.3">
      <c r="A26" s="33">
        <v>22</v>
      </c>
      <c r="B26" s="34" t="s">
        <v>20</v>
      </c>
      <c r="C26" s="35"/>
      <c r="D26" s="31"/>
      <c r="E26" s="35"/>
      <c r="F26" s="31"/>
      <c r="G26" s="35"/>
      <c r="H26" s="31"/>
      <c r="I26" s="35"/>
      <c r="J26" s="31"/>
      <c r="K26" s="35">
        <v>373</v>
      </c>
      <c r="L26" s="31"/>
      <c r="M26" s="35"/>
      <c r="N26" s="31"/>
      <c r="O26" s="35"/>
      <c r="P26" s="31"/>
      <c r="Q26" s="59"/>
      <c r="R26" s="37"/>
      <c r="S26" s="32"/>
      <c r="T26" s="32"/>
    </row>
    <row r="27" spans="1:20" ht="14.4" customHeight="1" x14ac:dyDescent="0.3">
      <c r="A27" s="44">
        <v>23</v>
      </c>
      <c r="B27" s="45" t="s">
        <v>21</v>
      </c>
      <c r="C27" s="22"/>
      <c r="D27" s="24"/>
      <c r="E27" s="22"/>
      <c r="F27" s="24"/>
      <c r="G27" s="22"/>
      <c r="H27" s="24"/>
      <c r="I27" s="22"/>
      <c r="J27" s="24"/>
      <c r="K27" s="25"/>
      <c r="L27" s="23"/>
      <c r="M27" s="25"/>
      <c r="N27" s="23"/>
      <c r="O27" s="25"/>
      <c r="P27" s="23"/>
      <c r="Q27" s="58"/>
      <c r="R27" s="27"/>
      <c r="S27" s="32"/>
      <c r="T27" s="32"/>
    </row>
    <row r="28" spans="1:20" ht="15" customHeight="1" thickBot="1" x14ac:dyDescent="0.35">
      <c r="A28" s="453" t="s">
        <v>25</v>
      </c>
      <c r="B28" s="454"/>
      <c r="C28" s="60">
        <f>SUM(C21:C27)</f>
        <v>1908</v>
      </c>
      <c r="D28" s="61">
        <f t="shared" ref="D28:Q28" si="2">SUM(D21:D27)</f>
        <v>4</v>
      </c>
      <c r="E28" s="60">
        <f t="shared" si="2"/>
        <v>1446</v>
      </c>
      <c r="F28" s="61">
        <f t="shared" si="2"/>
        <v>14</v>
      </c>
      <c r="G28" s="60">
        <f t="shared" si="2"/>
        <v>0</v>
      </c>
      <c r="H28" s="61">
        <f t="shared" si="2"/>
        <v>0</v>
      </c>
      <c r="I28" s="60">
        <f t="shared" si="2"/>
        <v>1431</v>
      </c>
      <c r="J28" s="61">
        <f t="shared" si="2"/>
        <v>0</v>
      </c>
      <c r="K28" s="60">
        <f t="shared" si="2"/>
        <v>2686</v>
      </c>
      <c r="L28" s="61">
        <f t="shared" si="2"/>
        <v>0</v>
      </c>
      <c r="M28" s="60">
        <f t="shared" si="2"/>
        <v>1523</v>
      </c>
      <c r="N28" s="61">
        <f t="shared" si="2"/>
        <v>0</v>
      </c>
      <c r="O28" s="60">
        <f t="shared" si="2"/>
        <v>0</v>
      </c>
      <c r="P28" s="61">
        <f t="shared" si="2"/>
        <v>0</v>
      </c>
      <c r="Q28" s="62">
        <f t="shared" si="2"/>
        <v>759</v>
      </c>
      <c r="R28" s="63">
        <f>SUM(R21:R27)</f>
        <v>17778605</v>
      </c>
      <c r="S28" s="56"/>
      <c r="T28" s="56"/>
    </row>
    <row r="29" spans="1:20" ht="14.4" customHeight="1" x14ac:dyDescent="0.3">
      <c r="A29" s="11">
        <v>24</v>
      </c>
      <c r="B29" s="12" t="s">
        <v>16</v>
      </c>
      <c r="C29" s="25">
        <v>709</v>
      </c>
      <c r="D29" s="23">
        <v>2</v>
      </c>
      <c r="E29" s="25">
        <v>524</v>
      </c>
      <c r="F29" s="23"/>
      <c r="G29" s="25">
        <v>1211</v>
      </c>
      <c r="H29" s="23"/>
      <c r="I29" s="25"/>
      <c r="J29" s="23"/>
      <c r="K29" s="25">
        <v>535</v>
      </c>
      <c r="L29" s="23"/>
      <c r="M29" s="25">
        <v>303</v>
      </c>
      <c r="N29" s="23"/>
      <c r="O29" s="25"/>
      <c r="P29" s="23"/>
      <c r="Q29" s="58">
        <v>676</v>
      </c>
      <c r="R29" s="27">
        <v>16964927</v>
      </c>
      <c r="S29" s="64"/>
      <c r="T29" s="120"/>
    </row>
    <row r="30" spans="1:20" ht="14.4" customHeight="1" x14ac:dyDescent="0.3">
      <c r="A30" s="20">
        <v>25</v>
      </c>
      <c r="B30" s="21" t="s">
        <v>17</v>
      </c>
      <c r="C30" s="25">
        <v>602</v>
      </c>
      <c r="D30" s="23">
        <v>8</v>
      </c>
      <c r="E30" s="25">
        <v>250</v>
      </c>
      <c r="F30" s="23">
        <v>5</v>
      </c>
      <c r="G30" s="25"/>
      <c r="H30" s="23"/>
      <c r="I30" s="25">
        <v>555</v>
      </c>
      <c r="J30" s="23"/>
      <c r="K30" s="25">
        <v>160</v>
      </c>
      <c r="L30" s="23">
        <v>3</v>
      </c>
      <c r="M30" s="25">
        <v>403</v>
      </c>
      <c r="N30" s="23"/>
      <c r="O30" s="25"/>
      <c r="P30" s="23"/>
      <c r="Q30" s="58">
        <v>563</v>
      </c>
      <c r="R30" s="27">
        <v>15081999</v>
      </c>
      <c r="S30" s="119" t="s">
        <v>170</v>
      </c>
      <c r="T30" s="121"/>
    </row>
    <row r="31" spans="1:20" ht="14.4" customHeight="1" x14ac:dyDescent="0.3">
      <c r="A31" s="20">
        <v>26</v>
      </c>
      <c r="B31" s="21" t="s">
        <v>17</v>
      </c>
      <c r="C31" s="25">
        <v>319</v>
      </c>
      <c r="D31" s="23">
        <v>3</v>
      </c>
      <c r="E31" s="25">
        <v>250</v>
      </c>
      <c r="F31" s="23">
        <v>4</v>
      </c>
      <c r="G31" s="25"/>
      <c r="H31" s="23"/>
      <c r="I31" s="25"/>
      <c r="J31" s="23"/>
      <c r="K31" s="25">
        <v>823</v>
      </c>
      <c r="L31" s="23">
        <v>12</v>
      </c>
      <c r="M31" s="25">
        <v>120</v>
      </c>
      <c r="N31" s="23"/>
      <c r="O31" s="25"/>
      <c r="P31" s="23"/>
      <c r="Q31" s="58">
        <v>508</v>
      </c>
      <c r="R31" s="27">
        <v>16321434</v>
      </c>
      <c r="S31" s="119" t="s">
        <v>171</v>
      </c>
      <c r="T31" s="122" t="s">
        <v>175</v>
      </c>
    </row>
    <row r="32" spans="1:20" ht="14.4" customHeight="1" x14ac:dyDescent="0.3">
      <c r="A32" s="20">
        <v>27</v>
      </c>
      <c r="B32" s="21" t="s">
        <v>18</v>
      </c>
      <c r="C32" s="25"/>
      <c r="D32" s="23"/>
      <c r="E32" s="25">
        <v>400</v>
      </c>
      <c r="F32" s="23"/>
      <c r="G32" s="25"/>
      <c r="H32" s="23"/>
      <c r="I32" s="25"/>
      <c r="J32" s="23"/>
      <c r="K32" s="25">
        <v>723</v>
      </c>
      <c r="L32" s="23"/>
      <c r="M32" s="25">
        <v>672</v>
      </c>
      <c r="N32" s="23"/>
      <c r="O32" s="25"/>
      <c r="P32" s="23"/>
      <c r="Q32" s="58">
        <v>229</v>
      </c>
      <c r="R32" s="27">
        <v>6097336</v>
      </c>
      <c r="S32" s="64"/>
      <c r="T32" s="121"/>
    </row>
    <row r="33" spans="1:20" ht="14.4" customHeight="1" x14ac:dyDescent="0.3">
      <c r="A33" s="20">
        <v>28</v>
      </c>
      <c r="B33" s="21" t="s">
        <v>19</v>
      </c>
      <c r="C33" s="25">
        <v>700</v>
      </c>
      <c r="D33" s="23">
        <v>6</v>
      </c>
      <c r="E33" s="25">
        <v>322</v>
      </c>
      <c r="F33" s="23"/>
      <c r="G33" s="25"/>
      <c r="H33" s="23"/>
      <c r="I33" s="25">
        <v>824</v>
      </c>
      <c r="J33" s="23"/>
      <c r="K33" s="25">
        <v>918</v>
      </c>
      <c r="L33" s="23"/>
      <c r="M33" s="25">
        <v>460</v>
      </c>
      <c r="N33" s="23"/>
      <c r="O33" s="25"/>
      <c r="P33" s="23"/>
      <c r="Q33" s="58">
        <v>933</v>
      </c>
      <c r="R33" s="27">
        <v>23626003</v>
      </c>
      <c r="S33" s="119" t="s">
        <v>172</v>
      </c>
      <c r="T33" s="121"/>
    </row>
    <row r="34" spans="1:20" ht="14.4" customHeight="1" x14ac:dyDescent="0.3">
      <c r="A34" s="453" t="s">
        <v>26</v>
      </c>
      <c r="B34" s="454"/>
      <c r="C34" s="60">
        <f t="shared" ref="C34:R34" si="3">SUM(C29:C33)</f>
        <v>2330</v>
      </c>
      <c r="D34" s="61">
        <f t="shared" si="3"/>
        <v>19</v>
      </c>
      <c r="E34" s="60">
        <f t="shared" si="3"/>
        <v>1746</v>
      </c>
      <c r="F34" s="61">
        <f t="shared" si="3"/>
        <v>9</v>
      </c>
      <c r="G34" s="60">
        <f t="shared" si="3"/>
        <v>1211</v>
      </c>
      <c r="H34" s="61">
        <f t="shared" si="3"/>
        <v>0</v>
      </c>
      <c r="I34" s="60">
        <f t="shared" si="3"/>
        <v>1379</v>
      </c>
      <c r="J34" s="61">
        <f t="shared" si="3"/>
        <v>0</v>
      </c>
      <c r="K34" s="60">
        <f t="shared" si="3"/>
        <v>3159</v>
      </c>
      <c r="L34" s="61">
        <f t="shared" si="3"/>
        <v>15</v>
      </c>
      <c r="M34" s="60">
        <f t="shared" si="3"/>
        <v>1958</v>
      </c>
      <c r="N34" s="61">
        <f t="shared" si="3"/>
        <v>0</v>
      </c>
      <c r="O34" s="60">
        <f t="shared" si="3"/>
        <v>0</v>
      </c>
      <c r="P34" s="61">
        <f t="shared" si="3"/>
        <v>0</v>
      </c>
      <c r="Q34" s="62">
        <f t="shared" si="3"/>
        <v>2909</v>
      </c>
      <c r="R34" s="63">
        <f t="shared" si="3"/>
        <v>78091699</v>
      </c>
      <c r="S34" s="64"/>
      <c r="T34" s="64"/>
    </row>
    <row r="35" spans="1:20" ht="19.95" customHeight="1" x14ac:dyDescent="0.3">
      <c r="A35" s="455" t="s">
        <v>28</v>
      </c>
      <c r="B35" s="456"/>
      <c r="C35" s="65">
        <f t="shared" ref="C35:R35" si="4">C12+C20+C28+C34</f>
        <v>6374</v>
      </c>
      <c r="D35" s="66">
        <f t="shared" si="4"/>
        <v>33</v>
      </c>
      <c r="E35" s="65">
        <f t="shared" si="4"/>
        <v>5477</v>
      </c>
      <c r="F35" s="66">
        <f t="shared" si="4"/>
        <v>52</v>
      </c>
      <c r="G35" s="65">
        <f t="shared" si="4"/>
        <v>1417</v>
      </c>
      <c r="H35" s="66">
        <f t="shared" si="4"/>
        <v>0</v>
      </c>
      <c r="I35" s="65">
        <f t="shared" si="4"/>
        <v>4467</v>
      </c>
      <c r="J35" s="66">
        <f t="shared" si="4"/>
        <v>0</v>
      </c>
      <c r="K35" s="65">
        <f t="shared" si="4"/>
        <v>7099</v>
      </c>
      <c r="L35" s="66">
        <f t="shared" si="4"/>
        <v>25</v>
      </c>
      <c r="M35" s="65">
        <f t="shared" si="4"/>
        <v>4715</v>
      </c>
      <c r="N35" s="66">
        <f t="shared" si="4"/>
        <v>0</v>
      </c>
      <c r="O35" s="65">
        <f t="shared" si="4"/>
        <v>0</v>
      </c>
      <c r="P35" s="66">
        <f t="shared" si="4"/>
        <v>0</v>
      </c>
      <c r="Q35" s="67">
        <f t="shared" si="4"/>
        <v>5899</v>
      </c>
      <c r="R35" s="68">
        <f t="shared" si="4"/>
        <v>157418018</v>
      </c>
      <c r="S35" s="69" t="s">
        <v>173</v>
      </c>
      <c r="T35" s="69" t="s">
        <v>173</v>
      </c>
    </row>
    <row r="36" spans="1:20" ht="18" customHeight="1" x14ac:dyDescent="0.3">
      <c r="A36" s="457" t="s">
        <v>30</v>
      </c>
      <c r="B36" s="458"/>
      <c r="C36" s="70">
        <v>12000</v>
      </c>
      <c r="D36" s="71"/>
      <c r="E36" s="70">
        <v>8000</v>
      </c>
      <c r="F36" s="71"/>
      <c r="G36" s="70">
        <v>5000</v>
      </c>
      <c r="H36" s="71"/>
      <c r="I36" s="70">
        <v>12000</v>
      </c>
      <c r="J36" s="71"/>
      <c r="K36" s="70">
        <v>12000</v>
      </c>
      <c r="L36" s="71"/>
      <c r="M36" s="70">
        <v>12000</v>
      </c>
      <c r="N36" s="71"/>
      <c r="O36" s="70"/>
      <c r="P36" s="71">
        <v>0</v>
      </c>
      <c r="Q36" s="70" t="s">
        <v>174</v>
      </c>
      <c r="R36" s="72">
        <v>156226375</v>
      </c>
      <c r="S36" s="73"/>
      <c r="T36" s="73"/>
    </row>
    <row r="37" spans="1:20" ht="15.6" customHeight="1" thickBot="1" x14ac:dyDescent="0.35">
      <c r="A37" s="459" t="s">
        <v>31</v>
      </c>
      <c r="B37" s="460"/>
      <c r="C37" s="74">
        <f>C35-C36</f>
        <v>-5626</v>
      </c>
      <c r="D37" s="75"/>
      <c r="E37" s="74">
        <f>E35-E36</f>
        <v>-2523</v>
      </c>
      <c r="F37" s="75"/>
      <c r="G37" s="74">
        <f>G35-G36</f>
        <v>-3583</v>
      </c>
      <c r="H37" s="75"/>
      <c r="I37" s="74">
        <f>I35-I36</f>
        <v>-7533</v>
      </c>
      <c r="J37" s="75"/>
      <c r="K37" s="74">
        <f>K35-K36</f>
        <v>-4901</v>
      </c>
      <c r="L37" s="75"/>
      <c r="M37" s="74">
        <f>M35-M36</f>
        <v>-7285</v>
      </c>
      <c r="N37" s="75"/>
      <c r="O37" s="74"/>
      <c r="P37" s="75">
        <f>P35-P36</f>
        <v>0</v>
      </c>
      <c r="Q37" s="76" t="e">
        <f>Q35-Q36</f>
        <v>#VALUE!</v>
      </c>
      <c r="R37" s="77">
        <f>R36-R35</f>
        <v>-1191643</v>
      </c>
      <c r="S37" s="78" t="s">
        <v>32</v>
      </c>
      <c r="T37" s="78" t="s">
        <v>32</v>
      </c>
    </row>
    <row r="38" spans="1:20" ht="15" thickBot="1" x14ac:dyDescent="0.35">
      <c r="A38" s="451" t="s">
        <v>33</v>
      </c>
      <c r="B38" s="452"/>
      <c r="C38" s="79" t="e">
        <f>ROUND(C37/R1,0)</f>
        <v>#DIV/0!</v>
      </c>
      <c r="D38" s="80" t="e">
        <f>ROUND(D37/R1,0)</f>
        <v>#DIV/0!</v>
      </c>
      <c r="E38" s="79" t="e">
        <f>ROUND((E37/R1),0)</f>
        <v>#DIV/0!</v>
      </c>
      <c r="F38" s="80"/>
      <c r="G38" s="79" t="e">
        <f>ROUND(G37/R1,0)</f>
        <v>#DIV/0!</v>
      </c>
      <c r="H38" s="80"/>
      <c r="I38" s="79" t="e">
        <f>ROUND(I37/R1,0)</f>
        <v>#DIV/0!</v>
      </c>
      <c r="J38" s="80"/>
      <c r="K38" s="79" t="e">
        <f>ROUND(K37/R1,0)</f>
        <v>#DIV/0!</v>
      </c>
      <c r="L38" s="80"/>
      <c r="M38" s="79" t="e">
        <f>ROUND(M37/R1,0)</f>
        <v>#DIV/0!</v>
      </c>
      <c r="N38" s="80"/>
      <c r="O38" s="79"/>
      <c r="P38" s="80"/>
      <c r="Q38" s="81" t="e">
        <f>ROUND(Q37/R1,0)</f>
        <v>#VALUE!</v>
      </c>
      <c r="R38" s="82" t="e">
        <f>R37/R1</f>
        <v>#DIV/0!</v>
      </c>
      <c r="S38" s="83" t="s">
        <v>34</v>
      </c>
      <c r="T38" s="83" t="s">
        <v>34</v>
      </c>
    </row>
  </sheetData>
  <mergeCells count="23">
    <mergeCell ref="A1:L1"/>
    <mergeCell ref="M1:Q1"/>
    <mergeCell ref="A2:B2"/>
    <mergeCell ref="C2:D2"/>
    <mergeCell ref="E2:F2"/>
    <mergeCell ref="G2:H2"/>
    <mergeCell ref="I2:J2"/>
    <mergeCell ref="K2:L2"/>
    <mergeCell ref="M2:N2"/>
    <mergeCell ref="O2:P2"/>
    <mergeCell ref="Q2:R2"/>
    <mergeCell ref="A38:B38"/>
    <mergeCell ref="A20:B20"/>
    <mergeCell ref="A28:B28"/>
    <mergeCell ref="A34:B34"/>
    <mergeCell ref="A35:B35"/>
    <mergeCell ref="A36:B36"/>
    <mergeCell ref="A37:B37"/>
    <mergeCell ref="T2:T4"/>
    <mergeCell ref="S2:S4"/>
    <mergeCell ref="A3:B3"/>
    <mergeCell ref="A4:B4"/>
    <mergeCell ref="A12:B12"/>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7179E-A841-4256-AA77-7051CCBFBA2C}">
  <sheetPr>
    <pageSetUpPr fitToPage="1"/>
  </sheetPr>
  <dimension ref="A1:T48"/>
  <sheetViews>
    <sheetView topLeftCell="A20" zoomScaleNormal="100" workbookViewId="0">
      <selection activeCell="G31" sqref="G31"/>
    </sheetView>
  </sheetViews>
  <sheetFormatPr baseColWidth="10" defaultRowHeight="14.4" x14ac:dyDescent="0.3"/>
  <cols>
    <col min="1" max="1" width="3.6640625" customWidth="1"/>
    <col min="2" max="2" width="10.88671875" customWidth="1"/>
    <col min="3" max="3" width="7.5546875" customWidth="1"/>
    <col min="4" max="4" width="7.88671875" bestFit="1" customWidth="1"/>
    <col min="5" max="16" width="7.5546875" customWidth="1"/>
    <col min="17" max="17" width="7.88671875" customWidth="1"/>
    <col min="18" max="18" width="13" customWidth="1"/>
    <col min="19" max="19" width="64.109375" bestFit="1" customWidth="1"/>
    <col min="20" max="20" width="6.5546875" customWidth="1"/>
    <col min="21" max="21" width="47.6640625" bestFit="1" customWidth="1"/>
  </cols>
  <sheetData>
    <row r="1" spans="1:20" ht="34.200000000000003" thickBot="1" x14ac:dyDescent="0.35">
      <c r="A1" s="470" t="s">
        <v>163</v>
      </c>
      <c r="B1" s="471"/>
      <c r="C1" s="471"/>
      <c r="D1" s="471"/>
      <c r="E1" s="471"/>
      <c r="F1" s="471"/>
      <c r="G1" s="471"/>
      <c r="H1" s="471"/>
      <c r="I1" s="471"/>
      <c r="J1" s="471"/>
      <c r="K1" s="471"/>
      <c r="L1" s="472"/>
      <c r="M1" s="463" t="s">
        <v>0</v>
      </c>
      <c r="N1" s="463"/>
      <c r="O1" s="463"/>
      <c r="P1" s="463"/>
      <c r="Q1" s="463"/>
      <c r="R1" s="1">
        <v>0</v>
      </c>
      <c r="S1" s="2"/>
    </row>
    <row r="2" spans="1:20" ht="14.4" customHeight="1" x14ac:dyDescent="0.3">
      <c r="A2" s="464" t="s">
        <v>1</v>
      </c>
      <c r="B2" s="465"/>
      <c r="C2" s="466" t="s">
        <v>2</v>
      </c>
      <c r="D2" s="467"/>
      <c r="E2" s="466" t="s">
        <v>3</v>
      </c>
      <c r="F2" s="467"/>
      <c r="G2" s="466" t="s">
        <v>4</v>
      </c>
      <c r="H2" s="467"/>
      <c r="I2" s="466" t="s">
        <v>5</v>
      </c>
      <c r="J2" s="467"/>
      <c r="K2" s="466" t="s">
        <v>6</v>
      </c>
      <c r="L2" s="467"/>
      <c r="M2" s="466" t="s">
        <v>7</v>
      </c>
      <c r="N2" s="467"/>
      <c r="O2" s="466" t="s">
        <v>8</v>
      </c>
      <c r="P2" s="467"/>
      <c r="Q2" s="466" t="s">
        <v>9</v>
      </c>
      <c r="R2" s="468"/>
      <c r="S2" s="443" t="s">
        <v>10</v>
      </c>
    </row>
    <row r="3" spans="1:20" ht="15" thickBot="1" x14ac:dyDescent="0.35">
      <c r="A3" s="445" t="s">
        <v>11</v>
      </c>
      <c r="B3" s="446"/>
      <c r="C3" s="3" t="s">
        <v>13</v>
      </c>
      <c r="D3" s="4" t="s">
        <v>12</v>
      </c>
      <c r="E3" s="3" t="s">
        <v>13</v>
      </c>
      <c r="F3" s="4" t="s">
        <v>12</v>
      </c>
      <c r="G3" s="3" t="s">
        <v>13</v>
      </c>
      <c r="H3" s="4" t="s">
        <v>12</v>
      </c>
      <c r="I3" s="3" t="s">
        <v>13</v>
      </c>
      <c r="J3" s="4" t="s">
        <v>12</v>
      </c>
      <c r="K3" s="3" t="s">
        <v>13</v>
      </c>
      <c r="L3" s="4" t="s">
        <v>12</v>
      </c>
      <c r="M3" s="3" t="s">
        <v>13</v>
      </c>
      <c r="N3" s="4" t="s">
        <v>12</v>
      </c>
      <c r="O3" s="3" t="s">
        <v>13</v>
      </c>
      <c r="P3" s="4" t="s">
        <v>12</v>
      </c>
      <c r="Q3" s="5" t="s">
        <v>13</v>
      </c>
      <c r="R3" s="6" t="s">
        <v>14</v>
      </c>
      <c r="S3" s="444"/>
    </row>
    <row r="4" spans="1:20" ht="14.4" customHeight="1" x14ac:dyDescent="0.3">
      <c r="A4" s="447" t="s">
        <v>15</v>
      </c>
      <c r="B4" s="448"/>
      <c r="C4" s="7">
        <v>600</v>
      </c>
      <c r="D4" s="8">
        <v>0</v>
      </c>
      <c r="E4" s="9">
        <v>400</v>
      </c>
      <c r="F4" s="8">
        <v>0</v>
      </c>
      <c r="G4" s="9">
        <v>250</v>
      </c>
      <c r="H4" s="8">
        <v>0</v>
      </c>
      <c r="I4" s="9">
        <v>600</v>
      </c>
      <c r="J4" s="8">
        <v>0</v>
      </c>
      <c r="K4" s="9">
        <v>600</v>
      </c>
      <c r="L4" s="8">
        <v>0</v>
      </c>
      <c r="M4" s="9">
        <v>600</v>
      </c>
      <c r="N4" s="8">
        <v>0</v>
      </c>
      <c r="O4" s="9">
        <v>0</v>
      </c>
      <c r="P4" s="8">
        <v>0</v>
      </c>
      <c r="Q4" s="7">
        <v>600</v>
      </c>
      <c r="R4" s="10"/>
      <c r="S4" s="469"/>
    </row>
    <row r="5" spans="1:20" ht="20.25" customHeight="1" x14ac:dyDescent="0.3">
      <c r="A5" s="11">
        <v>3</v>
      </c>
      <c r="B5" s="12" t="s">
        <v>16</v>
      </c>
      <c r="C5" s="15"/>
      <c r="D5" s="16">
        <v>7</v>
      </c>
      <c r="E5" s="15">
        <v>200</v>
      </c>
      <c r="F5" s="16">
        <v>4</v>
      </c>
      <c r="G5" s="15"/>
      <c r="H5" s="16"/>
      <c r="I5" s="15"/>
      <c r="J5" s="16"/>
      <c r="K5" s="15">
        <v>321</v>
      </c>
      <c r="L5" s="16"/>
      <c r="M5" s="25">
        <v>595</v>
      </c>
      <c r="N5" s="16"/>
      <c r="O5" s="15">
        <v>192</v>
      </c>
      <c r="P5" s="16"/>
      <c r="Q5" s="17">
        <v>0</v>
      </c>
      <c r="R5" s="18">
        <v>1549</v>
      </c>
      <c r="S5" s="19"/>
    </row>
    <row r="6" spans="1:20" ht="20.25" customHeight="1" x14ac:dyDescent="0.3">
      <c r="A6" s="20">
        <v>4</v>
      </c>
      <c r="B6" s="21" t="s">
        <v>17</v>
      </c>
      <c r="C6" s="25">
        <v>468</v>
      </c>
      <c r="D6" s="23">
        <v>2</v>
      </c>
      <c r="E6" s="25">
        <v>838</v>
      </c>
      <c r="F6" s="23">
        <v>2</v>
      </c>
      <c r="G6" s="25"/>
      <c r="H6" s="23"/>
      <c r="I6" s="25">
        <v>556</v>
      </c>
      <c r="J6" s="23"/>
      <c r="K6" s="25">
        <v>0</v>
      </c>
      <c r="L6" s="23">
        <v>3</v>
      </c>
      <c r="M6" s="25">
        <v>688</v>
      </c>
      <c r="N6" s="23"/>
      <c r="O6" s="25"/>
      <c r="P6" s="23"/>
      <c r="Q6" s="26">
        <v>661</v>
      </c>
      <c r="R6" s="27">
        <v>16345017</v>
      </c>
      <c r="S6" s="54" t="s">
        <v>176</v>
      </c>
    </row>
    <row r="7" spans="1:20" ht="20.25" customHeight="1" x14ac:dyDescent="0.3">
      <c r="A7" s="20">
        <v>5</v>
      </c>
      <c r="B7" s="21" t="s">
        <v>17</v>
      </c>
      <c r="C7" s="25">
        <v>1078</v>
      </c>
      <c r="D7" s="23">
        <v>7</v>
      </c>
      <c r="E7" s="25">
        <v>300</v>
      </c>
      <c r="F7" s="23">
        <v>4</v>
      </c>
      <c r="G7" s="25"/>
      <c r="H7" s="23"/>
      <c r="I7" s="25"/>
      <c r="J7" s="23"/>
      <c r="K7" s="25">
        <v>1191</v>
      </c>
      <c r="L7" s="23">
        <v>7</v>
      </c>
      <c r="M7" s="25">
        <v>458</v>
      </c>
      <c r="N7" s="23"/>
      <c r="O7" s="25"/>
      <c r="P7" s="23"/>
      <c r="Q7" s="26">
        <v>233</v>
      </c>
      <c r="R7" s="27">
        <v>5738613</v>
      </c>
      <c r="S7" s="28"/>
    </row>
    <row r="8" spans="1:20" ht="26.25" customHeight="1" x14ac:dyDescent="0.3">
      <c r="A8" s="20">
        <v>6</v>
      </c>
      <c r="B8" s="21" t="s">
        <v>18</v>
      </c>
      <c r="C8" s="25">
        <v>866</v>
      </c>
      <c r="D8" s="23"/>
      <c r="E8" s="25">
        <v>300</v>
      </c>
      <c r="F8" s="23"/>
      <c r="G8" s="35">
        <v>601</v>
      </c>
      <c r="H8" s="23"/>
      <c r="I8" s="25">
        <v>850</v>
      </c>
      <c r="J8" s="23"/>
      <c r="K8" s="25">
        <v>876</v>
      </c>
      <c r="L8" s="23">
        <v>5</v>
      </c>
      <c r="M8" s="25">
        <v>978</v>
      </c>
      <c r="N8" s="23"/>
      <c r="O8" s="25">
        <v>300</v>
      </c>
      <c r="P8" s="23"/>
      <c r="Q8" s="26">
        <v>277</v>
      </c>
      <c r="R8" s="27">
        <v>4906878</v>
      </c>
      <c r="S8" s="125" t="s">
        <v>177</v>
      </c>
    </row>
    <row r="9" spans="1:20" ht="25.5" customHeight="1" x14ac:dyDescent="0.3">
      <c r="A9" s="29">
        <v>7</v>
      </c>
      <c r="B9" s="30" t="s">
        <v>19</v>
      </c>
      <c r="C9" s="25"/>
      <c r="D9" s="23"/>
      <c r="E9" s="35"/>
      <c r="F9" s="23">
        <v>3</v>
      </c>
      <c r="G9" s="25"/>
      <c r="H9" s="23"/>
      <c r="I9" s="25">
        <f>22+466</f>
        <v>488</v>
      </c>
      <c r="J9" s="23"/>
      <c r="K9" s="25">
        <v>662</v>
      </c>
      <c r="L9" s="23"/>
      <c r="M9" s="43">
        <v>538</v>
      </c>
      <c r="N9" s="23"/>
      <c r="O9" s="25">
        <v>241</v>
      </c>
      <c r="P9" s="23"/>
      <c r="Q9" s="26">
        <v>350</v>
      </c>
      <c r="R9" s="27">
        <v>8580117</v>
      </c>
      <c r="S9" s="126" t="s">
        <v>178</v>
      </c>
    </row>
    <row r="10" spans="1:20" ht="20.25" customHeight="1" x14ac:dyDescent="0.3">
      <c r="A10" s="33">
        <v>8</v>
      </c>
      <c r="B10" s="34" t="s">
        <v>20</v>
      </c>
      <c r="C10" s="35">
        <v>348</v>
      </c>
      <c r="D10" s="31"/>
      <c r="E10" s="35"/>
      <c r="F10" s="31"/>
      <c r="G10" s="35"/>
      <c r="H10" s="31"/>
      <c r="I10" s="35"/>
      <c r="J10" s="31"/>
      <c r="K10" s="35"/>
      <c r="L10" s="31">
        <v>3</v>
      </c>
      <c r="M10" s="35"/>
      <c r="N10" s="31"/>
      <c r="O10" s="35"/>
      <c r="P10" s="31"/>
      <c r="Q10" s="36"/>
      <c r="R10" s="37"/>
      <c r="S10" s="127"/>
    </row>
    <row r="11" spans="1:20" ht="20.25" customHeight="1" x14ac:dyDescent="0.3">
      <c r="A11" s="44">
        <v>9</v>
      </c>
      <c r="B11" s="45" t="s">
        <v>21</v>
      </c>
      <c r="C11" s="22"/>
      <c r="D11" s="31"/>
      <c r="E11" s="22"/>
      <c r="F11" s="31"/>
      <c r="G11" s="22"/>
      <c r="H11" s="31"/>
      <c r="I11" s="22"/>
      <c r="J11" s="31"/>
      <c r="K11" s="25"/>
      <c r="L11" s="31"/>
      <c r="M11" s="25"/>
      <c r="N11" s="31"/>
      <c r="O11" s="25"/>
      <c r="P11" s="31"/>
      <c r="Q11" s="26"/>
      <c r="R11" s="37"/>
      <c r="S11" s="28"/>
    </row>
    <row r="12" spans="1:20" ht="15" thickBot="1" x14ac:dyDescent="0.35">
      <c r="A12" s="449" t="s">
        <v>22</v>
      </c>
      <c r="B12" s="450"/>
      <c r="C12" s="38">
        <f>SUM(C5:C11)</f>
        <v>2760</v>
      </c>
      <c r="D12" s="39">
        <f t="shared" ref="D12:Q12" si="0">SUM(D5:D11)</f>
        <v>16</v>
      </c>
      <c r="E12" s="38">
        <f t="shared" si="0"/>
        <v>1638</v>
      </c>
      <c r="F12" s="39">
        <f t="shared" si="0"/>
        <v>13</v>
      </c>
      <c r="G12" s="38">
        <f t="shared" si="0"/>
        <v>601</v>
      </c>
      <c r="H12" s="39">
        <f t="shared" si="0"/>
        <v>0</v>
      </c>
      <c r="I12" s="38">
        <f t="shared" si="0"/>
        <v>1894</v>
      </c>
      <c r="J12" s="39">
        <f t="shared" si="0"/>
        <v>0</v>
      </c>
      <c r="K12" s="38">
        <f t="shared" si="0"/>
        <v>3050</v>
      </c>
      <c r="L12" s="39">
        <f t="shared" si="0"/>
        <v>18</v>
      </c>
      <c r="M12" s="38">
        <f>SUM(M5:M11)</f>
        <v>3257</v>
      </c>
      <c r="N12" s="39">
        <f t="shared" si="0"/>
        <v>0</v>
      </c>
      <c r="O12" s="38">
        <f t="shared" si="0"/>
        <v>733</v>
      </c>
      <c r="P12" s="39">
        <f t="shared" si="0"/>
        <v>0</v>
      </c>
      <c r="Q12" s="40">
        <f t="shared" si="0"/>
        <v>1521</v>
      </c>
      <c r="R12" s="41">
        <f>SUM(R5:R11)</f>
        <v>35572174</v>
      </c>
      <c r="S12" s="46"/>
    </row>
    <row r="13" spans="1:20" ht="21.75" customHeight="1" x14ac:dyDescent="0.3">
      <c r="A13" s="47">
        <v>10</v>
      </c>
      <c r="B13" s="48" t="s">
        <v>16</v>
      </c>
      <c r="C13" s="52"/>
      <c r="D13" s="51">
        <v>7</v>
      </c>
      <c r="E13" s="52">
        <v>250</v>
      </c>
      <c r="F13" s="51"/>
      <c r="G13" s="52">
        <v>1036</v>
      </c>
      <c r="H13" s="51"/>
      <c r="I13" s="52">
        <v>594</v>
      </c>
      <c r="J13" s="51"/>
      <c r="K13" s="52">
        <v>460</v>
      </c>
      <c r="L13" s="51"/>
      <c r="M13" s="52"/>
      <c r="N13" s="51"/>
      <c r="O13" s="52"/>
      <c r="P13" s="51"/>
      <c r="Q13" s="86">
        <v>128</v>
      </c>
      <c r="R13" s="87">
        <v>3276393</v>
      </c>
      <c r="S13" s="53"/>
    </row>
    <row r="14" spans="1:20" ht="24" x14ac:dyDescent="0.3">
      <c r="A14" s="20">
        <v>11</v>
      </c>
      <c r="B14" s="21" t="s">
        <v>17</v>
      </c>
      <c r="C14" s="25">
        <v>1602</v>
      </c>
      <c r="D14" s="23">
        <v>6</v>
      </c>
      <c r="E14" s="25">
        <v>461</v>
      </c>
      <c r="F14" s="23">
        <v>4</v>
      </c>
      <c r="G14" s="25"/>
      <c r="H14" s="23"/>
      <c r="I14" s="25">
        <v>390</v>
      </c>
      <c r="J14" s="23"/>
      <c r="K14" s="25">
        <v>457</v>
      </c>
      <c r="L14" s="23"/>
      <c r="M14" s="25">
        <v>1077</v>
      </c>
      <c r="N14" s="23"/>
      <c r="O14" s="25"/>
      <c r="P14" s="23"/>
      <c r="Q14" s="26">
        <v>1726</v>
      </c>
      <c r="R14" s="27">
        <v>36825343</v>
      </c>
      <c r="S14" s="128" t="s">
        <v>179</v>
      </c>
    </row>
    <row r="15" spans="1:20" ht="24" x14ac:dyDescent="0.3">
      <c r="A15" s="20">
        <v>12</v>
      </c>
      <c r="B15" s="21" t="s">
        <v>17</v>
      </c>
      <c r="C15" s="25">
        <v>337</v>
      </c>
      <c r="D15" s="23"/>
      <c r="E15" s="25">
        <v>300</v>
      </c>
      <c r="F15" s="23">
        <v>1</v>
      </c>
      <c r="G15" s="25">
        <v>673</v>
      </c>
      <c r="H15" s="23"/>
      <c r="I15" s="25">
        <v>371</v>
      </c>
      <c r="J15" s="23"/>
      <c r="K15" s="25">
        <v>572</v>
      </c>
      <c r="L15" s="23"/>
      <c r="M15" s="25">
        <v>533</v>
      </c>
      <c r="N15" s="23"/>
      <c r="O15" s="25"/>
      <c r="P15" s="23"/>
      <c r="Q15" s="26">
        <v>560</v>
      </c>
      <c r="R15" s="27">
        <v>14018096</v>
      </c>
      <c r="S15" s="129" t="s">
        <v>180</v>
      </c>
    </row>
    <row r="16" spans="1:20" x14ac:dyDescent="0.3">
      <c r="A16" s="20">
        <v>13</v>
      </c>
      <c r="B16" s="21" t="s">
        <v>18</v>
      </c>
      <c r="C16" s="25">
        <v>474</v>
      </c>
      <c r="D16" s="23">
        <v>4</v>
      </c>
      <c r="E16" s="25">
        <v>844</v>
      </c>
      <c r="F16" s="23">
        <v>3</v>
      </c>
      <c r="G16" s="25">
        <v>300</v>
      </c>
      <c r="H16" s="23"/>
      <c r="I16" s="25">
        <v>390</v>
      </c>
      <c r="J16" s="23"/>
      <c r="K16" s="25">
        <v>602</v>
      </c>
      <c r="L16" s="23"/>
      <c r="M16" s="25">
        <v>675</v>
      </c>
      <c r="N16" s="23"/>
      <c r="O16" s="25">
        <v>101</v>
      </c>
      <c r="P16" s="23"/>
      <c r="Q16" s="26">
        <v>535</v>
      </c>
      <c r="R16" s="27">
        <v>13525650</v>
      </c>
      <c r="S16" s="28"/>
      <c r="T16" s="55"/>
    </row>
    <row r="17" spans="1:19" ht="24" x14ac:dyDescent="0.3">
      <c r="A17" s="20">
        <v>14</v>
      </c>
      <c r="B17" s="21" t="s">
        <v>19</v>
      </c>
      <c r="C17" s="25">
        <v>488</v>
      </c>
      <c r="D17" s="23"/>
      <c r="E17" s="25"/>
      <c r="F17" s="23">
        <v>6</v>
      </c>
      <c r="G17" s="25"/>
      <c r="H17" s="23"/>
      <c r="I17" s="25">
        <v>1308</v>
      </c>
      <c r="J17" s="23"/>
      <c r="K17" s="25">
        <v>244</v>
      </c>
      <c r="L17" s="23"/>
      <c r="M17" s="25">
        <v>521</v>
      </c>
      <c r="N17" s="23"/>
      <c r="O17" s="25">
        <v>175</v>
      </c>
      <c r="P17" s="23"/>
      <c r="Q17" s="26">
        <v>377</v>
      </c>
      <c r="R17" s="27">
        <v>9239075</v>
      </c>
      <c r="S17" s="126" t="s">
        <v>181</v>
      </c>
    </row>
    <row r="18" spans="1:19" x14ac:dyDescent="0.3">
      <c r="A18" s="33">
        <v>15</v>
      </c>
      <c r="B18" s="34" t="s">
        <v>20</v>
      </c>
      <c r="C18" s="35">
        <v>376</v>
      </c>
      <c r="D18" s="31"/>
      <c r="E18" s="35"/>
      <c r="F18" s="31"/>
      <c r="G18" s="35"/>
      <c r="H18" s="31"/>
      <c r="I18" s="35"/>
      <c r="J18" s="31"/>
      <c r="K18" s="35"/>
      <c r="L18" s="31"/>
      <c r="M18" s="35"/>
      <c r="N18" s="31"/>
      <c r="O18" s="35"/>
      <c r="P18" s="31"/>
      <c r="Q18" s="36"/>
      <c r="R18" s="37"/>
      <c r="S18" s="32"/>
    </row>
    <row r="19" spans="1:19" x14ac:dyDescent="0.3">
      <c r="A19" s="44">
        <v>16</v>
      </c>
      <c r="B19" s="45" t="s">
        <v>21</v>
      </c>
      <c r="C19" s="22"/>
      <c r="D19" s="31"/>
      <c r="E19" s="35"/>
      <c r="F19" s="31"/>
      <c r="G19" s="35"/>
      <c r="H19" s="31"/>
      <c r="I19" s="35"/>
      <c r="J19" s="31"/>
      <c r="K19" s="35"/>
      <c r="L19" s="31"/>
      <c r="M19" s="35"/>
      <c r="N19" s="31"/>
      <c r="O19" s="35"/>
      <c r="P19" s="31"/>
      <c r="Q19" s="36"/>
      <c r="R19" s="37"/>
      <c r="S19" s="32"/>
    </row>
    <row r="20" spans="1:19" ht="15" thickBot="1" x14ac:dyDescent="0.35">
      <c r="A20" s="449" t="s">
        <v>23</v>
      </c>
      <c r="B20" s="450"/>
      <c r="C20" s="38">
        <f>SUM(C13:C19)</f>
        <v>3277</v>
      </c>
      <c r="D20" s="39">
        <f t="shared" ref="D20:Q20" si="1">SUM(D13:D19)</f>
        <v>17</v>
      </c>
      <c r="E20" s="38">
        <f t="shared" si="1"/>
        <v>1855</v>
      </c>
      <c r="F20" s="39">
        <f t="shared" si="1"/>
        <v>14</v>
      </c>
      <c r="G20" s="38">
        <f t="shared" si="1"/>
        <v>2009</v>
      </c>
      <c r="H20" s="39">
        <f t="shared" si="1"/>
        <v>0</v>
      </c>
      <c r="I20" s="38">
        <f t="shared" si="1"/>
        <v>3053</v>
      </c>
      <c r="J20" s="39">
        <f t="shared" si="1"/>
        <v>0</v>
      </c>
      <c r="K20" s="38">
        <f t="shared" si="1"/>
        <v>2335</v>
      </c>
      <c r="L20" s="39">
        <f t="shared" si="1"/>
        <v>0</v>
      </c>
      <c r="M20" s="38">
        <f t="shared" si="1"/>
        <v>2806</v>
      </c>
      <c r="N20" s="39">
        <f t="shared" si="1"/>
        <v>0</v>
      </c>
      <c r="O20" s="38">
        <f t="shared" si="1"/>
        <v>276</v>
      </c>
      <c r="P20" s="39">
        <f t="shared" si="1"/>
        <v>0</v>
      </c>
      <c r="Q20" s="40">
        <f t="shared" si="1"/>
        <v>3326</v>
      </c>
      <c r="R20" s="41">
        <f>SUM(R13:R19)</f>
        <v>76884557</v>
      </c>
      <c r="S20" s="56"/>
    </row>
    <row r="21" spans="1:19" ht="19.5" customHeight="1" x14ac:dyDescent="0.3">
      <c r="A21" s="11">
        <v>17</v>
      </c>
      <c r="B21" s="12" t="s">
        <v>16</v>
      </c>
      <c r="C21" s="15">
        <v>450</v>
      </c>
      <c r="D21" s="16">
        <v>20</v>
      </c>
      <c r="E21" s="15">
        <v>200</v>
      </c>
      <c r="F21" s="16"/>
      <c r="G21" s="15"/>
      <c r="H21" s="16"/>
      <c r="I21" s="15">
        <v>1027</v>
      </c>
      <c r="J21" s="16"/>
      <c r="K21" s="15">
        <v>754</v>
      </c>
      <c r="L21" s="16"/>
      <c r="M21" s="15">
        <v>413</v>
      </c>
      <c r="N21" s="16"/>
      <c r="O21" s="15"/>
      <c r="P21" s="16"/>
      <c r="Q21" s="57">
        <v>318</v>
      </c>
      <c r="R21" s="18">
        <v>7918928</v>
      </c>
      <c r="S21" s="131" t="s">
        <v>182</v>
      </c>
    </row>
    <row r="22" spans="1:19" ht="27.75" customHeight="1" x14ac:dyDescent="0.3">
      <c r="A22" s="20">
        <v>18</v>
      </c>
      <c r="B22" s="21" t="s">
        <v>17</v>
      </c>
      <c r="C22" s="25">
        <v>332</v>
      </c>
      <c r="D22" s="23"/>
      <c r="E22" s="25">
        <v>300</v>
      </c>
      <c r="F22" s="23">
        <v>6</v>
      </c>
      <c r="G22" s="25"/>
      <c r="H22" s="23"/>
      <c r="I22" s="25"/>
      <c r="J22" s="23"/>
      <c r="K22" s="25">
        <v>100</v>
      </c>
      <c r="L22" s="23">
        <v>14</v>
      </c>
      <c r="M22" s="25">
        <v>527</v>
      </c>
      <c r="N22" s="23"/>
      <c r="O22" s="25"/>
      <c r="P22" s="23"/>
      <c r="Q22" s="58">
        <v>1247</v>
      </c>
      <c r="R22" s="27">
        <v>16730311</v>
      </c>
      <c r="S22" s="128" t="s">
        <v>183</v>
      </c>
    </row>
    <row r="23" spans="1:19" ht="28.5" customHeight="1" x14ac:dyDescent="0.3">
      <c r="A23" s="20">
        <v>19</v>
      </c>
      <c r="B23" s="21" t="s">
        <v>17</v>
      </c>
      <c r="C23" s="25">
        <v>698</v>
      </c>
      <c r="D23" s="23">
        <v>2</v>
      </c>
      <c r="E23" s="25">
        <v>300</v>
      </c>
      <c r="F23" s="23"/>
      <c r="G23" s="25"/>
      <c r="H23" s="23"/>
      <c r="I23" s="25">
        <v>180</v>
      </c>
      <c r="J23" s="23"/>
      <c r="K23" s="25">
        <v>450</v>
      </c>
      <c r="L23" s="23"/>
      <c r="M23" s="25">
        <v>810</v>
      </c>
      <c r="N23" s="23">
        <v>1</v>
      </c>
      <c r="O23" s="25"/>
      <c r="P23" s="23"/>
      <c r="Q23" s="58">
        <v>560</v>
      </c>
      <c r="R23" s="27">
        <v>14105986</v>
      </c>
      <c r="S23" s="128" t="s">
        <v>184</v>
      </c>
    </row>
    <row r="24" spans="1:19" ht="14.4" customHeight="1" x14ac:dyDescent="0.3">
      <c r="A24" s="20">
        <v>20</v>
      </c>
      <c r="B24" s="21" t="s">
        <v>18</v>
      </c>
      <c r="C24" s="25">
        <v>718</v>
      </c>
      <c r="D24" s="23"/>
      <c r="E24" s="25">
        <v>0</v>
      </c>
      <c r="F24" s="23"/>
      <c r="G24" s="25"/>
      <c r="H24" s="23"/>
      <c r="I24" s="25">
        <v>557</v>
      </c>
      <c r="J24" s="23"/>
      <c r="K24" s="25">
        <v>664</v>
      </c>
      <c r="L24" s="23">
        <v>6</v>
      </c>
      <c r="M24" s="25">
        <v>520</v>
      </c>
      <c r="N24" s="23"/>
      <c r="O24" s="25">
        <v>40</v>
      </c>
      <c r="P24" s="23"/>
      <c r="Q24" s="58">
        <v>612</v>
      </c>
      <c r="R24" s="27">
        <v>13938149</v>
      </c>
      <c r="S24" s="28"/>
    </row>
    <row r="25" spans="1:19" ht="14.4" customHeight="1" x14ac:dyDescent="0.3">
      <c r="A25" s="20">
        <v>21</v>
      </c>
      <c r="B25" s="21" t="s">
        <v>19</v>
      </c>
      <c r="C25" s="25">
        <v>1000</v>
      </c>
      <c r="D25" s="23"/>
      <c r="E25" s="138">
        <v>1496</v>
      </c>
      <c r="F25" s="23">
        <v>5</v>
      </c>
      <c r="G25" s="25">
        <v>1039</v>
      </c>
      <c r="H25" s="23"/>
      <c r="I25" s="25">
        <v>369</v>
      </c>
      <c r="J25" s="23"/>
      <c r="K25" s="25">
        <v>640</v>
      </c>
      <c r="L25" s="23"/>
      <c r="M25" s="25">
        <v>341</v>
      </c>
      <c r="N25" s="23"/>
      <c r="O25" s="25"/>
      <c r="P25" s="23"/>
      <c r="Q25" s="58">
        <v>29</v>
      </c>
      <c r="R25" s="27">
        <v>762391</v>
      </c>
      <c r="S25" s="32"/>
    </row>
    <row r="26" spans="1:19" ht="28.2" customHeight="1" x14ac:dyDescent="0.3">
      <c r="A26" s="33">
        <v>22</v>
      </c>
      <c r="B26" s="34" t="s">
        <v>20</v>
      </c>
      <c r="C26" s="35"/>
      <c r="D26" s="31"/>
      <c r="E26" s="35"/>
      <c r="F26" s="31"/>
      <c r="G26" s="35"/>
      <c r="H26" s="31"/>
      <c r="I26" s="35"/>
      <c r="J26" s="31"/>
      <c r="K26" s="35">
        <v>277</v>
      </c>
      <c r="L26" s="31">
        <v>5</v>
      </c>
      <c r="M26" s="35"/>
      <c r="N26" s="31"/>
      <c r="O26" s="35"/>
      <c r="P26" s="31"/>
      <c r="Q26" s="59"/>
      <c r="R26" s="37"/>
      <c r="S26" s="128" t="s">
        <v>186</v>
      </c>
    </row>
    <row r="27" spans="1:19" ht="14.4" customHeight="1" x14ac:dyDescent="0.3">
      <c r="A27" s="44">
        <v>23</v>
      </c>
      <c r="B27" s="45" t="s">
        <v>21</v>
      </c>
      <c r="C27" s="22"/>
      <c r="D27" s="24"/>
      <c r="E27" s="22"/>
      <c r="F27" s="24"/>
      <c r="G27" s="22"/>
      <c r="H27" s="24"/>
      <c r="I27" s="22"/>
      <c r="J27" s="24"/>
      <c r="K27" s="25"/>
      <c r="L27" s="23"/>
      <c r="M27" s="25"/>
      <c r="N27" s="23"/>
      <c r="O27" s="25"/>
      <c r="P27" s="23"/>
      <c r="Q27" s="58"/>
      <c r="R27" s="27"/>
      <c r="S27" s="32"/>
    </row>
    <row r="28" spans="1:19" ht="15" thickBot="1" x14ac:dyDescent="0.35">
      <c r="A28" s="449" t="s">
        <v>25</v>
      </c>
      <c r="B28" s="450"/>
      <c r="C28" s="38">
        <f>SUM(C21:C27)</f>
        <v>3198</v>
      </c>
      <c r="D28" s="39">
        <f t="shared" ref="D28:Q28" si="2">SUM(D21:D27)</f>
        <v>22</v>
      </c>
      <c r="E28" s="38">
        <f t="shared" si="2"/>
        <v>2296</v>
      </c>
      <c r="F28" s="39">
        <f t="shared" si="2"/>
        <v>11</v>
      </c>
      <c r="G28" s="38">
        <f t="shared" si="2"/>
        <v>1039</v>
      </c>
      <c r="H28" s="39">
        <f t="shared" si="2"/>
        <v>0</v>
      </c>
      <c r="I28" s="38">
        <f t="shared" si="2"/>
        <v>2133</v>
      </c>
      <c r="J28" s="39">
        <f t="shared" si="2"/>
        <v>0</v>
      </c>
      <c r="K28" s="38">
        <f t="shared" si="2"/>
        <v>2885</v>
      </c>
      <c r="L28" s="39">
        <f t="shared" si="2"/>
        <v>25</v>
      </c>
      <c r="M28" s="38">
        <f t="shared" si="2"/>
        <v>2611</v>
      </c>
      <c r="N28" s="39">
        <f t="shared" si="2"/>
        <v>1</v>
      </c>
      <c r="O28" s="38">
        <f t="shared" si="2"/>
        <v>40</v>
      </c>
      <c r="P28" s="39">
        <f t="shared" si="2"/>
        <v>0</v>
      </c>
      <c r="Q28" s="40">
        <f t="shared" si="2"/>
        <v>2766</v>
      </c>
      <c r="R28" s="41">
        <f>SUM(R21:R27)</f>
        <v>53455765</v>
      </c>
      <c r="S28" s="56"/>
    </row>
    <row r="29" spans="1:19" ht="19.2" customHeight="1" x14ac:dyDescent="0.3">
      <c r="A29" s="11">
        <v>24</v>
      </c>
      <c r="B29" s="12" t="s">
        <v>16</v>
      </c>
      <c r="C29" s="25">
        <v>718</v>
      </c>
      <c r="D29" s="23">
        <v>14</v>
      </c>
      <c r="E29" s="25">
        <v>288</v>
      </c>
      <c r="F29" s="23">
        <v>4</v>
      </c>
      <c r="G29" s="25"/>
      <c r="H29" s="23"/>
      <c r="I29" s="25">
        <v>811</v>
      </c>
      <c r="J29" s="23"/>
      <c r="K29" s="25">
        <v>531</v>
      </c>
      <c r="L29" s="23"/>
      <c r="M29" s="25">
        <v>428</v>
      </c>
      <c r="N29" s="23"/>
      <c r="O29" s="25"/>
      <c r="P29" s="23"/>
      <c r="Q29" s="58">
        <v>3</v>
      </c>
      <c r="R29" s="27">
        <v>43422</v>
      </c>
      <c r="S29" s="133" t="s">
        <v>187</v>
      </c>
    </row>
    <row r="30" spans="1:19" ht="22.2" customHeight="1" x14ac:dyDescent="0.3">
      <c r="A30" s="20">
        <v>25</v>
      </c>
      <c r="B30" s="21" t="s">
        <v>17</v>
      </c>
      <c r="C30" s="25">
        <v>0</v>
      </c>
      <c r="D30" s="23"/>
      <c r="E30" s="25">
        <v>337</v>
      </c>
      <c r="F30" s="23"/>
      <c r="G30" s="25"/>
      <c r="H30" s="23"/>
      <c r="I30" s="25">
        <v>390</v>
      </c>
      <c r="J30" s="23"/>
      <c r="K30" s="25">
        <v>736</v>
      </c>
      <c r="L30" s="23">
        <v>4</v>
      </c>
      <c r="M30" s="25">
        <v>388</v>
      </c>
      <c r="N30" s="23"/>
      <c r="O30" s="25"/>
      <c r="P30" s="23"/>
      <c r="Q30" s="58">
        <v>506</v>
      </c>
      <c r="R30" s="27">
        <v>20838374</v>
      </c>
      <c r="S30" s="132" t="s">
        <v>185</v>
      </c>
    </row>
    <row r="31" spans="1:19" ht="14.4" customHeight="1" x14ac:dyDescent="0.3">
      <c r="A31" s="20">
        <v>26</v>
      </c>
      <c r="B31" s="21" t="s">
        <v>17</v>
      </c>
      <c r="C31" s="25">
        <v>590</v>
      </c>
      <c r="D31" s="23">
        <v>2</v>
      </c>
      <c r="E31" s="25">
        <v>360</v>
      </c>
      <c r="F31" s="23">
        <v>5</v>
      </c>
      <c r="G31" s="25"/>
      <c r="H31" s="23"/>
      <c r="I31" s="25">
        <v>518</v>
      </c>
      <c r="J31" s="23"/>
      <c r="K31" s="25">
        <v>629</v>
      </c>
      <c r="L31" s="23"/>
      <c r="M31" s="25">
        <v>836</v>
      </c>
      <c r="N31" s="23"/>
      <c r="O31" s="25">
        <v>484</v>
      </c>
      <c r="P31" s="23"/>
      <c r="Q31" s="58">
        <v>691</v>
      </c>
      <c r="R31" s="27">
        <v>17496092</v>
      </c>
      <c r="S31" s="123"/>
    </row>
    <row r="32" spans="1:19" ht="14.4" customHeight="1" x14ac:dyDescent="0.3">
      <c r="A32" s="20">
        <v>27</v>
      </c>
      <c r="B32" s="21" t="s">
        <v>18</v>
      </c>
      <c r="C32" s="25">
        <v>512</v>
      </c>
      <c r="D32" s="23"/>
      <c r="E32" s="25">
        <v>200</v>
      </c>
      <c r="F32" s="139">
        <v>3</v>
      </c>
      <c r="G32" s="25"/>
      <c r="H32" s="23"/>
      <c r="I32" s="25">
        <v>360</v>
      </c>
      <c r="J32" s="23"/>
      <c r="K32" s="25">
        <v>0</v>
      </c>
      <c r="L32" s="23">
        <v>5</v>
      </c>
      <c r="M32" s="35">
        <v>567</v>
      </c>
      <c r="N32" s="23"/>
      <c r="O32" s="25"/>
      <c r="P32" s="23"/>
      <c r="Q32" s="59">
        <v>-30</v>
      </c>
      <c r="R32" s="37">
        <v>-765713</v>
      </c>
      <c r="S32" s="134" t="s">
        <v>188</v>
      </c>
    </row>
    <row r="33" spans="1:19" ht="14.4" customHeight="1" x14ac:dyDescent="0.3">
      <c r="A33" s="20">
        <v>28</v>
      </c>
      <c r="B33" s="21" t="s">
        <v>19</v>
      </c>
      <c r="C33" s="25">
        <v>718</v>
      </c>
      <c r="D33" s="23">
        <v>4</v>
      </c>
      <c r="E33" s="25">
        <v>343</v>
      </c>
      <c r="F33" s="23"/>
      <c r="G33" s="25"/>
      <c r="H33" s="23"/>
      <c r="I33" s="25">
        <v>796</v>
      </c>
      <c r="J33" s="23"/>
      <c r="K33" s="25">
        <v>95</v>
      </c>
      <c r="L33" s="23">
        <v>1</v>
      </c>
      <c r="M33" s="35">
        <v>430</v>
      </c>
      <c r="N33" s="23"/>
      <c r="O33" s="25"/>
      <c r="P33" s="23"/>
      <c r="Q33" s="58">
        <v>800</v>
      </c>
      <c r="R33" s="27">
        <v>19970649</v>
      </c>
      <c r="S33" s="134" t="s">
        <v>189</v>
      </c>
    </row>
    <row r="34" spans="1:19" ht="14.4" customHeight="1" x14ac:dyDescent="0.3">
      <c r="A34" s="33">
        <v>29</v>
      </c>
      <c r="B34" s="34" t="s">
        <v>20</v>
      </c>
      <c r="C34" s="35"/>
      <c r="D34" s="31"/>
      <c r="E34" s="35"/>
      <c r="F34" s="31"/>
      <c r="G34" s="35"/>
      <c r="H34" s="31"/>
      <c r="I34" s="35"/>
      <c r="J34" s="31"/>
      <c r="K34" s="35"/>
      <c r="L34" s="31"/>
      <c r="M34" s="35"/>
      <c r="N34" s="31"/>
      <c r="O34" s="35"/>
      <c r="P34" s="31"/>
      <c r="Q34" s="59"/>
      <c r="R34" s="37"/>
      <c r="S34" s="32"/>
    </row>
    <row r="35" spans="1:19" ht="14.4" customHeight="1" x14ac:dyDescent="0.3">
      <c r="A35" s="44">
        <v>30</v>
      </c>
      <c r="B35" s="45" t="s">
        <v>21</v>
      </c>
      <c r="C35" s="22"/>
      <c r="D35" s="24"/>
      <c r="E35" s="22"/>
      <c r="F35" s="24"/>
      <c r="G35" s="22"/>
      <c r="H35" s="24"/>
      <c r="I35" s="22"/>
      <c r="J35" s="24"/>
      <c r="K35" s="25"/>
      <c r="L35" s="23"/>
      <c r="M35" s="25"/>
      <c r="N35" s="23"/>
      <c r="O35" s="25"/>
      <c r="P35" s="23"/>
      <c r="Q35" s="58"/>
      <c r="R35" s="27"/>
      <c r="S35" s="32"/>
    </row>
    <row r="36" spans="1:19" ht="15" thickBot="1" x14ac:dyDescent="0.35">
      <c r="A36" s="449" t="s">
        <v>26</v>
      </c>
      <c r="B36" s="450"/>
      <c r="C36" s="38">
        <f t="shared" ref="C36:R36" si="3">SUM(C29:C35)</f>
        <v>2538</v>
      </c>
      <c r="D36" s="39">
        <f t="shared" si="3"/>
        <v>20</v>
      </c>
      <c r="E36" s="38">
        <f t="shared" si="3"/>
        <v>1528</v>
      </c>
      <c r="F36" s="39">
        <f t="shared" si="3"/>
        <v>12</v>
      </c>
      <c r="G36" s="38">
        <f t="shared" si="3"/>
        <v>0</v>
      </c>
      <c r="H36" s="39">
        <f t="shared" si="3"/>
        <v>0</v>
      </c>
      <c r="I36" s="38">
        <f t="shared" si="3"/>
        <v>2875</v>
      </c>
      <c r="J36" s="39">
        <f t="shared" si="3"/>
        <v>0</v>
      </c>
      <c r="K36" s="38">
        <f t="shared" si="3"/>
        <v>1991</v>
      </c>
      <c r="L36" s="39">
        <f t="shared" si="3"/>
        <v>10</v>
      </c>
      <c r="M36" s="38">
        <f t="shared" si="3"/>
        <v>2649</v>
      </c>
      <c r="N36" s="39">
        <f t="shared" si="3"/>
        <v>0</v>
      </c>
      <c r="O36" s="38">
        <f t="shared" si="3"/>
        <v>484</v>
      </c>
      <c r="P36" s="39">
        <f t="shared" si="3"/>
        <v>0</v>
      </c>
      <c r="Q36" s="40">
        <f t="shared" si="3"/>
        <v>1970</v>
      </c>
      <c r="R36" s="41">
        <f t="shared" si="3"/>
        <v>57582824</v>
      </c>
      <c r="S36" s="56"/>
    </row>
    <row r="37" spans="1:19" ht="14.4" customHeight="1" x14ac:dyDescent="0.3">
      <c r="A37" s="11">
        <v>31</v>
      </c>
      <c r="B37" s="12" t="s">
        <v>16</v>
      </c>
      <c r="C37" s="25">
        <v>416</v>
      </c>
      <c r="D37" s="23"/>
      <c r="E37" s="25">
        <v>345</v>
      </c>
      <c r="F37" s="23"/>
      <c r="G37" s="25"/>
      <c r="H37" s="23"/>
      <c r="I37" s="25">
        <v>497</v>
      </c>
      <c r="J37" s="23"/>
      <c r="K37" s="25">
        <v>1059</v>
      </c>
      <c r="L37" s="23"/>
      <c r="M37" s="25">
        <v>622</v>
      </c>
      <c r="N37" s="23"/>
      <c r="O37" s="25"/>
      <c r="P37" s="23"/>
      <c r="Q37" s="58">
        <v>731</v>
      </c>
      <c r="R37" s="27">
        <v>18510935</v>
      </c>
      <c r="S37" s="136" t="s">
        <v>190</v>
      </c>
    </row>
    <row r="38" spans="1:19" ht="14.4" hidden="1" customHeight="1" x14ac:dyDescent="0.3">
      <c r="A38" s="20">
        <v>1</v>
      </c>
      <c r="B38" s="21" t="s">
        <v>17</v>
      </c>
      <c r="C38" s="25"/>
      <c r="D38" s="23"/>
      <c r="E38" s="25"/>
      <c r="F38" s="23"/>
      <c r="G38" s="25"/>
      <c r="H38" s="23"/>
      <c r="I38" s="25"/>
      <c r="J38" s="23"/>
      <c r="K38" s="25"/>
      <c r="L38" s="23"/>
      <c r="M38" s="25"/>
      <c r="N38" s="23"/>
      <c r="O38" s="25"/>
      <c r="P38" s="23"/>
      <c r="Q38" s="58"/>
      <c r="R38" s="27"/>
      <c r="S38" s="123"/>
    </row>
    <row r="39" spans="1:19" ht="14.4" hidden="1" customHeight="1" x14ac:dyDescent="0.3">
      <c r="A39" s="20">
        <v>2</v>
      </c>
      <c r="B39" s="21" t="s">
        <v>17</v>
      </c>
      <c r="C39" s="25"/>
      <c r="D39" s="23"/>
      <c r="E39" s="25"/>
      <c r="F39" s="23"/>
      <c r="G39" s="25"/>
      <c r="H39" s="23"/>
      <c r="I39" s="25"/>
      <c r="J39" s="23"/>
      <c r="K39" s="25"/>
      <c r="L39" s="23"/>
      <c r="M39" s="25"/>
      <c r="N39" s="23"/>
      <c r="O39" s="25"/>
      <c r="P39" s="23"/>
      <c r="Q39" s="58"/>
      <c r="R39" s="27"/>
      <c r="S39" s="123"/>
    </row>
    <row r="40" spans="1:19" ht="14.4" hidden="1" customHeight="1" x14ac:dyDescent="0.3">
      <c r="A40" s="20">
        <v>3</v>
      </c>
      <c r="B40" s="21" t="s">
        <v>18</v>
      </c>
      <c r="C40" s="25"/>
      <c r="D40" s="23"/>
      <c r="E40" s="25"/>
      <c r="F40" s="23"/>
      <c r="G40" s="25"/>
      <c r="H40" s="23"/>
      <c r="I40" s="25"/>
      <c r="J40" s="23"/>
      <c r="K40" s="25"/>
      <c r="L40" s="23"/>
      <c r="M40" s="25"/>
      <c r="N40" s="23"/>
      <c r="O40" s="25"/>
      <c r="P40" s="23"/>
      <c r="Q40" s="58"/>
      <c r="R40" s="27"/>
      <c r="S40" s="123"/>
    </row>
    <row r="41" spans="1:19" ht="14.4" hidden="1" customHeight="1" x14ac:dyDescent="0.3">
      <c r="A41" s="20">
        <v>4</v>
      </c>
      <c r="B41" s="21" t="s">
        <v>19</v>
      </c>
      <c r="C41" s="25"/>
      <c r="D41" s="23"/>
      <c r="E41" s="25"/>
      <c r="F41" s="23"/>
      <c r="G41" s="25"/>
      <c r="H41" s="23"/>
      <c r="I41" s="25"/>
      <c r="J41" s="23"/>
      <c r="K41" s="25"/>
      <c r="L41" s="23"/>
      <c r="M41" s="25"/>
      <c r="N41" s="23"/>
      <c r="O41" s="25"/>
      <c r="P41" s="23"/>
      <c r="Q41" s="58"/>
      <c r="R41" s="27"/>
      <c r="S41" s="123"/>
    </row>
    <row r="42" spans="1:19" ht="14.4" hidden="1" customHeight="1" x14ac:dyDescent="0.3">
      <c r="A42" s="33">
        <v>5</v>
      </c>
      <c r="B42" s="34" t="s">
        <v>20</v>
      </c>
      <c r="C42" s="35"/>
      <c r="D42" s="31"/>
      <c r="E42" s="35"/>
      <c r="F42" s="31"/>
      <c r="G42" s="35"/>
      <c r="H42" s="31"/>
      <c r="I42" s="35"/>
      <c r="J42" s="31"/>
      <c r="K42" s="35"/>
      <c r="L42" s="31"/>
      <c r="M42" s="35"/>
      <c r="N42" s="31"/>
      <c r="O42" s="35"/>
      <c r="P42" s="31"/>
      <c r="Q42" s="59"/>
      <c r="R42" s="37"/>
      <c r="S42" s="32"/>
    </row>
    <row r="43" spans="1:19" ht="14.4" hidden="1" customHeight="1" x14ac:dyDescent="0.3">
      <c r="A43" s="44">
        <v>6</v>
      </c>
      <c r="B43" s="45" t="s">
        <v>21</v>
      </c>
      <c r="C43" s="22"/>
      <c r="D43" s="24"/>
      <c r="E43" s="22"/>
      <c r="F43" s="24"/>
      <c r="G43" s="22"/>
      <c r="H43" s="24"/>
      <c r="I43" s="22"/>
      <c r="J43" s="24"/>
      <c r="K43" s="25"/>
      <c r="L43" s="23"/>
      <c r="M43" s="25"/>
      <c r="N43" s="23"/>
      <c r="O43" s="25"/>
      <c r="P43" s="23"/>
      <c r="Q43" s="58"/>
      <c r="R43" s="27"/>
      <c r="S43" s="32"/>
    </row>
    <row r="44" spans="1:19" x14ac:dyDescent="0.3">
      <c r="A44" s="453" t="s">
        <v>27</v>
      </c>
      <c r="B44" s="454"/>
      <c r="C44" s="60">
        <f t="shared" ref="C44:R44" si="4">SUM(C37:C43)</f>
        <v>416</v>
      </c>
      <c r="D44" s="61">
        <f t="shared" si="4"/>
        <v>0</v>
      </c>
      <c r="E44" s="60">
        <f t="shared" si="4"/>
        <v>345</v>
      </c>
      <c r="F44" s="61">
        <f t="shared" si="4"/>
        <v>0</v>
      </c>
      <c r="G44" s="60">
        <f t="shared" si="4"/>
        <v>0</v>
      </c>
      <c r="H44" s="61">
        <f t="shared" si="4"/>
        <v>0</v>
      </c>
      <c r="I44" s="60">
        <f t="shared" si="4"/>
        <v>497</v>
      </c>
      <c r="J44" s="61">
        <f t="shared" si="4"/>
        <v>0</v>
      </c>
      <c r="K44" s="60">
        <f t="shared" si="4"/>
        <v>1059</v>
      </c>
      <c r="L44" s="61">
        <f t="shared" si="4"/>
        <v>0</v>
      </c>
      <c r="M44" s="60">
        <f t="shared" si="4"/>
        <v>622</v>
      </c>
      <c r="N44" s="61">
        <f t="shared" si="4"/>
        <v>0</v>
      </c>
      <c r="O44" s="60">
        <f t="shared" si="4"/>
        <v>0</v>
      </c>
      <c r="P44" s="61">
        <f t="shared" si="4"/>
        <v>0</v>
      </c>
      <c r="Q44" s="62">
        <f t="shared" si="4"/>
        <v>731</v>
      </c>
      <c r="R44" s="63">
        <f t="shared" si="4"/>
        <v>18510935</v>
      </c>
      <c r="S44" s="123"/>
    </row>
    <row r="45" spans="1:19" ht="19.95" customHeight="1" x14ac:dyDescent="0.3">
      <c r="A45" s="455" t="s">
        <v>28</v>
      </c>
      <c r="B45" s="456"/>
      <c r="C45" s="65">
        <f t="shared" ref="C45:R45" si="5">C12+C20+C28+C36+C44</f>
        <v>12189</v>
      </c>
      <c r="D45" s="66">
        <f t="shared" si="5"/>
        <v>75</v>
      </c>
      <c r="E45" s="65">
        <f t="shared" si="5"/>
        <v>7662</v>
      </c>
      <c r="F45" s="66">
        <f t="shared" si="5"/>
        <v>50</v>
      </c>
      <c r="G45" s="65">
        <f t="shared" si="5"/>
        <v>3649</v>
      </c>
      <c r="H45" s="66">
        <f t="shared" si="5"/>
        <v>0</v>
      </c>
      <c r="I45" s="65">
        <f t="shared" si="5"/>
        <v>10452</v>
      </c>
      <c r="J45" s="66">
        <f t="shared" si="5"/>
        <v>0</v>
      </c>
      <c r="K45" s="65">
        <f t="shared" si="5"/>
        <v>11320</v>
      </c>
      <c r="L45" s="66">
        <f t="shared" si="5"/>
        <v>53</v>
      </c>
      <c r="M45" s="65">
        <f t="shared" si="5"/>
        <v>11945</v>
      </c>
      <c r="N45" s="66">
        <f t="shared" si="5"/>
        <v>1</v>
      </c>
      <c r="O45" s="65">
        <f t="shared" si="5"/>
        <v>1533</v>
      </c>
      <c r="P45" s="66">
        <f t="shared" si="5"/>
        <v>0</v>
      </c>
      <c r="Q45" s="67">
        <f t="shared" si="5"/>
        <v>10314</v>
      </c>
      <c r="R45" s="68">
        <f t="shared" si="5"/>
        <v>242006255</v>
      </c>
      <c r="S45" s="69" t="s">
        <v>29</v>
      </c>
    </row>
    <row r="46" spans="1:19" ht="18" customHeight="1" x14ac:dyDescent="0.3">
      <c r="A46" s="457" t="s">
        <v>30</v>
      </c>
      <c r="B46" s="458"/>
      <c r="C46" s="70">
        <v>12000</v>
      </c>
      <c r="D46" s="71"/>
      <c r="E46" s="70">
        <v>8000</v>
      </c>
      <c r="F46" s="71"/>
      <c r="G46" s="70">
        <v>5000</v>
      </c>
      <c r="H46" s="71"/>
      <c r="I46" s="70">
        <v>12000</v>
      </c>
      <c r="J46" s="71"/>
      <c r="K46" s="70">
        <v>12000</v>
      </c>
      <c r="L46" s="71"/>
      <c r="M46" s="70">
        <v>12000</v>
      </c>
      <c r="N46" s="71"/>
      <c r="O46" s="70"/>
      <c r="P46" s="71">
        <v>0</v>
      </c>
      <c r="Q46" s="70">
        <v>12000</v>
      </c>
      <c r="R46" s="72">
        <f>Q46*23990</f>
        <v>287880000</v>
      </c>
      <c r="S46" s="130">
        <v>5</v>
      </c>
    </row>
    <row r="47" spans="1:19" ht="15.6" customHeight="1" thickBot="1" x14ac:dyDescent="0.35">
      <c r="A47" s="459" t="s">
        <v>31</v>
      </c>
      <c r="B47" s="460"/>
      <c r="C47" s="74">
        <f>C45-C46</f>
        <v>189</v>
      </c>
      <c r="D47" s="75"/>
      <c r="E47" s="74">
        <f>E45-E46</f>
        <v>-338</v>
      </c>
      <c r="F47" s="75"/>
      <c r="G47" s="74">
        <f>G45-G46</f>
        <v>-1351</v>
      </c>
      <c r="H47" s="75"/>
      <c r="I47" s="74">
        <f>I45-I46</f>
        <v>-1548</v>
      </c>
      <c r="J47" s="75"/>
      <c r="K47" s="74">
        <f>K45-K46</f>
        <v>-680</v>
      </c>
      <c r="L47" s="75"/>
      <c r="M47" s="74">
        <f>M45-M46</f>
        <v>-55</v>
      </c>
      <c r="N47" s="75"/>
      <c r="O47" s="74"/>
      <c r="P47" s="75">
        <f>P45-P46</f>
        <v>0</v>
      </c>
      <c r="Q47" s="76">
        <f>Q45-Q46</f>
        <v>-1686</v>
      </c>
      <c r="R47" s="77">
        <f>R45-R46</f>
        <v>-45873745</v>
      </c>
      <c r="S47" s="135" t="s">
        <v>32</v>
      </c>
    </row>
    <row r="48" spans="1:19" ht="15" hidden="1" thickBot="1" x14ac:dyDescent="0.35">
      <c r="A48" s="451" t="s">
        <v>33</v>
      </c>
      <c r="B48" s="452"/>
      <c r="C48" s="79" t="e">
        <f>ROUND(C47/R1,0)</f>
        <v>#DIV/0!</v>
      </c>
      <c r="D48" s="80" t="e">
        <f>ROUND(D47/R1,0)</f>
        <v>#DIV/0!</v>
      </c>
      <c r="E48" s="79" t="e">
        <f>ROUND((E47/R1),0)</f>
        <v>#DIV/0!</v>
      </c>
      <c r="F48" s="80"/>
      <c r="G48" s="79" t="e">
        <f>ROUND(G47/R1,0)</f>
        <v>#DIV/0!</v>
      </c>
      <c r="H48" s="80"/>
      <c r="I48" s="79" t="e">
        <f>ROUND(I47/R1,0)</f>
        <v>#DIV/0!</v>
      </c>
      <c r="J48" s="80"/>
      <c r="K48" s="79" t="e">
        <f>ROUND(K47/R1,0)</f>
        <v>#DIV/0!</v>
      </c>
      <c r="L48" s="80"/>
      <c r="M48" s="79" t="e">
        <f>ROUND(M47/R1,0)</f>
        <v>#DIV/0!</v>
      </c>
      <c r="N48" s="80"/>
      <c r="O48" s="79"/>
      <c r="P48" s="80"/>
      <c r="Q48" s="81" t="e">
        <f>ROUND(Q47/R1,0)</f>
        <v>#DIV/0!</v>
      </c>
      <c r="R48" s="82" t="e">
        <f>R47/R1</f>
        <v>#DIV/0!</v>
      </c>
      <c r="S48" s="83" t="s">
        <v>34</v>
      </c>
    </row>
  </sheetData>
  <mergeCells count="23">
    <mergeCell ref="A1:L1"/>
    <mergeCell ref="M1:Q1"/>
    <mergeCell ref="A2:B2"/>
    <mergeCell ref="C2:D2"/>
    <mergeCell ref="E2:F2"/>
    <mergeCell ref="G2:H2"/>
    <mergeCell ref="I2:J2"/>
    <mergeCell ref="K2:L2"/>
    <mergeCell ref="M2:N2"/>
    <mergeCell ref="O2:P2"/>
    <mergeCell ref="Q2:R2"/>
    <mergeCell ref="S2:S4"/>
    <mergeCell ref="A3:B3"/>
    <mergeCell ref="A4:B4"/>
    <mergeCell ref="A12:B12"/>
    <mergeCell ref="A48:B48"/>
    <mergeCell ref="A28:B28"/>
    <mergeCell ref="A36:B36"/>
    <mergeCell ref="A44:B44"/>
    <mergeCell ref="A45:B45"/>
    <mergeCell ref="A46:B46"/>
    <mergeCell ref="A47:B47"/>
    <mergeCell ref="A20:B20"/>
  </mergeCells>
  <printOptions horizontalCentered="1"/>
  <pageMargins left="0.11811023622047245" right="0.11811023622047245" top="0.74803149606299213" bottom="0.74803149606299213" header="0.31496062992125984" footer="0.31496062992125984"/>
  <pageSetup scale="73" orientation="portrait" horizontalDpi="0"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65E60-43FD-4DF9-B825-AA8E1A848505}">
  <dimension ref="A1:T43"/>
  <sheetViews>
    <sheetView showGridLines="0" zoomScale="120" zoomScaleNormal="120" workbookViewId="0">
      <pane xSplit="2" ySplit="4" topLeftCell="C31" activePane="bottomRight" state="frozen"/>
      <selection pane="topRight" activeCell="C1" sqref="C1"/>
      <selection pane="bottomLeft" activeCell="A5" sqref="A5"/>
      <selection pane="bottomRight" activeCell="Q40" sqref="Q40"/>
    </sheetView>
  </sheetViews>
  <sheetFormatPr baseColWidth="10" defaultRowHeight="14.4" x14ac:dyDescent="0.3"/>
  <cols>
    <col min="1" max="1" width="3.6640625" customWidth="1"/>
    <col min="2" max="2" width="12.88671875" customWidth="1"/>
    <col min="3" max="3" width="7.5546875" customWidth="1"/>
    <col min="4" max="4" width="7.88671875" bestFit="1" customWidth="1"/>
    <col min="5" max="16" width="7.5546875" customWidth="1"/>
    <col min="17" max="17" width="7.6640625" customWidth="1"/>
    <col min="18" max="18" width="11.6640625" customWidth="1"/>
    <col min="19" max="19" width="65.88671875" customWidth="1"/>
    <col min="20" max="20" width="6.5546875" customWidth="1"/>
    <col min="21" max="21" width="47.6640625" bestFit="1" customWidth="1"/>
  </cols>
  <sheetData>
    <row r="1" spans="1:20" ht="34.200000000000003" customHeight="1" thickBot="1" x14ac:dyDescent="0.35">
      <c r="A1" s="461" t="s">
        <v>191</v>
      </c>
      <c r="B1" s="461"/>
      <c r="C1" s="461"/>
      <c r="D1" s="461"/>
      <c r="E1" s="461"/>
      <c r="F1" s="461"/>
      <c r="G1" s="461"/>
      <c r="H1" s="461"/>
      <c r="I1" s="461"/>
      <c r="J1" s="461"/>
      <c r="K1" s="461"/>
      <c r="L1" s="462"/>
      <c r="M1" s="473" t="s">
        <v>210</v>
      </c>
      <c r="N1" s="474"/>
      <c r="O1" s="474"/>
      <c r="P1" s="474"/>
      <c r="Q1" s="475"/>
      <c r="R1" s="1">
        <v>0</v>
      </c>
      <c r="S1" s="2"/>
    </row>
    <row r="2" spans="1:20" ht="14.4" customHeight="1" x14ac:dyDescent="0.3">
      <c r="A2" s="476" t="s">
        <v>1</v>
      </c>
      <c r="B2" s="467"/>
      <c r="C2" s="466" t="s">
        <v>2</v>
      </c>
      <c r="D2" s="467"/>
      <c r="E2" s="466" t="s">
        <v>3</v>
      </c>
      <c r="F2" s="467"/>
      <c r="G2" s="466" t="s">
        <v>4</v>
      </c>
      <c r="H2" s="467"/>
      <c r="I2" s="466" t="s">
        <v>5</v>
      </c>
      <c r="J2" s="467"/>
      <c r="K2" s="466" t="s">
        <v>6</v>
      </c>
      <c r="L2" s="467"/>
      <c r="M2" s="466" t="s">
        <v>7</v>
      </c>
      <c r="N2" s="467"/>
      <c r="O2" s="466" t="s">
        <v>8</v>
      </c>
      <c r="P2" s="467"/>
      <c r="Q2" s="466" t="s">
        <v>9</v>
      </c>
      <c r="R2" s="468"/>
      <c r="S2" s="443" t="s">
        <v>10</v>
      </c>
    </row>
    <row r="3" spans="1:20" ht="15" customHeight="1" thickBot="1" x14ac:dyDescent="0.35">
      <c r="A3" s="481" t="s">
        <v>11</v>
      </c>
      <c r="B3" s="482"/>
      <c r="C3" s="3" t="s">
        <v>13</v>
      </c>
      <c r="D3" s="4" t="s">
        <v>12</v>
      </c>
      <c r="E3" s="3" t="s">
        <v>13</v>
      </c>
      <c r="F3" s="4" t="s">
        <v>12</v>
      </c>
      <c r="G3" s="3" t="s">
        <v>13</v>
      </c>
      <c r="H3" s="4" t="s">
        <v>12</v>
      </c>
      <c r="I3" s="3" t="s">
        <v>13</v>
      </c>
      <c r="J3" s="4" t="s">
        <v>12</v>
      </c>
      <c r="K3" s="3" t="s">
        <v>13</v>
      </c>
      <c r="L3" s="4" t="s">
        <v>12</v>
      </c>
      <c r="M3" s="3" t="s">
        <v>13</v>
      </c>
      <c r="N3" s="4" t="s">
        <v>12</v>
      </c>
      <c r="O3" s="3" t="s">
        <v>13</v>
      </c>
      <c r="P3" s="4" t="s">
        <v>12</v>
      </c>
      <c r="Q3" s="5" t="s">
        <v>13</v>
      </c>
      <c r="R3" s="6" t="s">
        <v>212</v>
      </c>
      <c r="S3" s="444"/>
    </row>
    <row r="4" spans="1:20" ht="14.4" customHeight="1" x14ac:dyDescent="0.3">
      <c r="A4" s="483" t="s">
        <v>15</v>
      </c>
      <c r="B4" s="484"/>
      <c r="C4" s="7">
        <v>600</v>
      </c>
      <c r="D4" s="8">
        <v>0</v>
      </c>
      <c r="E4" s="9">
        <v>400</v>
      </c>
      <c r="F4" s="8">
        <v>0</v>
      </c>
      <c r="G4" s="9">
        <v>250</v>
      </c>
      <c r="H4" s="8">
        <v>0</v>
      </c>
      <c r="I4" s="9">
        <v>600</v>
      </c>
      <c r="J4" s="8">
        <v>0</v>
      </c>
      <c r="K4" s="9">
        <v>600</v>
      </c>
      <c r="L4" s="8">
        <v>0</v>
      </c>
      <c r="M4" s="9">
        <v>600</v>
      </c>
      <c r="N4" s="8">
        <v>0</v>
      </c>
      <c r="O4" s="9">
        <v>0</v>
      </c>
      <c r="P4" s="8">
        <v>0</v>
      </c>
      <c r="Q4" s="7">
        <v>600</v>
      </c>
      <c r="R4" s="10"/>
      <c r="S4" s="469"/>
    </row>
    <row r="5" spans="1:20" ht="25.8" customHeight="1" x14ac:dyDescent="0.3">
      <c r="A5" s="20">
        <v>1</v>
      </c>
      <c r="B5" s="21" t="s">
        <v>17</v>
      </c>
      <c r="C5" s="25">
        <v>0</v>
      </c>
      <c r="D5" s="23"/>
      <c r="E5" s="25">
        <v>223</v>
      </c>
      <c r="F5" s="23"/>
      <c r="G5" s="25">
        <v>0</v>
      </c>
      <c r="H5" s="23"/>
      <c r="I5" s="25">
        <v>0</v>
      </c>
      <c r="J5" s="23"/>
      <c r="K5" s="25">
        <v>181</v>
      </c>
      <c r="L5" s="23"/>
      <c r="M5" s="25">
        <v>300</v>
      </c>
      <c r="N5" s="23"/>
      <c r="O5" s="25">
        <v>0</v>
      </c>
      <c r="P5" s="23"/>
      <c r="Q5" s="26">
        <v>319</v>
      </c>
      <c r="R5" s="27">
        <v>4459984</v>
      </c>
      <c r="S5" s="128" t="s">
        <v>192</v>
      </c>
    </row>
    <row r="6" spans="1:20" ht="39" customHeight="1" x14ac:dyDescent="0.3">
      <c r="A6" s="20">
        <v>2</v>
      </c>
      <c r="B6" s="21" t="s">
        <v>17</v>
      </c>
      <c r="C6" s="25">
        <v>948</v>
      </c>
      <c r="D6" s="23">
        <v>1</v>
      </c>
      <c r="E6" s="25">
        <v>200</v>
      </c>
      <c r="F6" s="23">
        <v>15</v>
      </c>
      <c r="G6" s="25"/>
      <c r="H6" s="23"/>
      <c r="I6" s="25">
        <v>260</v>
      </c>
      <c r="J6" s="23"/>
      <c r="K6" s="25">
        <v>516</v>
      </c>
      <c r="L6" s="23"/>
      <c r="M6" s="25">
        <f>270+150</f>
        <v>420</v>
      </c>
      <c r="N6" s="23"/>
      <c r="O6" s="25">
        <v>0</v>
      </c>
      <c r="P6" s="23"/>
      <c r="Q6" s="26">
        <v>988</v>
      </c>
      <c r="R6" s="27">
        <v>20248343</v>
      </c>
      <c r="S6" s="152" t="s">
        <v>193</v>
      </c>
    </row>
    <row r="7" spans="1:20" ht="19.2" customHeight="1" x14ac:dyDescent="0.3">
      <c r="A7" s="20">
        <v>3</v>
      </c>
      <c r="B7" s="21" t="s">
        <v>18</v>
      </c>
      <c r="C7" s="25">
        <v>66</v>
      </c>
      <c r="D7" s="23">
        <v>2</v>
      </c>
      <c r="E7" s="25">
        <v>210</v>
      </c>
      <c r="F7" s="23"/>
      <c r="G7" s="35"/>
      <c r="H7" s="23"/>
      <c r="I7" s="25">
        <v>520</v>
      </c>
      <c r="J7" s="23"/>
      <c r="K7" s="25">
        <f>117+252</f>
        <v>369</v>
      </c>
      <c r="L7" s="23"/>
      <c r="M7" s="25">
        <v>458</v>
      </c>
      <c r="N7" s="23"/>
      <c r="O7" s="25"/>
      <c r="P7" s="23"/>
      <c r="Q7" s="26">
        <v>103</v>
      </c>
      <c r="R7" s="27">
        <v>2025019</v>
      </c>
      <c r="S7" s="125" t="s">
        <v>194</v>
      </c>
    </row>
    <row r="8" spans="1:20" ht="28.2" customHeight="1" x14ac:dyDescent="0.3">
      <c r="A8" s="29">
        <v>4</v>
      </c>
      <c r="B8" s="30" t="s">
        <v>19</v>
      </c>
      <c r="C8" s="25">
        <v>714</v>
      </c>
      <c r="D8" s="23"/>
      <c r="E8" s="25">
        <v>706</v>
      </c>
      <c r="F8" s="23">
        <v>2</v>
      </c>
      <c r="G8" s="25"/>
      <c r="H8" s="23"/>
      <c r="I8" s="25">
        <v>138</v>
      </c>
      <c r="J8" s="23"/>
      <c r="K8" s="25">
        <v>526</v>
      </c>
      <c r="L8" s="23"/>
      <c r="M8" s="43">
        <v>406</v>
      </c>
      <c r="N8" s="23"/>
      <c r="O8" s="25"/>
      <c r="P8" s="23"/>
      <c r="Q8" s="26">
        <v>374</v>
      </c>
      <c r="R8" s="27">
        <v>9460686</v>
      </c>
      <c r="S8" s="126" t="s">
        <v>195</v>
      </c>
    </row>
    <row r="9" spans="1:20" ht="15.6" customHeight="1" x14ac:dyDescent="0.3">
      <c r="A9" s="33">
        <v>5</v>
      </c>
      <c r="B9" s="34" t="s">
        <v>20</v>
      </c>
      <c r="C9" s="25"/>
      <c r="D9" s="31"/>
      <c r="E9" s="35"/>
      <c r="F9" s="31"/>
      <c r="G9" s="35"/>
      <c r="H9" s="31"/>
      <c r="I9" s="35"/>
      <c r="J9" s="31"/>
      <c r="K9" s="25">
        <v>117</v>
      </c>
      <c r="L9" s="31"/>
      <c r="M9" s="35"/>
      <c r="N9" s="31"/>
      <c r="O9" s="35"/>
      <c r="P9" s="31"/>
      <c r="Q9" s="36"/>
      <c r="R9" s="37"/>
      <c r="S9" s="127"/>
    </row>
    <row r="10" spans="1:20" ht="15.6" customHeight="1" x14ac:dyDescent="0.3">
      <c r="A10" s="44">
        <v>6</v>
      </c>
      <c r="B10" s="45" t="s">
        <v>21</v>
      </c>
      <c r="C10" s="22"/>
      <c r="D10" s="31"/>
      <c r="E10" s="22"/>
      <c r="F10" s="31"/>
      <c r="G10" s="22"/>
      <c r="H10" s="31"/>
      <c r="I10" s="22"/>
      <c r="J10" s="31"/>
      <c r="K10" s="25"/>
      <c r="L10" s="31"/>
      <c r="M10" s="25"/>
      <c r="N10" s="31"/>
      <c r="O10" s="25"/>
      <c r="P10" s="31"/>
      <c r="Q10" s="26"/>
      <c r="R10" s="37"/>
      <c r="S10" s="28"/>
    </row>
    <row r="11" spans="1:20" ht="15.6" customHeight="1" thickBot="1" x14ac:dyDescent="0.35">
      <c r="A11" s="485" t="s">
        <v>22</v>
      </c>
      <c r="B11" s="486"/>
      <c r="C11" s="38">
        <f t="shared" ref="C11:R11" si="0">SUM(C5:C10)</f>
        <v>1728</v>
      </c>
      <c r="D11" s="39">
        <f t="shared" si="0"/>
        <v>3</v>
      </c>
      <c r="E11" s="38">
        <f t="shared" si="0"/>
        <v>1339</v>
      </c>
      <c r="F11" s="39">
        <f t="shared" si="0"/>
        <v>17</v>
      </c>
      <c r="G11" s="38">
        <f t="shared" si="0"/>
        <v>0</v>
      </c>
      <c r="H11" s="39">
        <f t="shared" si="0"/>
        <v>0</v>
      </c>
      <c r="I11" s="38">
        <f t="shared" si="0"/>
        <v>918</v>
      </c>
      <c r="J11" s="39">
        <f t="shared" si="0"/>
        <v>0</v>
      </c>
      <c r="K11" s="38">
        <f t="shared" si="0"/>
        <v>1709</v>
      </c>
      <c r="L11" s="39">
        <f t="shared" si="0"/>
        <v>0</v>
      </c>
      <c r="M11" s="38">
        <f t="shared" si="0"/>
        <v>1584</v>
      </c>
      <c r="N11" s="39">
        <f t="shared" si="0"/>
        <v>0</v>
      </c>
      <c r="O11" s="38">
        <f t="shared" si="0"/>
        <v>0</v>
      </c>
      <c r="P11" s="39">
        <f t="shared" si="0"/>
        <v>0</v>
      </c>
      <c r="Q11" s="40">
        <f t="shared" si="0"/>
        <v>1784</v>
      </c>
      <c r="R11" s="41">
        <f t="shared" si="0"/>
        <v>36194032</v>
      </c>
      <c r="S11" s="46"/>
    </row>
    <row r="12" spans="1:20" ht="96" x14ac:dyDescent="0.3">
      <c r="A12" s="47">
        <v>7</v>
      </c>
      <c r="B12" s="48" t="s">
        <v>16</v>
      </c>
      <c r="C12" s="52">
        <v>506</v>
      </c>
      <c r="D12" s="51">
        <v>9</v>
      </c>
      <c r="E12" s="52">
        <v>633</v>
      </c>
      <c r="F12" s="51"/>
      <c r="G12" s="52">
        <v>999</v>
      </c>
      <c r="H12" s="51"/>
      <c r="I12" s="52">
        <v>350</v>
      </c>
      <c r="J12" s="51"/>
      <c r="K12" s="52">
        <v>880</v>
      </c>
      <c r="L12" s="51"/>
      <c r="M12" s="52">
        <v>420</v>
      </c>
      <c r="N12" s="51"/>
      <c r="O12" s="52"/>
      <c r="P12" s="51"/>
      <c r="Q12" s="86">
        <v>391</v>
      </c>
      <c r="R12" s="87">
        <v>9865017</v>
      </c>
      <c r="S12" s="153" t="s">
        <v>196</v>
      </c>
    </row>
    <row r="13" spans="1:20" ht="36" x14ac:dyDescent="0.3">
      <c r="A13" s="20">
        <v>8</v>
      </c>
      <c r="B13" s="21" t="s">
        <v>17</v>
      </c>
      <c r="C13" s="25">
        <v>1240</v>
      </c>
      <c r="D13" s="23"/>
      <c r="E13" s="25">
        <v>250</v>
      </c>
      <c r="F13" s="23">
        <v>23</v>
      </c>
      <c r="G13" s="25">
        <v>1268</v>
      </c>
      <c r="H13" s="23"/>
      <c r="I13" s="25">
        <v>200</v>
      </c>
      <c r="J13" s="23"/>
      <c r="K13" s="25">
        <v>350</v>
      </c>
      <c r="L13" s="23"/>
      <c r="M13" s="25">
        <f>328+17</f>
        <v>345</v>
      </c>
      <c r="N13" s="23"/>
      <c r="O13" s="25"/>
      <c r="P13" s="23"/>
      <c r="Q13" s="26">
        <v>329</v>
      </c>
      <c r="R13" s="27">
        <v>8521139</v>
      </c>
      <c r="S13" s="128" t="s">
        <v>197</v>
      </c>
    </row>
    <row r="14" spans="1:20" ht="48" x14ac:dyDescent="0.3">
      <c r="A14" s="20">
        <v>9</v>
      </c>
      <c r="B14" s="21" t="s">
        <v>17</v>
      </c>
      <c r="C14" s="25">
        <v>0</v>
      </c>
      <c r="D14" s="23">
        <v>9</v>
      </c>
      <c r="E14" s="25">
        <v>264</v>
      </c>
      <c r="F14" s="23"/>
      <c r="G14" s="25">
        <v>383</v>
      </c>
      <c r="H14" s="23"/>
      <c r="I14" s="25">
        <v>568</v>
      </c>
      <c r="J14" s="23"/>
      <c r="K14" s="25">
        <v>0</v>
      </c>
      <c r="L14" s="23"/>
      <c r="M14" s="25">
        <v>423</v>
      </c>
      <c r="N14" s="23"/>
      <c r="O14" s="25"/>
      <c r="P14" s="23"/>
      <c r="Q14" s="26">
        <v>809</v>
      </c>
      <c r="R14" s="27">
        <v>13944001</v>
      </c>
      <c r="S14" s="128" t="s">
        <v>202</v>
      </c>
    </row>
    <row r="15" spans="1:20" ht="15.6" customHeight="1" x14ac:dyDescent="0.3">
      <c r="A15" s="20">
        <v>10</v>
      </c>
      <c r="B15" s="21" t="s">
        <v>18</v>
      </c>
      <c r="C15" s="25">
        <v>506</v>
      </c>
      <c r="D15" s="23"/>
      <c r="E15" s="25">
        <v>200</v>
      </c>
      <c r="F15" s="23">
        <v>4</v>
      </c>
      <c r="G15" s="25">
        <v>182</v>
      </c>
      <c r="H15" s="23"/>
      <c r="I15" s="25">
        <v>801</v>
      </c>
      <c r="J15" s="23"/>
      <c r="K15" s="25">
        <v>746</v>
      </c>
      <c r="L15" s="23"/>
      <c r="M15" s="25">
        <v>326</v>
      </c>
      <c r="N15" s="23"/>
      <c r="O15" s="25"/>
      <c r="P15" s="23"/>
      <c r="Q15" s="26">
        <v>472</v>
      </c>
      <c r="R15" s="27">
        <v>12107322</v>
      </c>
      <c r="S15" s="54"/>
      <c r="T15" s="55"/>
    </row>
    <row r="16" spans="1:20" ht="24" x14ac:dyDescent="0.3">
      <c r="A16" s="20">
        <v>11</v>
      </c>
      <c r="B16" s="21" t="s">
        <v>19</v>
      </c>
      <c r="C16" s="25">
        <v>506</v>
      </c>
      <c r="D16" s="23"/>
      <c r="E16" s="25">
        <v>242</v>
      </c>
      <c r="F16" s="23">
        <v>1</v>
      </c>
      <c r="G16" s="25"/>
      <c r="H16" s="23"/>
      <c r="I16" s="25">
        <v>579</v>
      </c>
      <c r="J16" s="23"/>
      <c r="K16" s="25">
        <v>588</v>
      </c>
      <c r="L16" s="23"/>
      <c r="M16" s="25">
        <f>458+78</f>
        <v>536</v>
      </c>
      <c r="N16" s="23"/>
      <c r="O16" s="25"/>
      <c r="P16" s="23"/>
      <c r="Q16" s="26">
        <v>75</v>
      </c>
      <c r="R16" s="27">
        <v>1448956</v>
      </c>
      <c r="S16" s="126" t="s">
        <v>203</v>
      </c>
    </row>
    <row r="17" spans="1:19" ht="15.6" customHeight="1" x14ac:dyDescent="0.3">
      <c r="A17" s="33">
        <v>12</v>
      </c>
      <c r="B17" s="34" t="s">
        <v>20</v>
      </c>
      <c r="C17" s="35"/>
      <c r="D17" s="31"/>
      <c r="E17" s="35"/>
      <c r="F17" s="31"/>
      <c r="G17" s="35"/>
      <c r="H17" s="31"/>
      <c r="I17" s="35"/>
      <c r="J17" s="31"/>
      <c r="K17" s="35">
        <v>296</v>
      </c>
      <c r="L17" s="31"/>
      <c r="M17" s="35"/>
      <c r="N17" s="31"/>
      <c r="O17" s="35"/>
      <c r="P17" s="31"/>
      <c r="Q17" s="36"/>
      <c r="R17" s="37"/>
      <c r="S17" s="32"/>
    </row>
    <row r="18" spans="1:19" ht="15.6" customHeight="1" x14ac:dyDescent="0.3">
      <c r="A18" s="44">
        <v>13</v>
      </c>
      <c r="B18" s="45" t="s">
        <v>21</v>
      </c>
      <c r="C18" s="22"/>
      <c r="D18" s="31"/>
      <c r="E18" s="35"/>
      <c r="F18" s="31"/>
      <c r="G18" s="35"/>
      <c r="H18" s="31"/>
      <c r="I18" s="35"/>
      <c r="J18" s="31"/>
      <c r="K18" s="35"/>
      <c r="L18" s="31"/>
      <c r="M18" s="35"/>
      <c r="N18" s="31"/>
      <c r="O18" s="35"/>
      <c r="P18" s="31"/>
      <c r="Q18" s="36"/>
      <c r="R18" s="37"/>
      <c r="S18" s="32"/>
    </row>
    <row r="19" spans="1:19" ht="15.6" customHeight="1" thickBot="1" x14ac:dyDescent="0.35">
      <c r="A19" s="485" t="s">
        <v>23</v>
      </c>
      <c r="B19" s="486"/>
      <c r="C19" s="38">
        <f>SUM(C12:C18)</f>
        <v>2758</v>
      </c>
      <c r="D19" s="39">
        <f t="shared" ref="D19:Q19" si="1">SUM(D12:D18)</f>
        <v>18</v>
      </c>
      <c r="E19" s="38">
        <f t="shared" si="1"/>
        <v>1589</v>
      </c>
      <c r="F19" s="39">
        <f t="shared" si="1"/>
        <v>28</v>
      </c>
      <c r="G19" s="38">
        <f t="shared" si="1"/>
        <v>2832</v>
      </c>
      <c r="H19" s="39">
        <f t="shared" si="1"/>
        <v>0</v>
      </c>
      <c r="I19" s="38">
        <f t="shared" si="1"/>
        <v>2498</v>
      </c>
      <c r="J19" s="39">
        <f t="shared" si="1"/>
        <v>0</v>
      </c>
      <c r="K19" s="38">
        <f t="shared" si="1"/>
        <v>2860</v>
      </c>
      <c r="L19" s="39">
        <f t="shared" si="1"/>
        <v>0</v>
      </c>
      <c r="M19" s="38">
        <f t="shared" si="1"/>
        <v>2050</v>
      </c>
      <c r="N19" s="39">
        <f t="shared" si="1"/>
        <v>0</v>
      </c>
      <c r="O19" s="38">
        <f t="shared" si="1"/>
        <v>0</v>
      </c>
      <c r="P19" s="39">
        <f t="shared" si="1"/>
        <v>0</v>
      </c>
      <c r="Q19" s="40">
        <f t="shared" si="1"/>
        <v>2076</v>
      </c>
      <c r="R19" s="41">
        <f>SUM(R12:R18)</f>
        <v>45886435</v>
      </c>
      <c r="S19" s="56"/>
    </row>
    <row r="20" spans="1:19" ht="15.6" customHeight="1" x14ac:dyDescent="0.3">
      <c r="A20" s="11">
        <v>14</v>
      </c>
      <c r="B20" s="12" t="s">
        <v>16</v>
      </c>
      <c r="C20" s="15">
        <v>0</v>
      </c>
      <c r="D20" s="16">
        <v>28</v>
      </c>
      <c r="E20" s="15">
        <v>300</v>
      </c>
      <c r="F20" s="16"/>
      <c r="G20" s="15"/>
      <c r="H20" s="16"/>
      <c r="I20" s="15">
        <v>422</v>
      </c>
      <c r="J20" s="16"/>
      <c r="K20" s="15">
        <v>428</v>
      </c>
      <c r="L20" s="16"/>
      <c r="M20" s="15">
        <v>145</v>
      </c>
      <c r="N20" s="16"/>
      <c r="O20" s="15"/>
      <c r="P20" s="16"/>
      <c r="Q20" s="57">
        <v>670</v>
      </c>
      <c r="R20" s="18">
        <v>16056118</v>
      </c>
      <c r="S20" s="131" t="s">
        <v>204</v>
      </c>
    </row>
    <row r="21" spans="1:19" ht="15.6" customHeight="1" x14ac:dyDescent="0.3">
      <c r="A21" s="20">
        <v>15</v>
      </c>
      <c r="B21" s="21" t="s">
        <v>17</v>
      </c>
      <c r="C21" s="25"/>
      <c r="D21" s="23"/>
      <c r="E21" s="25">
        <v>225</v>
      </c>
      <c r="F21" s="23"/>
      <c r="G21" s="25">
        <v>376</v>
      </c>
      <c r="H21" s="23"/>
      <c r="I21" s="25">
        <v>190</v>
      </c>
      <c r="J21" s="23"/>
      <c r="K21" s="25">
        <v>638</v>
      </c>
      <c r="L21" s="23"/>
      <c r="M21" s="25">
        <v>309</v>
      </c>
      <c r="N21" s="23"/>
      <c r="O21" s="25"/>
      <c r="P21" s="23"/>
      <c r="Q21" s="58">
        <v>60</v>
      </c>
      <c r="R21" s="27">
        <v>1341220</v>
      </c>
      <c r="S21" s="128"/>
    </row>
    <row r="22" spans="1:19" ht="15.6" customHeight="1" x14ac:dyDescent="0.3">
      <c r="A22" s="20">
        <v>16</v>
      </c>
      <c r="B22" s="21" t="s">
        <v>17</v>
      </c>
      <c r="C22" s="25"/>
      <c r="D22" s="23">
        <v>4</v>
      </c>
      <c r="E22" s="25">
        <v>400</v>
      </c>
      <c r="F22" s="23">
        <v>21</v>
      </c>
      <c r="G22" s="25"/>
      <c r="H22" s="23"/>
      <c r="I22" s="25">
        <v>818</v>
      </c>
      <c r="J22" s="23"/>
      <c r="K22" s="25">
        <v>102</v>
      </c>
      <c r="L22" s="23">
        <v>1</v>
      </c>
      <c r="M22" s="25">
        <v>80</v>
      </c>
      <c r="N22" s="23"/>
      <c r="O22" s="25"/>
      <c r="P22" s="23"/>
      <c r="Q22" s="58">
        <v>93</v>
      </c>
      <c r="R22" s="27">
        <v>2045438</v>
      </c>
      <c r="S22" s="154" t="s">
        <v>205</v>
      </c>
    </row>
    <row r="23" spans="1:19" ht="15.6" customHeight="1" x14ac:dyDescent="0.3">
      <c r="A23" s="20">
        <v>17</v>
      </c>
      <c r="B23" s="21" t="s">
        <v>18</v>
      </c>
      <c r="C23" s="25"/>
      <c r="D23" s="23">
        <v>11</v>
      </c>
      <c r="E23" s="25"/>
      <c r="F23" s="23"/>
      <c r="G23" s="25"/>
      <c r="H23" s="23"/>
      <c r="I23" s="25">
        <v>102</v>
      </c>
      <c r="J23" s="23"/>
      <c r="K23" s="25">
        <v>407</v>
      </c>
      <c r="L23" s="23"/>
      <c r="M23" s="25">
        <v>356</v>
      </c>
      <c r="N23" s="23"/>
      <c r="O23" s="25"/>
      <c r="P23" s="23"/>
      <c r="Q23" s="58">
        <v>290</v>
      </c>
      <c r="R23" s="27">
        <v>7617930</v>
      </c>
      <c r="S23" s="28"/>
    </row>
    <row r="24" spans="1:19" s="137" customFormat="1" ht="15.6" customHeight="1" x14ac:dyDescent="0.3">
      <c r="A24" s="33">
        <v>18</v>
      </c>
      <c r="B24" s="34" t="s">
        <v>19</v>
      </c>
      <c r="C24" s="35" t="s">
        <v>36</v>
      </c>
      <c r="D24" s="31" t="s">
        <v>36</v>
      </c>
      <c r="E24" s="35" t="s">
        <v>36</v>
      </c>
      <c r="F24" s="31" t="s">
        <v>36</v>
      </c>
      <c r="G24" s="35" t="s">
        <v>36</v>
      </c>
      <c r="H24" s="31" t="s">
        <v>36</v>
      </c>
      <c r="I24" s="35" t="s">
        <v>36</v>
      </c>
      <c r="J24" s="31" t="s">
        <v>36</v>
      </c>
      <c r="K24" s="35" t="s">
        <v>36</v>
      </c>
      <c r="L24" s="31" t="s">
        <v>36</v>
      </c>
      <c r="M24" s="35" t="s">
        <v>36</v>
      </c>
      <c r="N24" s="31" t="s">
        <v>36</v>
      </c>
      <c r="O24" s="35" t="s">
        <v>36</v>
      </c>
      <c r="P24" s="31" t="s">
        <v>36</v>
      </c>
      <c r="Q24" s="59" t="s">
        <v>36</v>
      </c>
      <c r="R24" s="151" t="s">
        <v>36</v>
      </c>
      <c r="S24" s="32"/>
    </row>
    <row r="25" spans="1:19" ht="15.6" customHeight="1" x14ac:dyDescent="0.3">
      <c r="A25" s="33">
        <v>19</v>
      </c>
      <c r="B25" s="34" t="s">
        <v>20</v>
      </c>
      <c r="C25" s="35"/>
      <c r="D25" s="31"/>
      <c r="E25" s="35"/>
      <c r="F25" s="31"/>
      <c r="G25" s="35"/>
      <c r="H25" s="31"/>
      <c r="I25" s="35"/>
      <c r="J25" s="31"/>
      <c r="K25" s="35"/>
      <c r="L25" s="31"/>
      <c r="M25" s="35"/>
      <c r="N25" s="31"/>
      <c r="O25" s="35"/>
      <c r="P25" s="31"/>
      <c r="Q25" s="59"/>
      <c r="R25" s="37"/>
      <c r="S25" s="128"/>
    </row>
    <row r="26" spans="1:19" ht="15.6" customHeight="1" x14ac:dyDescent="0.3">
      <c r="A26" s="44">
        <v>20</v>
      </c>
      <c r="B26" s="45" t="s">
        <v>21</v>
      </c>
      <c r="C26" s="22"/>
      <c r="D26" s="24"/>
      <c r="E26" s="22"/>
      <c r="F26" s="24"/>
      <c r="G26" s="22"/>
      <c r="H26" s="24"/>
      <c r="I26" s="22"/>
      <c r="J26" s="24"/>
      <c r="K26" s="25"/>
      <c r="L26" s="23"/>
      <c r="M26" s="25"/>
      <c r="N26" s="23"/>
      <c r="O26" s="25"/>
      <c r="P26" s="23"/>
      <c r="Q26" s="58"/>
      <c r="R26" s="27"/>
      <c r="S26" s="32"/>
    </row>
    <row r="27" spans="1:19" ht="15.6" customHeight="1" thickBot="1" x14ac:dyDescent="0.35">
      <c r="A27" s="479" t="s">
        <v>25</v>
      </c>
      <c r="B27" s="480"/>
      <c r="C27" s="60">
        <f>SUM(C20:C26)</f>
        <v>0</v>
      </c>
      <c r="D27" s="61">
        <f t="shared" ref="D27:Q27" si="2">SUM(D20:D26)</f>
        <v>43</v>
      </c>
      <c r="E27" s="60">
        <f t="shared" si="2"/>
        <v>925</v>
      </c>
      <c r="F27" s="61">
        <f t="shared" si="2"/>
        <v>21</v>
      </c>
      <c r="G27" s="60">
        <f t="shared" si="2"/>
        <v>376</v>
      </c>
      <c r="H27" s="61">
        <f t="shared" si="2"/>
        <v>0</v>
      </c>
      <c r="I27" s="60">
        <f t="shared" si="2"/>
        <v>1532</v>
      </c>
      <c r="J27" s="61">
        <f t="shared" si="2"/>
        <v>0</v>
      </c>
      <c r="K27" s="60">
        <f t="shared" si="2"/>
        <v>1575</v>
      </c>
      <c r="L27" s="61">
        <f t="shared" si="2"/>
        <v>1</v>
      </c>
      <c r="M27" s="60">
        <f t="shared" si="2"/>
        <v>890</v>
      </c>
      <c r="N27" s="61">
        <f t="shared" si="2"/>
        <v>0</v>
      </c>
      <c r="O27" s="60">
        <f t="shared" si="2"/>
        <v>0</v>
      </c>
      <c r="P27" s="61">
        <f t="shared" si="2"/>
        <v>0</v>
      </c>
      <c r="Q27" s="62">
        <f t="shared" si="2"/>
        <v>1113</v>
      </c>
      <c r="R27" s="63">
        <f>SUM(R20:R26)</f>
        <v>27060706</v>
      </c>
      <c r="S27" s="56"/>
    </row>
    <row r="28" spans="1:19" ht="15.6" customHeight="1" x14ac:dyDescent="0.3">
      <c r="A28" s="11">
        <v>21</v>
      </c>
      <c r="B28" s="12" t="s">
        <v>16</v>
      </c>
      <c r="C28" s="25">
        <v>702</v>
      </c>
      <c r="D28" s="23">
        <v>11</v>
      </c>
      <c r="E28" s="25" t="s">
        <v>207</v>
      </c>
      <c r="F28" s="23"/>
      <c r="G28" s="25">
        <v>188</v>
      </c>
      <c r="H28" s="23"/>
      <c r="I28" s="25">
        <v>425</v>
      </c>
      <c r="J28" s="23"/>
      <c r="K28" s="25">
        <v>477</v>
      </c>
      <c r="L28" s="23"/>
      <c r="M28" s="25">
        <v>444</v>
      </c>
      <c r="N28" s="23"/>
      <c r="O28" s="25">
        <v>330</v>
      </c>
      <c r="P28" s="23"/>
      <c r="Q28" s="58">
        <v>80</v>
      </c>
      <c r="R28" s="27">
        <v>1208131</v>
      </c>
      <c r="S28" s="133"/>
    </row>
    <row r="29" spans="1:19" ht="15.6" customHeight="1" x14ac:dyDescent="0.3">
      <c r="A29" s="20">
        <v>22</v>
      </c>
      <c r="B29" s="21" t="s">
        <v>17</v>
      </c>
      <c r="C29" s="25"/>
      <c r="D29" s="23">
        <v>13</v>
      </c>
      <c r="E29" s="25">
        <v>150</v>
      </c>
      <c r="F29" s="23"/>
      <c r="G29" s="25"/>
      <c r="H29" s="23"/>
      <c r="I29" s="25">
        <v>290</v>
      </c>
      <c r="J29" s="23"/>
      <c r="K29" s="25">
        <v>484</v>
      </c>
      <c r="L29" s="23"/>
      <c r="M29" s="25">
        <v>505</v>
      </c>
      <c r="N29" s="23"/>
      <c r="O29" s="25">
        <v>204</v>
      </c>
      <c r="P29" s="23"/>
      <c r="Q29" s="58">
        <v>713</v>
      </c>
      <c r="R29" s="27">
        <v>16587300</v>
      </c>
      <c r="S29" s="132" t="s">
        <v>206</v>
      </c>
    </row>
    <row r="30" spans="1:19" ht="72" x14ac:dyDescent="0.3">
      <c r="A30" s="20">
        <v>23</v>
      </c>
      <c r="B30" s="21" t="s">
        <v>17</v>
      </c>
      <c r="C30" s="25">
        <v>714</v>
      </c>
      <c r="D30" s="23"/>
      <c r="E30" s="25">
        <v>297</v>
      </c>
      <c r="F30" s="23">
        <v>14</v>
      </c>
      <c r="G30" s="25">
        <v>70</v>
      </c>
      <c r="H30" s="23"/>
      <c r="I30" s="25">
        <v>220</v>
      </c>
      <c r="J30" s="23"/>
      <c r="K30" s="25">
        <v>318</v>
      </c>
      <c r="L30" s="23"/>
      <c r="M30" s="25">
        <v>482</v>
      </c>
      <c r="N30" s="23"/>
      <c r="O30" s="25"/>
      <c r="P30" s="23"/>
      <c r="Q30" s="58">
        <v>-19</v>
      </c>
      <c r="R30" s="27">
        <v>-447002</v>
      </c>
      <c r="S30" s="155" t="s">
        <v>209</v>
      </c>
    </row>
    <row r="31" spans="1:19" ht="15.6" customHeight="1" x14ac:dyDescent="0.3">
      <c r="A31" s="20">
        <v>24</v>
      </c>
      <c r="B31" s="21" t="s">
        <v>18</v>
      </c>
      <c r="C31" s="25">
        <v>850</v>
      </c>
      <c r="D31" s="23"/>
      <c r="E31" s="25">
        <v>293</v>
      </c>
      <c r="F31" s="23"/>
      <c r="G31" s="25">
        <v>28</v>
      </c>
      <c r="H31" s="23"/>
      <c r="I31" s="25">
        <v>350</v>
      </c>
      <c r="J31" s="23"/>
      <c r="K31" s="25">
        <v>141</v>
      </c>
      <c r="L31" s="23"/>
      <c r="M31" s="25">
        <v>542</v>
      </c>
      <c r="N31" s="23"/>
      <c r="O31" s="25"/>
      <c r="P31" s="23"/>
      <c r="Q31" s="58">
        <v>181</v>
      </c>
      <c r="R31" s="27">
        <v>4194051</v>
      </c>
      <c r="S31" s="134"/>
    </row>
    <row r="32" spans="1:19" ht="15.6" customHeight="1" x14ac:dyDescent="0.3">
      <c r="A32" s="20">
        <v>25</v>
      </c>
      <c r="B32" s="21" t="s">
        <v>19</v>
      </c>
      <c r="C32" s="25">
        <v>152</v>
      </c>
      <c r="D32" s="23"/>
      <c r="E32" s="25">
        <v>400</v>
      </c>
      <c r="F32" s="23">
        <v>6</v>
      </c>
      <c r="G32" s="25"/>
      <c r="H32" s="23"/>
      <c r="I32" s="25">
        <v>126</v>
      </c>
      <c r="J32" s="23"/>
      <c r="K32" s="25">
        <v>228</v>
      </c>
      <c r="L32" s="23"/>
      <c r="M32" s="25">
        <v>340</v>
      </c>
      <c r="N32" s="23"/>
      <c r="O32" s="25"/>
      <c r="P32" s="23"/>
      <c r="Q32" s="58">
        <v>332</v>
      </c>
      <c r="R32" s="27">
        <v>2431391</v>
      </c>
      <c r="S32" s="134"/>
    </row>
    <row r="33" spans="1:19" ht="15.6" customHeight="1" x14ac:dyDescent="0.3">
      <c r="A33" s="33">
        <v>26</v>
      </c>
      <c r="B33" s="34" t="s">
        <v>20</v>
      </c>
      <c r="C33" s="35"/>
      <c r="D33" s="31"/>
      <c r="E33" s="35"/>
      <c r="F33" s="31"/>
      <c r="G33" s="35"/>
      <c r="H33" s="31"/>
      <c r="I33" s="35"/>
      <c r="J33" s="31"/>
      <c r="K33" s="35">
        <v>200</v>
      </c>
      <c r="L33" s="31"/>
      <c r="M33" s="35"/>
      <c r="N33" s="31"/>
      <c r="O33" s="35"/>
      <c r="P33" s="31"/>
      <c r="Q33" s="59"/>
      <c r="R33" s="37"/>
      <c r="S33" s="32" t="s">
        <v>208</v>
      </c>
    </row>
    <row r="34" spans="1:19" ht="15.6" customHeight="1" x14ac:dyDescent="0.3">
      <c r="A34" s="44">
        <v>27</v>
      </c>
      <c r="B34" s="45" t="s">
        <v>21</v>
      </c>
      <c r="C34" s="22"/>
      <c r="D34" s="24"/>
      <c r="E34" s="22"/>
      <c r="F34" s="24"/>
      <c r="G34" s="22"/>
      <c r="H34" s="24"/>
      <c r="I34" s="22"/>
      <c r="J34" s="24"/>
      <c r="K34" s="25"/>
      <c r="L34" s="23"/>
      <c r="M34" s="25"/>
      <c r="N34" s="23"/>
      <c r="O34" s="25"/>
      <c r="P34" s="23"/>
      <c r="Q34" s="58"/>
      <c r="R34" s="27"/>
      <c r="S34" s="32"/>
    </row>
    <row r="35" spans="1:19" ht="15.6" customHeight="1" thickBot="1" x14ac:dyDescent="0.35">
      <c r="A35" s="479" t="s">
        <v>26</v>
      </c>
      <c r="B35" s="480"/>
      <c r="C35" s="60">
        <f t="shared" ref="C35:R35" si="3">SUM(C28:C34)</f>
        <v>2418</v>
      </c>
      <c r="D35" s="61">
        <f t="shared" si="3"/>
        <v>24</v>
      </c>
      <c r="E35" s="60">
        <f t="shared" si="3"/>
        <v>1140</v>
      </c>
      <c r="F35" s="61">
        <f t="shared" si="3"/>
        <v>20</v>
      </c>
      <c r="G35" s="60">
        <f t="shared" si="3"/>
        <v>286</v>
      </c>
      <c r="H35" s="61">
        <f t="shared" si="3"/>
        <v>0</v>
      </c>
      <c r="I35" s="60">
        <f t="shared" si="3"/>
        <v>1411</v>
      </c>
      <c r="J35" s="61">
        <f t="shared" si="3"/>
        <v>0</v>
      </c>
      <c r="K35" s="60">
        <f t="shared" si="3"/>
        <v>1848</v>
      </c>
      <c r="L35" s="61">
        <f t="shared" si="3"/>
        <v>0</v>
      </c>
      <c r="M35" s="60">
        <f t="shared" si="3"/>
        <v>2313</v>
      </c>
      <c r="N35" s="61">
        <f t="shared" si="3"/>
        <v>0</v>
      </c>
      <c r="O35" s="60">
        <f t="shared" si="3"/>
        <v>534</v>
      </c>
      <c r="P35" s="61">
        <f t="shared" si="3"/>
        <v>0</v>
      </c>
      <c r="Q35" s="62">
        <f t="shared" si="3"/>
        <v>1287</v>
      </c>
      <c r="R35" s="63">
        <f t="shared" si="3"/>
        <v>23973871</v>
      </c>
      <c r="S35" s="64"/>
    </row>
    <row r="36" spans="1:19" ht="15.6" customHeight="1" x14ac:dyDescent="0.3">
      <c r="A36" s="11">
        <v>28</v>
      </c>
      <c r="B36" s="12" t="s">
        <v>16</v>
      </c>
      <c r="C36" s="25">
        <v>574</v>
      </c>
      <c r="D36" s="23"/>
      <c r="E36" s="25">
        <v>406</v>
      </c>
      <c r="F36" s="23"/>
      <c r="G36" s="25"/>
      <c r="H36" s="23"/>
      <c r="I36" s="25">
        <v>444</v>
      </c>
      <c r="J36" s="23"/>
      <c r="K36" s="25">
        <v>608</v>
      </c>
      <c r="L36" s="23"/>
      <c r="M36" s="25">
        <v>570</v>
      </c>
      <c r="N36" s="23"/>
      <c r="O36" s="25">
        <v>72</v>
      </c>
      <c r="P36" s="23"/>
      <c r="Q36" s="58">
        <v>934</v>
      </c>
      <c r="R36" s="27">
        <v>23102929</v>
      </c>
      <c r="S36" s="124"/>
    </row>
    <row r="37" spans="1:19" ht="15.6" customHeight="1" x14ac:dyDescent="0.3">
      <c r="A37" s="20">
        <v>29</v>
      </c>
      <c r="B37" s="21" t="s">
        <v>17</v>
      </c>
      <c r="C37" s="25">
        <v>700</v>
      </c>
      <c r="D37" s="23"/>
      <c r="E37" s="25">
        <v>414</v>
      </c>
      <c r="F37" s="23"/>
      <c r="G37" s="25"/>
      <c r="H37" s="23"/>
      <c r="I37" s="25"/>
      <c r="J37" s="23"/>
      <c r="K37" s="25">
        <v>440</v>
      </c>
      <c r="L37" s="23"/>
      <c r="M37" s="25">
        <v>668</v>
      </c>
      <c r="N37" s="23"/>
      <c r="O37" s="25"/>
      <c r="P37" s="23"/>
      <c r="Q37" s="58">
        <v>403</v>
      </c>
      <c r="R37" s="27">
        <v>9404440</v>
      </c>
      <c r="S37" s="123"/>
    </row>
    <row r="38" spans="1:19" ht="15.6" customHeight="1" x14ac:dyDescent="0.3">
      <c r="A38" s="20">
        <v>30</v>
      </c>
      <c r="B38" s="21" t="s">
        <v>17</v>
      </c>
      <c r="C38" s="25"/>
      <c r="D38" s="23">
        <v>1</v>
      </c>
      <c r="E38" s="25">
        <v>400</v>
      </c>
      <c r="F38" s="23">
        <v>9</v>
      </c>
      <c r="G38" s="25"/>
      <c r="H38" s="23"/>
      <c r="I38" s="25"/>
      <c r="J38" s="23"/>
      <c r="K38" s="25">
        <v>454</v>
      </c>
      <c r="L38" s="23"/>
      <c r="M38" s="25">
        <v>519</v>
      </c>
      <c r="N38" s="23"/>
      <c r="O38" s="25"/>
      <c r="P38" s="23"/>
      <c r="Q38" s="58">
        <v>721</v>
      </c>
      <c r="R38" s="27">
        <v>17645712</v>
      </c>
      <c r="S38" s="134" t="s">
        <v>213</v>
      </c>
    </row>
    <row r="39" spans="1:19" ht="15.6" customHeight="1" x14ac:dyDescent="0.3">
      <c r="A39" s="479" t="s">
        <v>27</v>
      </c>
      <c r="B39" s="480"/>
      <c r="C39" s="60">
        <f t="shared" ref="C39:R39" si="4">SUM(C36:C38)</f>
        <v>1274</v>
      </c>
      <c r="D39" s="61">
        <f t="shared" si="4"/>
        <v>1</v>
      </c>
      <c r="E39" s="60">
        <f t="shared" si="4"/>
        <v>1220</v>
      </c>
      <c r="F39" s="61">
        <f t="shared" si="4"/>
        <v>9</v>
      </c>
      <c r="G39" s="60">
        <f t="shared" si="4"/>
        <v>0</v>
      </c>
      <c r="H39" s="61">
        <f t="shared" si="4"/>
        <v>0</v>
      </c>
      <c r="I39" s="60">
        <f t="shared" si="4"/>
        <v>444</v>
      </c>
      <c r="J39" s="61">
        <f t="shared" si="4"/>
        <v>0</v>
      </c>
      <c r="K39" s="60">
        <f t="shared" si="4"/>
        <v>1502</v>
      </c>
      <c r="L39" s="61">
        <f t="shared" si="4"/>
        <v>0</v>
      </c>
      <c r="M39" s="60">
        <f t="shared" si="4"/>
        <v>1757</v>
      </c>
      <c r="N39" s="61">
        <f t="shared" si="4"/>
        <v>0</v>
      </c>
      <c r="O39" s="60">
        <f t="shared" si="4"/>
        <v>72</v>
      </c>
      <c r="P39" s="61">
        <f t="shared" si="4"/>
        <v>0</v>
      </c>
      <c r="Q39" s="62">
        <f t="shared" si="4"/>
        <v>2058</v>
      </c>
      <c r="R39" s="63">
        <f t="shared" si="4"/>
        <v>50153081</v>
      </c>
      <c r="S39" s="123"/>
    </row>
    <row r="40" spans="1:19" ht="19.95" customHeight="1" x14ac:dyDescent="0.3">
      <c r="A40" s="455" t="s">
        <v>28</v>
      </c>
      <c r="B40" s="487"/>
      <c r="C40" s="65">
        <f t="shared" ref="C40:R40" si="5">C11+C19+C27+C35+C39</f>
        <v>8178</v>
      </c>
      <c r="D40" s="66">
        <f t="shared" si="5"/>
        <v>89</v>
      </c>
      <c r="E40" s="65">
        <f t="shared" si="5"/>
        <v>6213</v>
      </c>
      <c r="F40" s="66">
        <f t="shared" si="5"/>
        <v>95</v>
      </c>
      <c r="G40" s="65">
        <f t="shared" si="5"/>
        <v>3494</v>
      </c>
      <c r="H40" s="66">
        <f t="shared" si="5"/>
        <v>0</v>
      </c>
      <c r="I40" s="65">
        <f t="shared" si="5"/>
        <v>6803</v>
      </c>
      <c r="J40" s="66">
        <f t="shared" si="5"/>
        <v>0</v>
      </c>
      <c r="K40" s="65">
        <f t="shared" si="5"/>
        <v>9494</v>
      </c>
      <c r="L40" s="66">
        <f t="shared" si="5"/>
        <v>1</v>
      </c>
      <c r="M40" s="65">
        <f t="shared" si="5"/>
        <v>8594</v>
      </c>
      <c r="N40" s="66">
        <f t="shared" si="5"/>
        <v>0</v>
      </c>
      <c r="O40" s="65">
        <f t="shared" si="5"/>
        <v>606</v>
      </c>
      <c r="P40" s="66">
        <f t="shared" si="5"/>
        <v>0</v>
      </c>
      <c r="Q40" s="67">
        <f t="shared" si="5"/>
        <v>8318</v>
      </c>
      <c r="R40" s="68">
        <f t="shared" si="5"/>
        <v>183268125</v>
      </c>
      <c r="S40" s="69" t="s">
        <v>29</v>
      </c>
    </row>
    <row r="41" spans="1:19" ht="18" customHeight="1" x14ac:dyDescent="0.3">
      <c r="A41" s="457" t="s">
        <v>30</v>
      </c>
      <c r="B41" s="488"/>
      <c r="C41" s="70">
        <v>10000</v>
      </c>
      <c r="D41" s="71"/>
      <c r="E41" s="70">
        <v>7000</v>
      </c>
      <c r="F41" s="71"/>
      <c r="G41" s="70">
        <v>5000</v>
      </c>
      <c r="H41" s="71"/>
      <c r="I41" s="70">
        <v>10000</v>
      </c>
      <c r="J41" s="71"/>
      <c r="K41" s="70">
        <v>10000</v>
      </c>
      <c r="L41" s="71"/>
      <c r="M41" s="70">
        <v>10000</v>
      </c>
      <c r="N41" s="71"/>
      <c r="O41" s="70"/>
      <c r="P41" s="71">
        <v>0</v>
      </c>
      <c r="Q41" s="70">
        <v>10000</v>
      </c>
      <c r="R41" s="72">
        <f>Q41*23990</f>
        <v>239900000</v>
      </c>
      <c r="S41" s="130">
        <v>7</v>
      </c>
    </row>
    <row r="42" spans="1:19" ht="15.6" customHeight="1" thickBot="1" x14ac:dyDescent="0.35">
      <c r="A42" s="459" t="s">
        <v>31</v>
      </c>
      <c r="B42" s="489"/>
      <c r="C42" s="74">
        <f>C40-C41</f>
        <v>-1822</v>
      </c>
      <c r="D42" s="75"/>
      <c r="E42" s="74">
        <f>E40-E41</f>
        <v>-787</v>
      </c>
      <c r="F42" s="75"/>
      <c r="G42" s="74">
        <f>G40-G41</f>
        <v>-1506</v>
      </c>
      <c r="H42" s="75"/>
      <c r="I42" s="74">
        <f>I40-I41</f>
        <v>-3197</v>
      </c>
      <c r="J42" s="75"/>
      <c r="K42" s="74">
        <f>K40-K41</f>
        <v>-506</v>
      </c>
      <c r="L42" s="75"/>
      <c r="M42" s="74">
        <f>M40-M41</f>
        <v>-1406</v>
      </c>
      <c r="N42" s="75"/>
      <c r="O42" s="74"/>
      <c r="P42" s="75">
        <f>P40-P41</f>
        <v>0</v>
      </c>
      <c r="Q42" s="76">
        <f>Q40-Q41</f>
        <v>-1682</v>
      </c>
      <c r="R42" s="77">
        <f>R40-R41</f>
        <v>-56631875</v>
      </c>
      <c r="S42" s="78" t="s">
        <v>32</v>
      </c>
    </row>
    <row r="43" spans="1:19" ht="15" thickBot="1" x14ac:dyDescent="0.35">
      <c r="A43" s="477" t="s">
        <v>211</v>
      </c>
      <c r="B43" s="478"/>
      <c r="C43" s="156" t="e">
        <f>ROUND(C42/R1,0)</f>
        <v>#DIV/0!</v>
      </c>
      <c r="D43" s="157" t="e">
        <f>ROUND(D42/R1,0)</f>
        <v>#DIV/0!</v>
      </c>
      <c r="E43" s="156" t="e">
        <f>ROUND((E42/R1),0)</f>
        <v>#DIV/0!</v>
      </c>
      <c r="F43" s="157"/>
      <c r="G43" s="156" t="e">
        <f>ROUND(G42/R1,0)</f>
        <v>#DIV/0!</v>
      </c>
      <c r="H43" s="157"/>
      <c r="I43" s="156" t="e">
        <f>ROUND(I42/R1,0)</f>
        <v>#DIV/0!</v>
      </c>
      <c r="J43" s="157"/>
      <c r="K43" s="156" t="e">
        <f>ROUND(K42/R1,0)</f>
        <v>#DIV/0!</v>
      </c>
      <c r="L43" s="157"/>
      <c r="M43" s="156" t="e">
        <f>ROUND(M42/R1,0)</f>
        <v>#DIV/0!</v>
      </c>
      <c r="N43" s="157"/>
      <c r="O43" s="156"/>
      <c r="P43" s="157"/>
      <c r="Q43" s="158" t="e">
        <f>ROUND(Q42/R1,0)</f>
        <v>#DIV/0!</v>
      </c>
      <c r="R43" s="82" t="e">
        <f>R42/R1</f>
        <v>#DIV/0!</v>
      </c>
      <c r="S43" s="83" t="s">
        <v>34</v>
      </c>
    </row>
  </sheetData>
  <mergeCells count="23">
    <mergeCell ref="A43:B43"/>
    <mergeCell ref="A39:B39"/>
    <mergeCell ref="Q2:R2"/>
    <mergeCell ref="S2:S4"/>
    <mergeCell ref="A3:B3"/>
    <mergeCell ref="A4:B4"/>
    <mergeCell ref="A11:B11"/>
    <mergeCell ref="A19:B19"/>
    <mergeCell ref="A27:B27"/>
    <mergeCell ref="A35:B35"/>
    <mergeCell ref="A40:B40"/>
    <mergeCell ref="A41:B41"/>
    <mergeCell ref="A42:B42"/>
    <mergeCell ref="A1:L1"/>
    <mergeCell ref="M1:Q1"/>
    <mergeCell ref="A2:B2"/>
    <mergeCell ref="C2:D2"/>
    <mergeCell ref="E2:F2"/>
    <mergeCell ref="G2:H2"/>
    <mergeCell ref="I2:J2"/>
    <mergeCell ref="K2:L2"/>
    <mergeCell ref="M2:N2"/>
    <mergeCell ref="O2:P2"/>
  </mergeCells>
  <pageMargins left="0.7" right="0.7" top="0.75" bottom="0.75" header="0.3" footer="0.3"/>
  <pageSetup orientation="portrait" horizontalDpi="300" verticalDpi="3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55A8D-9A5C-4464-8878-22D7A71ED335}">
  <dimension ref="A1:U48"/>
  <sheetViews>
    <sheetView showGridLines="0" workbookViewId="0">
      <pane ySplit="4" topLeftCell="A29" activePane="bottomLeft" state="frozen"/>
      <selection pane="bottomLeft" sqref="A1:T44"/>
    </sheetView>
  </sheetViews>
  <sheetFormatPr baseColWidth="10" defaultRowHeight="14.4" x14ac:dyDescent="0.3"/>
  <cols>
    <col min="1" max="1" width="3.6640625" customWidth="1"/>
    <col min="2" max="2" width="12.88671875" customWidth="1"/>
    <col min="3" max="3" width="7.5546875" customWidth="1"/>
    <col min="4" max="4" width="7.88671875" bestFit="1" customWidth="1"/>
    <col min="5" max="12" width="7.5546875" customWidth="1"/>
    <col min="13" max="13" width="9.88671875" bestFit="1" customWidth="1"/>
    <col min="14" max="17" width="7.5546875" customWidth="1"/>
    <col min="18" max="18" width="7.6640625" customWidth="1"/>
    <col min="19" max="19" width="11.6640625" customWidth="1"/>
    <col min="20" max="20" width="65.88671875" customWidth="1"/>
    <col min="21" max="21" width="6.5546875" customWidth="1"/>
    <col min="22" max="22" width="47.6640625" bestFit="1" customWidth="1"/>
  </cols>
  <sheetData>
    <row r="1" spans="1:20" ht="34.200000000000003" customHeight="1" thickBot="1" x14ac:dyDescent="0.35">
      <c r="A1" s="461" t="s">
        <v>214</v>
      </c>
      <c r="B1" s="461"/>
      <c r="C1" s="461"/>
      <c r="D1" s="461"/>
      <c r="E1" s="461"/>
      <c r="F1" s="461"/>
      <c r="G1" s="461"/>
      <c r="H1" s="461"/>
      <c r="I1" s="461"/>
      <c r="J1" s="461"/>
      <c r="K1" s="461"/>
      <c r="L1" s="461"/>
      <c r="M1" s="169"/>
      <c r="N1" s="473" t="s">
        <v>215</v>
      </c>
      <c r="O1" s="474"/>
      <c r="P1" s="474"/>
      <c r="Q1" s="474"/>
      <c r="R1" s="475"/>
      <c r="S1" s="1">
        <v>0</v>
      </c>
      <c r="T1" s="2"/>
    </row>
    <row r="2" spans="1:20" ht="14.4" customHeight="1" x14ac:dyDescent="0.3">
      <c r="A2" s="476" t="s">
        <v>1</v>
      </c>
      <c r="B2" s="467"/>
      <c r="C2" s="466" t="s">
        <v>2</v>
      </c>
      <c r="D2" s="467"/>
      <c r="E2" s="466" t="s">
        <v>3</v>
      </c>
      <c r="F2" s="467"/>
      <c r="G2" s="466" t="s">
        <v>4</v>
      </c>
      <c r="H2" s="467"/>
      <c r="I2" s="466" t="s">
        <v>5</v>
      </c>
      <c r="J2" s="467"/>
      <c r="K2" s="466" t="s">
        <v>6</v>
      </c>
      <c r="L2" s="467"/>
      <c r="M2" s="171" t="s">
        <v>219</v>
      </c>
      <c r="N2" s="466" t="s">
        <v>7</v>
      </c>
      <c r="O2" s="467"/>
      <c r="P2" s="466" t="s">
        <v>8</v>
      </c>
      <c r="Q2" s="467"/>
      <c r="R2" s="466" t="s">
        <v>9</v>
      </c>
      <c r="S2" s="468"/>
      <c r="T2" s="443" t="s">
        <v>10</v>
      </c>
    </row>
    <row r="3" spans="1:20" ht="15" customHeight="1" thickBot="1" x14ac:dyDescent="0.35">
      <c r="A3" s="481" t="s">
        <v>11</v>
      </c>
      <c r="B3" s="482"/>
      <c r="C3" s="3" t="s">
        <v>13</v>
      </c>
      <c r="D3" s="4" t="s">
        <v>12</v>
      </c>
      <c r="E3" s="3" t="s">
        <v>13</v>
      </c>
      <c r="F3" s="4" t="s">
        <v>12</v>
      </c>
      <c r="G3" s="3" t="s">
        <v>13</v>
      </c>
      <c r="H3" s="4" t="s">
        <v>12</v>
      </c>
      <c r="I3" s="3" t="s">
        <v>13</v>
      </c>
      <c r="J3" s="4" t="s">
        <v>12</v>
      </c>
      <c r="K3" s="3" t="s">
        <v>13</v>
      </c>
      <c r="L3" s="4" t="s">
        <v>12</v>
      </c>
      <c r="M3" s="170" t="s">
        <v>220</v>
      </c>
      <c r="N3" s="3" t="s">
        <v>13</v>
      </c>
      <c r="O3" s="4" t="s">
        <v>12</v>
      </c>
      <c r="P3" s="3" t="s">
        <v>13</v>
      </c>
      <c r="Q3" s="4" t="s">
        <v>12</v>
      </c>
      <c r="R3" s="5" t="s">
        <v>13</v>
      </c>
      <c r="S3" s="6" t="s">
        <v>217</v>
      </c>
      <c r="T3" s="444"/>
    </row>
    <row r="4" spans="1:20" ht="14.4" customHeight="1" thickBot="1" x14ac:dyDescent="0.35">
      <c r="A4" s="483" t="s">
        <v>15</v>
      </c>
      <c r="B4" s="484"/>
      <c r="C4" s="7">
        <v>600</v>
      </c>
      <c r="D4" s="8">
        <v>0</v>
      </c>
      <c r="E4" s="9">
        <v>400</v>
      </c>
      <c r="F4" s="8">
        <v>0</v>
      </c>
      <c r="G4" s="9">
        <v>250</v>
      </c>
      <c r="H4" s="8">
        <v>0</v>
      </c>
      <c r="I4" s="9">
        <v>600</v>
      </c>
      <c r="J4" s="8">
        <v>0</v>
      </c>
      <c r="K4" s="9">
        <v>600</v>
      </c>
      <c r="L4" s="8">
        <v>0</v>
      </c>
      <c r="M4" s="9">
        <v>20</v>
      </c>
      <c r="N4" s="9">
        <v>600</v>
      </c>
      <c r="O4" s="8">
        <v>0</v>
      </c>
      <c r="P4" s="9">
        <v>0</v>
      </c>
      <c r="Q4" s="8">
        <v>0</v>
      </c>
      <c r="R4" s="7">
        <v>600</v>
      </c>
      <c r="S4" s="10"/>
      <c r="T4" s="469"/>
    </row>
    <row r="5" spans="1:20" ht="15.6" customHeight="1" x14ac:dyDescent="0.3">
      <c r="A5" s="44">
        <v>1</v>
      </c>
      <c r="B5" s="45" t="s">
        <v>18</v>
      </c>
      <c r="C5" s="35" t="s">
        <v>36</v>
      </c>
      <c r="D5" s="31" t="s">
        <v>36</v>
      </c>
      <c r="E5" s="35" t="s">
        <v>36</v>
      </c>
      <c r="F5" s="31" t="s">
        <v>36</v>
      </c>
      <c r="G5" s="35" t="s">
        <v>36</v>
      </c>
      <c r="H5" s="31" t="s">
        <v>36</v>
      </c>
      <c r="I5" s="35" t="s">
        <v>36</v>
      </c>
      <c r="J5" s="31" t="s">
        <v>36</v>
      </c>
      <c r="K5" s="35" t="s">
        <v>36</v>
      </c>
      <c r="L5" s="31" t="s">
        <v>36</v>
      </c>
      <c r="M5" s="35" t="s">
        <v>36</v>
      </c>
      <c r="N5" s="35" t="s">
        <v>36</v>
      </c>
      <c r="O5" s="31" t="s">
        <v>36</v>
      </c>
      <c r="P5" s="35" t="s">
        <v>36</v>
      </c>
      <c r="Q5" s="31" t="s">
        <v>36</v>
      </c>
      <c r="R5" s="35" t="s">
        <v>36</v>
      </c>
      <c r="S5" s="31" t="s">
        <v>36</v>
      </c>
      <c r="T5" s="124"/>
    </row>
    <row r="6" spans="1:20" ht="15.6" customHeight="1" x14ac:dyDescent="0.3">
      <c r="A6" s="20">
        <v>2</v>
      </c>
      <c r="B6" s="21" t="s">
        <v>19</v>
      </c>
      <c r="C6" s="25">
        <v>92</v>
      </c>
      <c r="D6" s="23"/>
      <c r="E6" s="25">
        <v>318</v>
      </c>
      <c r="F6" s="23"/>
      <c r="G6" s="25"/>
      <c r="H6" s="23"/>
      <c r="I6" s="25">
        <v>987</v>
      </c>
      <c r="J6" s="23"/>
      <c r="K6" s="25"/>
      <c r="L6" s="23"/>
      <c r="M6" s="25">
        <v>0</v>
      </c>
      <c r="N6" s="174">
        <v>155</v>
      </c>
      <c r="O6" s="23"/>
      <c r="P6" s="25"/>
      <c r="Q6" s="23"/>
      <c r="R6" s="58">
        <v>145</v>
      </c>
      <c r="S6" s="27">
        <v>7532100</v>
      </c>
      <c r="T6" s="123"/>
    </row>
    <row r="7" spans="1:20" ht="15.6" customHeight="1" x14ac:dyDescent="0.3">
      <c r="A7" s="33">
        <v>3</v>
      </c>
      <c r="B7" s="34" t="s">
        <v>20</v>
      </c>
      <c r="C7" s="118"/>
      <c r="D7" s="164"/>
      <c r="E7" s="118"/>
      <c r="F7" s="164"/>
      <c r="G7" s="118"/>
      <c r="H7" s="164"/>
      <c r="I7" s="118"/>
      <c r="J7" s="164"/>
      <c r="K7" s="118"/>
      <c r="L7" s="164"/>
      <c r="M7" s="118"/>
      <c r="N7" s="118"/>
      <c r="O7" s="164"/>
      <c r="P7" s="118"/>
      <c r="Q7" s="164"/>
      <c r="R7" s="165"/>
      <c r="S7" s="166"/>
      <c r="T7" s="123"/>
    </row>
    <row r="8" spans="1:20" ht="15.6" customHeight="1" x14ac:dyDescent="0.3">
      <c r="A8" s="33">
        <v>4</v>
      </c>
      <c r="B8" s="34" t="s">
        <v>21</v>
      </c>
      <c r="C8" s="118"/>
      <c r="D8" s="164"/>
      <c r="E8" s="118"/>
      <c r="F8" s="164"/>
      <c r="G8" s="118"/>
      <c r="H8" s="164"/>
      <c r="I8" s="118"/>
      <c r="J8" s="164"/>
      <c r="K8" s="118"/>
      <c r="L8" s="164"/>
      <c r="M8" s="118"/>
      <c r="N8" s="118"/>
      <c r="O8" s="164"/>
      <c r="P8" s="118"/>
      <c r="Q8" s="164"/>
      <c r="R8" s="165"/>
      <c r="S8" s="166"/>
      <c r="T8" s="134"/>
    </row>
    <row r="9" spans="1:20" ht="15.6" customHeight="1" thickBot="1" x14ac:dyDescent="0.35">
      <c r="A9" s="485" t="s">
        <v>22</v>
      </c>
      <c r="B9" s="486"/>
      <c r="C9" s="38">
        <f t="shared" ref="C9:S9" si="0">SUM(C5:C8)</f>
        <v>92</v>
      </c>
      <c r="D9" s="39">
        <f t="shared" si="0"/>
        <v>0</v>
      </c>
      <c r="E9" s="38">
        <f t="shared" si="0"/>
        <v>318</v>
      </c>
      <c r="F9" s="39">
        <f t="shared" si="0"/>
        <v>0</v>
      </c>
      <c r="G9" s="38">
        <f t="shared" si="0"/>
        <v>0</v>
      </c>
      <c r="H9" s="39">
        <f t="shared" si="0"/>
        <v>0</v>
      </c>
      <c r="I9" s="38">
        <f t="shared" si="0"/>
        <v>987</v>
      </c>
      <c r="J9" s="39">
        <f t="shared" si="0"/>
        <v>0</v>
      </c>
      <c r="K9" s="38">
        <f t="shared" si="0"/>
        <v>0</v>
      </c>
      <c r="L9" s="39">
        <f t="shared" si="0"/>
        <v>0</v>
      </c>
      <c r="M9" s="38">
        <v>0</v>
      </c>
      <c r="N9" s="38">
        <f t="shared" si="0"/>
        <v>155</v>
      </c>
      <c r="O9" s="39">
        <f t="shared" si="0"/>
        <v>0</v>
      </c>
      <c r="P9" s="38">
        <f t="shared" si="0"/>
        <v>0</v>
      </c>
      <c r="Q9" s="39">
        <f t="shared" si="0"/>
        <v>0</v>
      </c>
      <c r="R9" s="162">
        <f t="shared" si="0"/>
        <v>145</v>
      </c>
      <c r="S9" s="41">
        <f t="shared" si="0"/>
        <v>7532100</v>
      </c>
      <c r="T9" s="163"/>
    </row>
    <row r="10" spans="1:20" ht="24" x14ac:dyDescent="0.3">
      <c r="A10" s="11">
        <v>5</v>
      </c>
      <c r="B10" s="48" t="s">
        <v>16</v>
      </c>
      <c r="C10" s="15">
        <v>300</v>
      </c>
      <c r="D10" s="16"/>
      <c r="E10" s="15">
        <v>374</v>
      </c>
      <c r="F10" s="16"/>
      <c r="G10" s="15">
        <v>348</v>
      </c>
      <c r="H10" s="16"/>
      <c r="I10" s="15">
        <v>506</v>
      </c>
      <c r="J10" s="16"/>
      <c r="K10" s="15">
        <v>348</v>
      </c>
      <c r="L10" s="16"/>
      <c r="M10" s="15">
        <v>0</v>
      </c>
      <c r="N10" s="181">
        <v>9</v>
      </c>
      <c r="O10" s="16"/>
      <c r="P10" s="15"/>
      <c r="Q10" s="16"/>
      <c r="R10" s="17">
        <v>127</v>
      </c>
      <c r="S10" s="18">
        <v>3294255</v>
      </c>
      <c r="T10" s="161" t="s">
        <v>216</v>
      </c>
    </row>
    <row r="11" spans="1:20" x14ac:dyDescent="0.3">
      <c r="A11" s="11">
        <v>6</v>
      </c>
      <c r="B11" s="21" t="s">
        <v>17</v>
      </c>
      <c r="C11" s="15">
        <v>217</v>
      </c>
      <c r="D11" s="16">
        <v>1</v>
      </c>
      <c r="E11" s="15">
        <v>300</v>
      </c>
      <c r="F11" s="16">
        <v>1</v>
      </c>
      <c r="G11" s="15"/>
      <c r="H11" s="16"/>
      <c r="I11" s="15">
        <v>1064</v>
      </c>
      <c r="J11" s="16"/>
      <c r="K11" s="15">
        <v>320</v>
      </c>
      <c r="L11" s="16"/>
      <c r="M11" s="15">
        <v>0</v>
      </c>
      <c r="N11" s="15">
        <v>360</v>
      </c>
      <c r="O11" s="16"/>
      <c r="P11" s="15"/>
      <c r="Q11" s="16"/>
      <c r="R11" s="17">
        <v>356</v>
      </c>
      <c r="S11" s="18">
        <v>8482468</v>
      </c>
      <c r="T11" s="161"/>
    </row>
    <row r="12" spans="1:20" x14ac:dyDescent="0.3">
      <c r="A12" s="20">
        <v>7</v>
      </c>
      <c r="B12" s="21" t="s">
        <v>17</v>
      </c>
      <c r="C12" s="25">
        <v>600</v>
      </c>
      <c r="D12" s="23">
        <v>1</v>
      </c>
      <c r="E12" s="25">
        <v>310</v>
      </c>
      <c r="F12" s="23"/>
      <c r="G12" s="25"/>
      <c r="H12" s="23"/>
      <c r="I12" s="25">
        <v>270</v>
      </c>
      <c r="J12" s="23"/>
      <c r="K12" s="25">
        <v>675</v>
      </c>
      <c r="L12" s="23"/>
      <c r="M12" s="25">
        <v>180</v>
      </c>
      <c r="N12" s="182">
        <v>372</v>
      </c>
      <c r="O12" s="23"/>
      <c r="P12" s="25"/>
      <c r="Q12" s="23"/>
      <c r="R12" s="26">
        <v>13</v>
      </c>
      <c r="S12" s="27">
        <v>210522</v>
      </c>
      <c r="T12" s="152"/>
    </row>
    <row r="13" spans="1:20" x14ac:dyDescent="0.3">
      <c r="A13" s="20">
        <v>8</v>
      </c>
      <c r="B13" s="21" t="s">
        <v>18</v>
      </c>
      <c r="C13" s="25">
        <v>102</v>
      </c>
      <c r="D13" s="23"/>
      <c r="E13" s="25">
        <v>400</v>
      </c>
      <c r="F13" s="23"/>
      <c r="G13" s="35"/>
      <c r="H13" s="23"/>
      <c r="I13" s="25">
        <v>560</v>
      </c>
      <c r="J13" s="23"/>
      <c r="K13" s="25">
        <v>511</v>
      </c>
      <c r="L13" s="23"/>
      <c r="M13" s="25">
        <v>0</v>
      </c>
      <c r="N13" s="25">
        <v>351</v>
      </c>
      <c r="O13" s="23"/>
      <c r="P13" s="25"/>
      <c r="Q13" s="23"/>
      <c r="R13" s="26">
        <v>271</v>
      </c>
      <c r="S13" s="27">
        <v>6563943</v>
      </c>
      <c r="T13" s="125"/>
    </row>
    <row r="14" spans="1:20" ht="36" x14ac:dyDescent="0.3">
      <c r="A14" s="29">
        <v>9</v>
      </c>
      <c r="B14" s="21" t="s">
        <v>19</v>
      </c>
      <c r="C14" s="25">
        <v>702</v>
      </c>
      <c r="D14" s="23"/>
      <c r="E14" s="25">
        <v>541</v>
      </c>
      <c r="F14" s="23"/>
      <c r="G14" s="25"/>
      <c r="H14" s="23"/>
      <c r="I14" s="25">
        <v>154</v>
      </c>
      <c r="J14" s="23"/>
      <c r="K14" s="25">
        <v>528</v>
      </c>
      <c r="L14" s="23"/>
      <c r="M14" s="43">
        <v>0</v>
      </c>
      <c r="N14" s="43">
        <v>350</v>
      </c>
      <c r="O14" s="23"/>
      <c r="P14" s="25"/>
      <c r="Q14" s="23"/>
      <c r="R14" s="26">
        <v>649</v>
      </c>
      <c r="S14" s="27">
        <v>17265117</v>
      </c>
      <c r="T14" s="126" t="s">
        <v>218</v>
      </c>
    </row>
    <row r="15" spans="1:20" x14ac:dyDescent="0.3">
      <c r="A15" s="33">
        <v>10</v>
      </c>
      <c r="B15" s="34" t="s">
        <v>20</v>
      </c>
      <c r="C15" s="25"/>
      <c r="D15" s="31"/>
      <c r="E15" s="35"/>
      <c r="F15" s="31"/>
      <c r="G15" s="35"/>
      <c r="H15" s="31"/>
      <c r="I15" s="35"/>
      <c r="J15" s="31"/>
      <c r="K15" s="25"/>
      <c r="L15" s="31"/>
      <c r="M15" s="35"/>
      <c r="N15" s="35"/>
      <c r="O15" s="31"/>
      <c r="P15" s="35"/>
      <c r="Q15" s="31"/>
      <c r="R15" s="36"/>
      <c r="S15" s="37"/>
      <c r="T15" s="127"/>
    </row>
    <row r="16" spans="1:20" x14ac:dyDescent="0.3">
      <c r="A16" s="44">
        <v>11</v>
      </c>
      <c r="B16" s="45" t="s">
        <v>21</v>
      </c>
      <c r="C16" s="22"/>
      <c r="D16" s="31"/>
      <c r="E16" s="22"/>
      <c r="F16" s="31"/>
      <c r="G16" s="22"/>
      <c r="H16" s="31"/>
      <c r="I16" s="22"/>
      <c r="J16" s="31"/>
      <c r="K16" s="25"/>
      <c r="L16" s="31"/>
      <c r="M16" s="25"/>
      <c r="N16" s="25"/>
      <c r="O16" s="31"/>
      <c r="P16" s="25"/>
      <c r="Q16" s="31"/>
      <c r="R16" s="26"/>
      <c r="S16" s="37"/>
      <c r="T16" s="28"/>
    </row>
    <row r="17" spans="1:21" ht="15.6" customHeight="1" thickBot="1" x14ac:dyDescent="0.35">
      <c r="A17" s="485" t="s">
        <v>23</v>
      </c>
      <c r="B17" s="486"/>
      <c r="C17" s="38">
        <f t="shared" ref="C17:S17" si="1">SUM(C10:C16)</f>
        <v>1921</v>
      </c>
      <c r="D17" s="39">
        <f t="shared" si="1"/>
        <v>2</v>
      </c>
      <c r="E17" s="38">
        <f t="shared" si="1"/>
        <v>1925</v>
      </c>
      <c r="F17" s="39">
        <f t="shared" si="1"/>
        <v>1</v>
      </c>
      <c r="G17" s="38">
        <f t="shared" si="1"/>
        <v>348</v>
      </c>
      <c r="H17" s="39">
        <f t="shared" si="1"/>
        <v>0</v>
      </c>
      <c r="I17" s="38">
        <f t="shared" si="1"/>
        <v>2554</v>
      </c>
      <c r="J17" s="39">
        <f t="shared" si="1"/>
        <v>0</v>
      </c>
      <c r="K17" s="38">
        <f t="shared" si="1"/>
        <v>2382</v>
      </c>
      <c r="L17" s="39">
        <f t="shared" si="1"/>
        <v>0</v>
      </c>
      <c r="M17" s="38">
        <f>SUM(M10:M14)</f>
        <v>180</v>
      </c>
      <c r="N17" s="38">
        <f t="shared" si="1"/>
        <v>1442</v>
      </c>
      <c r="O17" s="39">
        <f t="shared" si="1"/>
        <v>0</v>
      </c>
      <c r="P17" s="38">
        <f t="shared" si="1"/>
        <v>0</v>
      </c>
      <c r="Q17" s="39">
        <f t="shared" si="1"/>
        <v>0</v>
      </c>
      <c r="R17" s="40">
        <f t="shared" si="1"/>
        <v>1416</v>
      </c>
      <c r="S17" s="41">
        <f t="shared" si="1"/>
        <v>35816305</v>
      </c>
      <c r="T17" s="46"/>
    </row>
    <row r="18" spans="1:21" x14ac:dyDescent="0.3">
      <c r="A18" s="47">
        <v>12</v>
      </c>
      <c r="B18" s="48" t="s">
        <v>16</v>
      </c>
      <c r="C18" s="52"/>
      <c r="D18" s="51">
        <v>10</v>
      </c>
      <c r="E18" s="52">
        <v>332</v>
      </c>
      <c r="F18" s="51"/>
      <c r="G18" s="52"/>
      <c r="H18" s="51"/>
      <c r="I18" s="52">
        <v>718</v>
      </c>
      <c r="J18" s="51"/>
      <c r="K18" s="52">
        <v>508</v>
      </c>
      <c r="L18" s="51"/>
      <c r="M18" s="52">
        <v>0</v>
      </c>
      <c r="N18" s="52">
        <v>493</v>
      </c>
      <c r="O18" s="51"/>
      <c r="P18" s="52"/>
      <c r="Q18" s="51"/>
      <c r="R18" s="86">
        <v>117</v>
      </c>
      <c r="S18" s="87">
        <v>18212410</v>
      </c>
      <c r="T18" s="172" t="s">
        <v>221</v>
      </c>
    </row>
    <row r="19" spans="1:21" x14ac:dyDescent="0.3">
      <c r="A19" s="20">
        <v>13</v>
      </c>
      <c r="B19" s="21" t="s">
        <v>17</v>
      </c>
      <c r="C19" s="25">
        <v>290</v>
      </c>
      <c r="D19" s="23"/>
      <c r="E19" s="25">
        <v>350</v>
      </c>
      <c r="F19" s="23"/>
      <c r="G19" s="25"/>
      <c r="H19" s="23"/>
      <c r="I19" s="25"/>
      <c r="J19" s="23"/>
      <c r="K19" s="25">
        <v>542</v>
      </c>
      <c r="L19" s="23"/>
      <c r="M19" s="25">
        <v>0</v>
      </c>
      <c r="N19" s="25">
        <v>593</v>
      </c>
      <c r="O19" s="23"/>
      <c r="P19" s="25"/>
      <c r="Q19" s="23"/>
      <c r="R19" s="26">
        <v>195</v>
      </c>
      <c r="S19" s="27">
        <v>4789446</v>
      </c>
      <c r="T19" s="128"/>
    </row>
    <row r="20" spans="1:21" x14ac:dyDescent="0.3">
      <c r="A20" s="20">
        <v>14</v>
      </c>
      <c r="B20" s="21" t="s">
        <v>17</v>
      </c>
      <c r="C20" s="25">
        <v>412</v>
      </c>
      <c r="D20" s="23"/>
      <c r="E20" s="25">
        <v>352</v>
      </c>
      <c r="F20" s="23"/>
      <c r="G20" s="25"/>
      <c r="H20" s="23"/>
      <c r="I20" s="25"/>
      <c r="J20" s="23"/>
      <c r="K20" s="25">
        <v>661</v>
      </c>
      <c r="L20" s="23"/>
      <c r="M20" s="25">
        <v>111</v>
      </c>
      <c r="N20" s="25">
        <v>631</v>
      </c>
      <c r="O20" s="23"/>
      <c r="P20" s="25"/>
      <c r="Q20" s="23"/>
      <c r="R20" s="26">
        <v>290</v>
      </c>
      <c r="S20" s="27">
        <v>4217964</v>
      </c>
      <c r="T20" s="128"/>
    </row>
    <row r="21" spans="1:21" ht="15.6" customHeight="1" x14ac:dyDescent="0.3">
      <c r="A21" s="20">
        <v>15</v>
      </c>
      <c r="B21" s="21" t="s">
        <v>18</v>
      </c>
      <c r="C21" s="25">
        <v>0</v>
      </c>
      <c r="D21" s="23">
        <v>1</v>
      </c>
      <c r="E21" s="25">
        <v>400</v>
      </c>
      <c r="F21" s="23"/>
      <c r="G21" s="25">
        <v>718</v>
      </c>
      <c r="H21" s="23"/>
      <c r="I21" s="25">
        <v>574</v>
      </c>
      <c r="J21" s="23"/>
      <c r="K21" s="25">
        <v>625</v>
      </c>
      <c r="L21" s="23"/>
      <c r="M21" s="25">
        <v>0</v>
      </c>
      <c r="N21" s="25">
        <v>315</v>
      </c>
      <c r="O21" s="23"/>
      <c r="P21" s="25"/>
      <c r="Q21" s="23"/>
      <c r="R21" s="26">
        <v>426</v>
      </c>
      <c r="S21" s="27">
        <v>10520124</v>
      </c>
      <c r="T21" s="54" t="s">
        <v>222</v>
      </c>
      <c r="U21" s="55"/>
    </row>
    <row r="22" spans="1:21" x14ac:dyDescent="0.3">
      <c r="A22" s="20">
        <v>16</v>
      </c>
      <c r="B22" s="21" t="s">
        <v>19</v>
      </c>
      <c r="C22" s="25">
        <v>256</v>
      </c>
      <c r="D22" s="23"/>
      <c r="E22" s="25">
        <v>322</v>
      </c>
      <c r="F22" s="23"/>
      <c r="G22" s="25">
        <v>512</v>
      </c>
      <c r="H22" s="23"/>
      <c r="I22" s="25">
        <v>506</v>
      </c>
      <c r="J22" s="23"/>
      <c r="K22" s="25">
        <v>718</v>
      </c>
      <c r="L22" s="23"/>
      <c r="M22" s="25">
        <v>0</v>
      </c>
      <c r="N22" s="25">
        <v>918</v>
      </c>
      <c r="O22" s="23"/>
      <c r="P22" s="25"/>
      <c r="Q22" s="23"/>
      <c r="R22" s="26">
        <v>1</v>
      </c>
      <c r="S22" s="27">
        <v>16194</v>
      </c>
      <c r="T22" s="126"/>
    </row>
    <row r="23" spans="1:21" ht="15.6" customHeight="1" x14ac:dyDescent="0.3">
      <c r="A23" s="33">
        <v>17</v>
      </c>
      <c r="B23" s="34" t="s">
        <v>20</v>
      </c>
      <c r="C23" s="35"/>
      <c r="D23" s="31"/>
      <c r="E23" s="35"/>
      <c r="F23" s="31"/>
      <c r="G23" s="35"/>
      <c r="H23" s="31"/>
      <c r="I23" s="35"/>
      <c r="J23" s="31"/>
      <c r="K23" s="35"/>
      <c r="L23" s="31"/>
      <c r="M23" s="35"/>
      <c r="N23" s="35"/>
      <c r="O23" s="31"/>
      <c r="P23" s="35"/>
      <c r="Q23" s="31"/>
      <c r="R23" s="36"/>
      <c r="S23" s="37"/>
      <c r="T23" s="32"/>
    </row>
    <row r="24" spans="1:21" ht="15.6" customHeight="1" x14ac:dyDescent="0.3">
      <c r="A24" s="44">
        <v>18</v>
      </c>
      <c r="B24" s="45" t="s">
        <v>21</v>
      </c>
      <c r="C24" s="22"/>
      <c r="D24" s="31"/>
      <c r="E24" s="35"/>
      <c r="F24" s="31"/>
      <c r="G24" s="35"/>
      <c r="H24" s="31"/>
      <c r="I24" s="35"/>
      <c r="J24" s="31"/>
      <c r="K24" s="35"/>
      <c r="L24" s="31"/>
      <c r="M24" s="35"/>
      <c r="N24" s="35"/>
      <c r="O24" s="31"/>
      <c r="P24" s="35"/>
      <c r="Q24" s="31"/>
      <c r="R24" s="36"/>
      <c r="S24" s="37"/>
      <c r="T24" s="32"/>
    </row>
    <row r="25" spans="1:21" ht="15.6" customHeight="1" thickBot="1" x14ac:dyDescent="0.35">
      <c r="A25" s="485" t="s">
        <v>25</v>
      </c>
      <c r="B25" s="486"/>
      <c r="C25" s="38">
        <f>SUM(C18:C24)</f>
        <v>958</v>
      </c>
      <c r="D25" s="39">
        <f t="shared" ref="D25:R25" si="2">SUM(D18:D24)</f>
        <v>11</v>
      </c>
      <c r="E25" s="38">
        <f t="shared" si="2"/>
        <v>1756</v>
      </c>
      <c r="F25" s="39">
        <f t="shared" si="2"/>
        <v>0</v>
      </c>
      <c r="G25" s="38">
        <f t="shared" si="2"/>
        <v>1230</v>
      </c>
      <c r="H25" s="39">
        <f t="shared" si="2"/>
        <v>0</v>
      </c>
      <c r="I25" s="38">
        <f t="shared" si="2"/>
        <v>1798</v>
      </c>
      <c r="J25" s="39">
        <f t="shared" si="2"/>
        <v>0</v>
      </c>
      <c r="K25" s="38">
        <f t="shared" si="2"/>
        <v>3054</v>
      </c>
      <c r="L25" s="39">
        <f t="shared" si="2"/>
        <v>0</v>
      </c>
      <c r="M25" s="38">
        <f>SUM(M18:M22)</f>
        <v>111</v>
      </c>
      <c r="N25" s="38">
        <f t="shared" si="2"/>
        <v>2950</v>
      </c>
      <c r="O25" s="39">
        <f t="shared" si="2"/>
        <v>0</v>
      </c>
      <c r="P25" s="38">
        <f t="shared" si="2"/>
        <v>0</v>
      </c>
      <c r="Q25" s="39">
        <f t="shared" si="2"/>
        <v>0</v>
      </c>
      <c r="R25" s="40">
        <f t="shared" si="2"/>
        <v>1029</v>
      </c>
      <c r="S25" s="41">
        <f>SUM(S18:S24)</f>
        <v>37756138</v>
      </c>
      <c r="T25" s="56"/>
    </row>
    <row r="26" spans="1:21" ht="15.6" customHeight="1" x14ac:dyDescent="0.3">
      <c r="A26" s="11">
        <v>19</v>
      </c>
      <c r="B26" s="12" t="s">
        <v>16</v>
      </c>
      <c r="C26" s="15">
        <v>300</v>
      </c>
      <c r="D26" s="16">
        <v>3</v>
      </c>
      <c r="E26" s="15">
        <v>340</v>
      </c>
      <c r="F26" s="16"/>
      <c r="G26" s="15"/>
      <c r="H26" s="16"/>
      <c r="I26" s="15">
        <v>718</v>
      </c>
      <c r="J26" s="16"/>
      <c r="K26" s="15">
        <v>360</v>
      </c>
      <c r="L26" s="16"/>
      <c r="M26" s="15">
        <v>0</v>
      </c>
      <c r="N26" s="15">
        <v>650</v>
      </c>
      <c r="O26" s="16"/>
      <c r="P26" s="15"/>
      <c r="Q26" s="16"/>
      <c r="R26" s="57">
        <v>490</v>
      </c>
      <c r="S26" s="18">
        <v>12101233</v>
      </c>
      <c r="T26" s="131"/>
    </row>
    <row r="27" spans="1:21" ht="15.6" customHeight="1" x14ac:dyDescent="0.3">
      <c r="A27" s="20">
        <v>20</v>
      </c>
      <c r="B27" s="21" t="s">
        <v>17</v>
      </c>
      <c r="C27" s="25">
        <v>0</v>
      </c>
      <c r="D27" s="23">
        <v>1</v>
      </c>
      <c r="E27" s="25">
        <v>362</v>
      </c>
      <c r="F27" s="23"/>
      <c r="G27" s="25"/>
      <c r="H27" s="23"/>
      <c r="I27" s="25">
        <v>1002</v>
      </c>
      <c r="J27" s="23"/>
      <c r="K27" s="25">
        <v>354</v>
      </c>
      <c r="L27" s="23"/>
      <c r="M27" s="25">
        <v>0</v>
      </c>
      <c r="N27" s="25">
        <v>617</v>
      </c>
      <c r="O27" s="23"/>
      <c r="P27" s="25"/>
      <c r="Q27" s="23"/>
      <c r="R27" s="58">
        <v>556</v>
      </c>
      <c r="S27" s="27">
        <v>14307451</v>
      </c>
      <c r="T27" s="128"/>
    </row>
    <row r="28" spans="1:21" s="137" customFormat="1" ht="15.6" customHeight="1" x14ac:dyDescent="0.3">
      <c r="A28" s="33">
        <v>21</v>
      </c>
      <c r="B28" s="34" t="s">
        <v>17</v>
      </c>
      <c r="C28" s="35" t="s">
        <v>36</v>
      </c>
      <c r="D28" s="31" t="s">
        <v>36</v>
      </c>
      <c r="E28" s="35" t="s">
        <v>36</v>
      </c>
      <c r="F28" s="31" t="s">
        <v>36</v>
      </c>
      <c r="G28" s="35" t="s">
        <v>36</v>
      </c>
      <c r="H28" s="31" t="s">
        <v>36</v>
      </c>
      <c r="I28" s="35" t="s">
        <v>36</v>
      </c>
      <c r="J28" s="31" t="s">
        <v>36</v>
      </c>
      <c r="K28" s="35" t="s">
        <v>36</v>
      </c>
      <c r="L28" s="31" t="s">
        <v>36</v>
      </c>
      <c r="M28" s="35" t="s">
        <v>36</v>
      </c>
      <c r="N28" s="35" t="s">
        <v>36</v>
      </c>
      <c r="O28" s="31" t="s">
        <v>36</v>
      </c>
      <c r="P28" s="35" t="s">
        <v>36</v>
      </c>
      <c r="Q28" s="31" t="s">
        <v>36</v>
      </c>
      <c r="R28" s="35" t="s">
        <v>36</v>
      </c>
      <c r="S28" s="31" t="s">
        <v>36</v>
      </c>
      <c r="T28" s="173"/>
    </row>
    <row r="29" spans="1:21" ht="15.6" customHeight="1" x14ac:dyDescent="0.3">
      <c r="A29" s="20">
        <v>22</v>
      </c>
      <c r="B29" s="21" t="s">
        <v>18</v>
      </c>
      <c r="C29" s="25">
        <v>484</v>
      </c>
      <c r="D29" s="23">
        <v>1</v>
      </c>
      <c r="E29" s="25">
        <v>256</v>
      </c>
      <c r="F29" s="23"/>
      <c r="G29" s="25"/>
      <c r="H29" s="23"/>
      <c r="I29" s="25">
        <v>512</v>
      </c>
      <c r="J29" s="23"/>
      <c r="K29" s="25">
        <v>681</v>
      </c>
      <c r="L29" s="23"/>
      <c r="M29" s="25">
        <v>122</v>
      </c>
      <c r="N29" s="25">
        <v>517</v>
      </c>
      <c r="O29" s="23"/>
      <c r="P29" s="25"/>
      <c r="Q29" s="23"/>
      <c r="R29" s="58">
        <v>357</v>
      </c>
      <c r="S29" s="27">
        <v>9037292</v>
      </c>
      <c r="T29" s="28"/>
    </row>
    <row r="30" spans="1:21" s="137" customFormat="1" ht="15.6" customHeight="1" x14ac:dyDescent="0.3">
      <c r="A30" s="29">
        <v>23</v>
      </c>
      <c r="B30" s="21" t="s">
        <v>19</v>
      </c>
      <c r="C30" s="22">
        <v>386</v>
      </c>
      <c r="D30" s="24"/>
      <c r="E30" s="22">
        <v>250</v>
      </c>
      <c r="F30" s="160"/>
      <c r="G30" s="159"/>
      <c r="H30" s="160"/>
      <c r="I30" s="159"/>
      <c r="J30" s="160"/>
      <c r="K30" s="22">
        <v>450</v>
      </c>
      <c r="L30" s="160"/>
      <c r="M30" s="159">
        <v>0</v>
      </c>
      <c r="N30" s="22">
        <v>400</v>
      </c>
      <c r="O30" s="160"/>
      <c r="P30" s="159"/>
      <c r="Q30" s="160"/>
      <c r="R30" s="178">
        <v>365</v>
      </c>
      <c r="S30" s="179">
        <v>8975531</v>
      </c>
      <c r="T30" s="180" t="s">
        <v>223</v>
      </c>
    </row>
    <row r="31" spans="1:21" ht="15.6" customHeight="1" x14ac:dyDescent="0.3">
      <c r="A31" s="33">
        <v>24</v>
      </c>
      <c r="B31" s="34" t="s">
        <v>20</v>
      </c>
      <c r="C31" s="35"/>
      <c r="D31" s="31"/>
      <c r="E31" s="35"/>
      <c r="F31" s="31"/>
      <c r="G31" s="35"/>
      <c r="H31" s="31"/>
      <c r="I31" s="35"/>
      <c r="J31" s="31"/>
      <c r="K31" s="35"/>
      <c r="L31" s="31"/>
      <c r="M31" s="35"/>
      <c r="N31" s="35"/>
      <c r="O31" s="31"/>
      <c r="P31" s="35"/>
      <c r="Q31" s="31"/>
      <c r="R31" s="59"/>
      <c r="S31" s="37"/>
      <c r="T31" s="128"/>
    </row>
    <row r="32" spans="1:21" ht="15.6" customHeight="1" x14ac:dyDescent="0.3">
      <c r="A32" s="44">
        <v>25</v>
      </c>
      <c r="B32" s="45" t="s">
        <v>21</v>
      </c>
      <c r="C32" s="22"/>
      <c r="D32" s="24"/>
      <c r="E32" s="22"/>
      <c r="F32" s="24"/>
      <c r="G32" s="22"/>
      <c r="H32" s="24"/>
      <c r="I32" s="22"/>
      <c r="J32" s="24"/>
      <c r="K32" s="25"/>
      <c r="L32" s="23"/>
      <c r="M32" s="25"/>
      <c r="N32" s="25"/>
      <c r="O32" s="23"/>
      <c r="P32" s="25"/>
      <c r="Q32" s="23"/>
      <c r="R32" s="58"/>
      <c r="S32" s="27"/>
      <c r="T32" s="32"/>
    </row>
    <row r="33" spans="1:20" ht="15.6" customHeight="1" thickBot="1" x14ac:dyDescent="0.35">
      <c r="A33" s="485" t="s">
        <v>26</v>
      </c>
      <c r="B33" s="486"/>
      <c r="C33" s="38">
        <f>SUM(C26:C32)</f>
        <v>1170</v>
      </c>
      <c r="D33" s="39">
        <f t="shared" ref="D33:R33" si="3">SUM(D26:D32)</f>
        <v>5</v>
      </c>
      <c r="E33" s="38">
        <f t="shared" si="3"/>
        <v>1208</v>
      </c>
      <c r="F33" s="39">
        <f t="shared" si="3"/>
        <v>0</v>
      </c>
      <c r="G33" s="38">
        <f t="shared" si="3"/>
        <v>0</v>
      </c>
      <c r="H33" s="39">
        <f t="shared" si="3"/>
        <v>0</v>
      </c>
      <c r="I33" s="38">
        <f t="shared" si="3"/>
        <v>2232</v>
      </c>
      <c r="J33" s="39">
        <f t="shared" si="3"/>
        <v>0</v>
      </c>
      <c r="K33" s="38">
        <f t="shared" si="3"/>
        <v>1845</v>
      </c>
      <c r="L33" s="39">
        <f t="shared" si="3"/>
        <v>0</v>
      </c>
      <c r="M33" s="38">
        <f>SUM(M26:M27,M29:M30)</f>
        <v>122</v>
      </c>
      <c r="N33" s="38">
        <f t="shared" si="3"/>
        <v>2184</v>
      </c>
      <c r="O33" s="39">
        <f t="shared" si="3"/>
        <v>0</v>
      </c>
      <c r="P33" s="38">
        <f t="shared" si="3"/>
        <v>0</v>
      </c>
      <c r="Q33" s="39">
        <f t="shared" si="3"/>
        <v>0</v>
      </c>
      <c r="R33" s="162">
        <f t="shared" si="3"/>
        <v>1768</v>
      </c>
      <c r="S33" s="41">
        <f>SUM(S26:S32)</f>
        <v>44421507</v>
      </c>
      <c r="T33" s="56"/>
    </row>
    <row r="34" spans="1:20" ht="15.6" customHeight="1" x14ac:dyDescent="0.3">
      <c r="A34" s="11">
        <v>26</v>
      </c>
      <c r="B34" s="12" t="s">
        <v>16</v>
      </c>
      <c r="C34" s="15">
        <v>496</v>
      </c>
      <c r="D34" s="16">
        <v>21</v>
      </c>
      <c r="E34" s="15">
        <v>150</v>
      </c>
      <c r="F34" s="16"/>
      <c r="G34" s="15"/>
      <c r="H34" s="16"/>
      <c r="I34" s="15">
        <v>702</v>
      </c>
      <c r="J34" s="16"/>
      <c r="K34" s="15">
        <v>638</v>
      </c>
      <c r="L34" s="16"/>
      <c r="M34" s="15">
        <v>0</v>
      </c>
      <c r="N34" s="183">
        <v>563</v>
      </c>
      <c r="O34" s="16"/>
      <c r="P34" s="15"/>
      <c r="Q34" s="16"/>
      <c r="R34" s="167">
        <v>33</v>
      </c>
      <c r="S34" s="18">
        <v>783437</v>
      </c>
      <c r="T34" s="133"/>
    </row>
    <row r="35" spans="1:20" ht="15.6" customHeight="1" x14ac:dyDescent="0.3">
      <c r="A35" s="20">
        <v>27</v>
      </c>
      <c r="B35" s="21" t="s">
        <v>17</v>
      </c>
      <c r="C35" s="25">
        <v>706</v>
      </c>
      <c r="D35" s="23"/>
      <c r="E35" s="25">
        <v>250</v>
      </c>
      <c r="F35" s="23"/>
      <c r="G35" s="25"/>
      <c r="H35" s="23"/>
      <c r="I35" s="25">
        <v>702</v>
      </c>
      <c r="J35" s="23"/>
      <c r="K35" s="25">
        <v>557</v>
      </c>
      <c r="L35" s="23"/>
      <c r="M35" s="25">
        <v>0</v>
      </c>
      <c r="N35" s="25">
        <v>643</v>
      </c>
      <c r="O35" s="23"/>
      <c r="P35" s="25"/>
      <c r="Q35" s="23"/>
      <c r="R35" s="58">
        <v>862</v>
      </c>
      <c r="S35" s="27">
        <v>14286023</v>
      </c>
      <c r="T35" s="132"/>
    </row>
    <row r="36" spans="1:20" s="177" customFormat="1" x14ac:dyDescent="0.3">
      <c r="A36" s="29">
        <v>28</v>
      </c>
      <c r="B36" s="30" t="s">
        <v>17</v>
      </c>
      <c r="C36" s="25">
        <v>0</v>
      </c>
      <c r="D36" s="23">
        <v>1</v>
      </c>
      <c r="E36" s="25">
        <v>316</v>
      </c>
      <c r="F36" s="175"/>
      <c r="G36" s="174"/>
      <c r="H36" s="175"/>
      <c r="I36" s="25">
        <v>290</v>
      </c>
      <c r="J36" s="175"/>
      <c r="K36" s="25">
        <v>171</v>
      </c>
      <c r="L36" s="175"/>
      <c r="M36" s="174">
        <v>0</v>
      </c>
      <c r="N36" s="25">
        <v>418</v>
      </c>
      <c r="O36" s="175"/>
      <c r="P36" s="174"/>
      <c r="Q36" s="175"/>
      <c r="R36" s="25">
        <v>276</v>
      </c>
      <c r="S36" s="27">
        <v>10002621</v>
      </c>
      <c r="T36" s="176"/>
    </row>
    <row r="37" spans="1:20" ht="15.6" customHeight="1" x14ac:dyDescent="0.3">
      <c r="A37" s="20">
        <v>29</v>
      </c>
      <c r="B37" s="21" t="s">
        <v>18</v>
      </c>
      <c r="C37" s="25">
        <v>508</v>
      </c>
      <c r="D37" s="23"/>
      <c r="E37" s="25">
        <v>396</v>
      </c>
      <c r="F37" s="23"/>
      <c r="G37" s="25"/>
      <c r="H37" s="23"/>
      <c r="I37" s="25"/>
      <c r="J37" s="23"/>
      <c r="K37" s="25">
        <v>577</v>
      </c>
      <c r="L37" s="23"/>
      <c r="M37" s="25">
        <v>0</v>
      </c>
      <c r="N37" s="25">
        <v>560</v>
      </c>
      <c r="O37" s="23"/>
      <c r="P37" s="25"/>
      <c r="Q37" s="23"/>
      <c r="R37" s="58">
        <v>1154</v>
      </c>
      <c r="S37" s="27">
        <v>21434114</v>
      </c>
      <c r="T37" s="134"/>
    </row>
    <row r="38" spans="1:20" ht="15.6" customHeight="1" x14ac:dyDescent="0.3">
      <c r="A38" s="20">
        <v>30</v>
      </c>
      <c r="B38" s="21" t="s">
        <v>19</v>
      </c>
      <c r="C38" s="25">
        <v>702</v>
      </c>
      <c r="D38" s="23"/>
      <c r="E38" s="25"/>
      <c r="F38" s="23"/>
      <c r="G38" s="25"/>
      <c r="H38" s="23"/>
      <c r="I38" s="25">
        <v>692</v>
      </c>
      <c r="J38" s="23"/>
      <c r="K38" s="25">
        <v>688</v>
      </c>
      <c r="L38" s="23"/>
      <c r="M38" s="25">
        <v>0</v>
      </c>
      <c r="N38" s="25">
        <v>502</v>
      </c>
      <c r="O38" s="23"/>
      <c r="P38" s="25"/>
      <c r="Q38" s="23"/>
      <c r="R38" s="58">
        <v>231</v>
      </c>
      <c r="S38" s="27"/>
      <c r="T38" s="134"/>
    </row>
    <row r="39" spans="1:20" ht="15.6" customHeight="1" x14ac:dyDescent="0.3">
      <c r="A39" s="33">
        <v>31</v>
      </c>
      <c r="B39" s="34" t="s">
        <v>20</v>
      </c>
      <c r="C39" s="35"/>
      <c r="D39" s="31"/>
      <c r="E39" s="35"/>
      <c r="F39" s="31"/>
      <c r="G39" s="35"/>
      <c r="H39" s="31"/>
      <c r="I39" s="35"/>
      <c r="J39" s="31"/>
      <c r="K39" s="35"/>
      <c r="L39" s="31"/>
      <c r="M39" s="35"/>
      <c r="N39" s="35"/>
      <c r="O39" s="31"/>
      <c r="P39" s="35"/>
      <c r="Q39" s="31"/>
      <c r="R39" s="59"/>
      <c r="S39" s="37"/>
      <c r="T39" s="32"/>
    </row>
    <row r="40" spans="1:20" ht="15.6" customHeight="1" x14ac:dyDescent="0.3">
      <c r="A40" s="44">
        <v>1</v>
      </c>
      <c r="B40" s="45" t="s">
        <v>21</v>
      </c>
      <c r="C40" s="22"/>
      <c r="D40" s="24"/>
      <c r="E40" s="22"/>
      <c r="F40" s="24"/>
      <c r="G40" s="22"/>
      <c r="H40" s="24"/>
      <c r="I40" s="22"/>
      <c r="J40" s="24"/>
      <c r="K40" s="25"/>
      <c r="L40" s="23"/>
      <c r="M40" s="25"/>
      <c r="N40" s="25"/>
      <c r="O40" s="23"/>
      <c r="P40" s="25"/>
      <c r="Q40" s="23"/>
      <c r="R40" s="58"/>
      <c r="S40" s="27"/>
      <c r="T40" s="32"/>
    </row>
    <row r="41" spans="1:20" ht="15.6" customHeight="1" thickBot="1" x14ac:dyDescent="0.35">
      <c r="A41" s="485" t="s">
        <v>27</v>
      </c>
      <c r="B41" s="486"/>
      <c r="C41" s="38">
        <f t="shared" ref="C41:S41" si="4">SUM(C34:C40)</f>
        <v>2412</v>
      </c>
      <c r="D41" s="39">
        <f t="shared" si="4"/>
        <v>22</v>
      </c>
      <c r="E41" s="38">
        <f t="shared" si="4"/>
        <v>1112</v>
      </c>
      <c r="F41" s="39">
        <f t="shared" si="4"/>
        <v>0</v>
      </c>
      <c r="G41" s="38">
        <f t="shared" si="4"/>
        <v>0</v>
      </c>
      <c r="H41" s="39">
        <f t="shared" si="4"/>
        <v>0</v>
      </c>
      <c r="I41" s="38">
        <f t="shared" si="4"/>
        <v>2386</v>
      </c>
      <c r="J41" s="39">
        <f t="shared" si="4"/>
        <v>0</v>
      </c>
      <c r="K41" s="38">
        <f t="shared" si="4"/>
        <v>2631</v>
      </c>
      <c r="L41" s="39">
        <f t="shared" si="4"/>
        <v>0</v>
      </c>
      <c r="M41" s="38">
        <f>SUM(M34:M38)</f>
        <v>0</v>
      </c>
      <c r="N41" s="38">
        <f t="shared" si="4"/>
        <v>2686</v>
      </c>
      <c r="O41" s="39">
        <f t="shared" si="4"/>
        <v>0</v>
      </c>
      <c r="P41" s="38">
        <f t="shared" si="4"/>
        <v>0</v>
      </c>
      <c r="Q41" s="39">
        <f t="shared" si="4"/>
        <v>0</v>
      </c>
      <c r="R41" s="162">
        <f t="shared" si="4"/>
        <v>2556</v>
      </c>
      <c r="S41" s="41">
        <f t="shared" si="4"/>
        <v>46506195</v>
      </c>
      <c r="T41" s="64"/>
    </row>
    <row r="42" spans="1:20" ht="19.95" customHeight="1" x14ac:dyDescent="0.3">
      <c r="A42" s="455" t="s">
        <v>28</v>
      </c>
      <c r="B42" s="487"/>
      <c r="C42" s="65">
        <f t="shared" ref="C42:L42" si="5">C9+C17+C25+C33+C41</f>
        <v>6553</v>
      </c>
      <c r="D42" s="66">
        <f t="shared" si="5"/>
        <v>40</v>
      </c>
      <c r="E42" s="65">
        <f t="shared" si="5"/>
        <v>6319</v>
      </c>
      <c r="F42" s="66">
        <f t="shared" si="5"/>
        <v>1</v>
      </c>
      <c r="G42" s="65">
        <f t="shared" si="5"/>
        <v>1578</v>
      </c>
      <c r="H42" s="66">
        <f t="shared" si="5"/>
        <v>0</v>
      </c>
      <c r="I42" s="65">
        <f t="shared" si="5"/>
        <v>9957</v>
      </c>
      <c r="J42" s="66">
        <f t="shared" si="5"/>
        <v>0</v>
      </c>
      <c r="K42" s="65">
        <f t="shared" si="5"/>
        <v>9912</v>
      </c>
      <c r="L42" s="66">
        <f t="shared" si="5"/>
        <v>0</v>
      </c>
      <c r="M42" s="65">
        <f>SUM(M9,M17,M25,M33,M41)</f>
        <v>413</v>
      </c>
      <c r="N42" s="65">
        <f t="shared" ref="N42:S42" si="6">N9+N17+N25+N33+N41</f>
        <v>9417</v>
      </c>
      <c r="O42" s="66">
        <f t="shared" si="6"/>
        <v>0</v>
      </c>
      <c r="P42" s="65">
        <f t="shared" si="6"/>
        <v>0</v>
      </c>
      <c r="Q42" s="66">
        <f t="shared" si="6"/>
        <v>0</v>
      </c>
      <c r="R42" s="67">
        <f t="shared" si="6"/>
        <v>6914</v>
      </c>
      <c r="S42" s="68">
        <f t="shared" si="6"/>
        <v>172032245</v>
      </c>
      <c r="T42" s="69" t="s">
        <v>29</v>
      </c>
    </row>
    <row r="43" spans="1:20" ht="18" customHeight="1" x14ac:dyDescent="0.3">
      <c r="A43" s="457" t="s">
        <v>30</v>
      </c>
      <c r="B43" s="488"/>
      <c r="C43" s="70">
        <v>10000</v>
      </c>
      <c r="D43" s="71"/>
      <c r="E43" s="70">
        <v>7000</v>
      </c>
      <c r="F43" s="71"/>
      <c r="G43" s="70">
        <v>5000</v>
      </c>
      <c r="H43" s="71"/>
      <c r="I43" s="70">
        <v>10000</v>
      </c>
      <c r="J43" s="71"/>
      <c r="K43" s="70">
        <v>10000</v>
      </c>
      <c r="L43" s="71"/>
      <c r="M43" s="70"/>
      <c r="N43" s="70">
        <v>10000</v>
      </c>
      <c r="O43" s="71"/>
      <c r="P43" s="70"/>
      <c r="Q43" s="71">
        <v>0</v>
      </c>
      <c r="R43" s="70">
        <v>10000</v>
      </c>
      <c r="S43" s="72">
        <v>260000000</v>
      </c>
      <c r="T43" s="130">
        <v>1</v>
      </c>
    </row>
    <row r="44" spans="1:20" ht="15.6" customHeight="1" thickBot="1" x14ac:dyDescent="0.35">
      <c r="A44" s="459" t="s">
        <v>31</v>
      </c>
      <c r="B44" s="489"/>
      <c r="C44" s="74">
        <f>C42-C43</f>
        <v>-3447</v>
      </c>
      <c r="D44" s="75"/>
      <c r="E44" s="74">
        <f>E42-E43</f>
        <v>-681</v>
      </c>
      <c r="F44" s="75"/>
      <c r="G44" s="74">
        <f>G42-G43</f>
        <v>-3422</v>
      </c>
      <c r="H44" s="75"/>
      <c r="I44" s="74">
        <f>I42-I43</f>
        <v>-43</v>
      </c>
      <c r="J44" s="75"/>
      <c r="K44" s="74">
        <f>K42-K43</f>
        <v>-88</v>
      </c>
      <c r="L44" s="75"/>
      <c r="M44" s="74"/>
      <c r="N44" s="74">
        <f>N42-N43</f>
        <v>-583</v>
      </c>
      <c r="O44" s="75"/>
      <c r="P44" s="74"/>
      <c r="Q44" s="75">
        <f>Q42-Q43</f>
        <v>0</v>
      </c>
      <c r="R44" s="76">
        <f>R42-R43</f>
        <v>-3086</v>
      </c>
      <c r="S44" s="77">
        <f>S42-S43</f>
        <v>-87967755</v>
      </c>
      <c r="T44" s="78" t="s">
        <v>32</v>
      </c>
    </row>
    <row r="45" spans="1:20" ht="15" thickBot="1" x14ac:dyDescent="0.35">
      <c r="A45" s="477" t="s">
        <v>211</v>
      </c>
      <c r="B45" s="478"/>
      <c r="C45" s="156" t="e">
        <f>ROUND(C44/S1,0)</f>
        <v>#DIV/0!</v>
      </c>
      <c r="D45" s="157" t="e">
        <f>ROUND(D44/S1,0)</f>
        <v>#DIV/0!</v>
      </c>
      <c r="E45" s="156" t="e">
        <f>ROUND((E44/S1),0)</f>
        <v>#DIV/0!</v>
      </c>
      <c r="F45" s="157"/>
      <c r="G45" s="156" t="e">
        <f>ROUND(G44/S1,0)</f>
        <v>#DIV/0!</v>
      </c>
      <c r="H45" s="157"/>
      <c r="I45" s="156" t="e">
        <f>ROUND(I44/S1,0)</f>
        <v>#DIV/0!</v>
      </c>
      <c r="J45" s="157"/>
      <c r="K45" s="156" t="e">
        <f>ROUND(K44/S1,0)</f>
        <v>#DIV/0!</v>
      </c>
      <c r="L45" s="157"/>
      <c r="M45" s="156"/>
      <c r="N45" s="156" t="e">
        <f>ROUND(N44/S1,0)</f>
        <v>#DIV/0!</v>
      </c>
      <c r="O45" s="157"/>
      <c r="P45" s="156"/>
      <c r="Q45" s="157"/>
      <c r="R45" s="158" t="e">
        <f>ROUND(R44/S1,0)</f>
        <v>#DIV/0!</v>
      </c>
      <c r="S45" s="82" t="e">
        <f>S44/S1</f>
        <v>#DIV/0!</v>
      </c>
      <c r="T45" s="83" t="s">
        <v>34</v>
      </c>
    </row>
    <row r="48" spans="1:20" x14ac:dyDescent="0.3">
      <c r="S48" s="168"/>
    </row>
  </sheetData>
  <mergeCells count="23">
    <mergeCell ref="T2:T4"/>
    <mergeCell ref="A3:B3"/>
    <mergeCell ref="A4:B4"/>
    <mergeCell ref="A17:B17"/>
    <mergeCell ref="A45:B45"/>
    <mergeCell ref="A9:B9"/>
    <mergeCell ref="A33:B33"/>
    <mergeCell ref="A41:B41"/>
    <mergeCell ref="A42:B42"/>
    <mergeCell ref="A43:B43"/>
    <mergeCell ref="A44:B44"/>
    <mergeCell ref="A25:B25"/>
    <mergeCell ref="A1:L1"/>
    <mergeCell ref="N1:R1"/>
    <mergeCell ref="A2:B2"/>
    <mergeCell ref="C2:D2"/>
    <mergeCell ref="E2:F2"/>
    <mergeCell ref="G2:H2"/>
    <mergeCell ref="I2:J2"/>
    <mergeCell ref="K2:L2"/>
    <mergeCell ref="N2:O2"/>
    <mergeCell ref="P2:Q2"/>
    <mergeCell ref="R2:S2"/>
  </mergeCells>
  <pageMargins left="0.7" right="0.7" top="0.75" bottom="0.75" header="0.3" footer="0.3"/>
  <pageSetup orientation="portrait" horizontalDpi="360" verticalDpi="360" r:id="rId1"/>
  <ignoredErrors>
    <ignoredError sqref="N9:R9 C9:L9" formulaRange="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D115C-3E08-47F5-ADF8-3A83258C9A1B}">
  <dimension ref="A1:Y45"/>
  <sheetViews>
    <sheetView showGridLines="0" workbookViewId="0">
      <pane xSplit="2" ySplit="4" topLeftCell="C19" activePane="bottomRight" state="frozen"/>
      <selection pane="topRight" activeCell="C1" sqref="C1"/>
      <selection pane="bottomLeft" activeCell="A5" sqref="A5"/>
      <selection pane="bottomRight" sqref="A1:XFD1048576"/>
    </sheetView>
  </sheetViews>
  <sheetFormatPr baseColWidth="10" defaultRowHeight="14.4" x14ac:dyDescent="0.3"/>
  <cols>
    <col min="1" max="1" width="3.6640625" customWidth="1"/>
    <col min="2" max="2" width="12.88671875" customWidth="1"/>
    <col min="3" max="3" width="7.5546875" customWidth="1"/>
    <col min="4" max="4" width="7.88671875" bestFit="1" customWidth="1"/>
    <col min="5" max="12" width="7.5546875" customWidth="1"/>
    <col min="13" max="13" width="9.88671875" bestFit="1" customWidth="1"/>
    <col min="14" max="17" width="7.5546875" customWidth="1"/>
    <col min="18" max="18" width="7.6640625" customWidth="1"/>
    <col min="19" max="19" width="11.77734375" customWidth="1"/>
    <col min="20" max="20" width="12.109375" customWidth="1"/>
    <col min="21" max="21" width="65.88671875" customWidth="1"/>
    <col min="22" max="22" width="6.5546875" customWidth="1"/>
    <col min="23" max="23" width="13.5546875" customWidth="1"/>
  </cols>
  <sheetData>
    <row r="1" spans="1:25" ht="34.200000000000003" customHeight="1" thickBot="1" x14ac:dyDescent="0.35">
      <c r="A1" s="461" t="s">
        <v>224</v>
      </c>
      <c r="B1" s="461"/>
      <c r="C1" s="461"/>
      <c r="D1" s="461"/>
      <c r="E1" s="461"/>
      <c r="F1" s="461"/>
      <c r="G1" s="461"/>
      <c r="H1" s="461"/>
      <c r="I1" s="461"/>
      <c r="J1" s="461"/>
      <c r="K1" s="461"/>
      <c r="L1" s="461"/>
      <c r="M1" s="169"/>
      <c r="N1" s="473" t="s">
        <v>215</v>
      </c>
      <c r="O1" s="474"/>
      <c r="P1" s="474"/>
      <c r="Q1" s="474"/>
      <c r="R1" s="474"/>
      <c r="S1" s="474"/>
      <c r="T1" s="185">
        <v>7</v>
      </c>
      <c r="U1" s="2"/>
    </row>
    <row r="2" spans="1:25" ht="14.4" customHeight="1" x14ac:dyDescent="0.3">
      <c r="A2" s="476" t="s">
        <v>1</v>
      </c>
      <c r="B2" s="467"/>
      <c r="C2" s="466" t="s">
        <v>2</v>
      </c>
      <c r="D2" s="467"/>
      <c r="E2" s="466" t="s">
        <v>3</v>
      </c>
      <c r="F2" s="467"/>
      <c r="G2" s="466" t="s">
        <v>4</v>
      </c>
      <c r="H2" s="467"/>
      <c r="I2" s="466" t="s">
        <v>5</v>
      </c>
      <c r="J2" s="467"/>
      <c r="K2" s="466" t="s">
        <v>6</v>
      </c>
      <c r="L2" s="467"/>
      <c r="M2" s="171" t="s">
        <v>219</v>
      </c>
      <c r="N2" s="466" t="s">
        <v>7</v>
      </c>
      <c r="O2" s="467"/>
      <c r="P2" s="466" t="s">
        <v>8</v>
      </c>
      <c r="Q2" s="467"/>
      <c r="R2" s="466" t="s">
        <v>9</v>
      </c>
      <c r="S2" s="490"/>
      <c r="T2" s="468"/>
      <c r="U2" s="443" t="s">
        <v>10</v>
      </c>
    </row>
    <row r="3" spans="1:25" ht="15" customHeight="1" thickBot="1" x14ac:dyDescent="0.35">
      <c r="A3" s="481" t="s">
        <v>11</v>
      </c>
      <c r="B3" s="482"/>
      <c r="C3" s="3" t="s">
        <v>13</v>
      </c>
      <c r="D3" s="4" t="s">
        <v>12</v>
      </c>
      <c r="E3" s="3" t="s">
        <v>13</v>
      </c>
      <c r="F3" s="4" t="s">
        <v>12</v>
      </c>
      <c r="G3" s="3" t="s">
        <v>13</v>
      </c>
      <c r="H3" s="4" t="s">
        <v>12</v>
      </c>
      <c r="I3" s="3" t="s">
        <v>13</v>
      </c>
      <c r="J3" s="4" t="s">
        <v>12</v>
      </c>
      <c r="K3" s="3" t="s">
        <v>13</v>
      </c>
      <c r="L3" s="4" t="s">
        <v>12</v>
      </c>
      <c r="M3" s="170" t="s">
        <v>220</v>
      </c>
      <c r="N3" s="3" t="s">
        <v>13</v>
      </c>
      <c r="O3" s="4" t="s">
        <v>12</v>
      </c>
      <c r="P3" s="3" t="s">
        <v>13</v>
      </c>
      <c r="Q3" s="4" t="s">
        <v>12</v>
      </c>
      <c r="R3" s="5" t="s">
        <v>13</v>
      </c>
      <c r="S3" s="491" t="s">
        <v>227</v>
      </c>
      <c r="T3" s="493" t="s">
        <v>228</v>
      </c>
      <c r="U3" s="444"/>
    </row>
    <row r="4" spans="1:25" ht="14.4" customHeight="1" x14ac:dyDescent="0.3">
      <c r="A4" s="483" t="s">
        <v>15</v>
      </c>
      <c r="B4" s="484"/>
      <c r="C4" s="7">
        <v>600</v>
      </c>
      <c r="D4" s="8">
        <v>0</v>
      </c>
      <c r="E4" s="9">
        <v>400</v>
      </c>
      <c r="F4" s="8">
        <v>0</v>
      </c>
      <c r="G4" s="9">
        <v>250</v>
      </c>
      <c r="H4" s="8">
        <v>0</v>
      </c>
      <c r="I4" s="9">
        <v>600</v>
      </c>
      <c r="J4" s="8">
        <v>0</v>
      </c>
      <c r="K4" s="9">
        <v>600</v>
      </c>
      <c r="L4" s="8">
        <v>0</v>
      </c>
      <c r="M4" s="9">
        <v>20</v>
      </c>
      <c r="N4" s="9">
        <v>600</v>
      </c>
      <c r="O4" s="8">
        <v>0</v>
      </c>
      <c r="P4" s="9">
        <v>0</v>
      </c>
      <c r="Q4" s="8">
        <v>0</v>
      </c>
      <c r="R4" s="7">
        <v>600</v>
      </c>
      <c r="S4" s="492"/>
      <c r="T4" s="494"/>
      <c r="U4" s="469"/>
      <c r="W4" s="168">
        <v>3532263</v>
      </c>
      <c r="X4" s="168"/>
      <c r="Y4" s="168"/>
    </row>
    <row r="5" spans="1:25" x14ac:dyDescent="0.3">
      <c r="A5" s="11">
        <v>2</v>
      </c>
      <c r="B5" s="21" t="s">
        <v>16</v>
      </c>
      <c r="C5" s="15">
        <v>500</v>
      </c>
      <c r="D5" s="16"/>
      <c r="E5" s="15">
        <v>300</v>
      </c>
      <c r="F5" s="16"/>
      <c r="G5" s="15"/>
      <c r="H5" s="16"/>
      <c r="I5" s="15">
        <v>440</v>
      </c>
      <c r="J5" s="16"/>
      <c r="K5" s="15">
        <v>486</v>
      </c>
      <c r="L5" s="16"/>
      <c r="M5" s="15"/>
      <c r="N5" s="15">
        <v>226</v>
      </c>
      <c r="O5" s="16"/>
      <c r="P5" s="15"/>
      <c r="Q5" s="16"/>
      <c r="R5" s="17">
        <v>1051</v>
      </c>
      <c r="S5" s="186">
        <v>0</v>
      </c>
      <c r="T5" s="18">
        <v>17137564</v>
      </c>
      <c r="U5" s="161"/>
      <c r="W5" s="184">
        <f>(W4*100)/119</f>
        <v>2968288.2352941176</v>
      </c>
    </row>
    <row r="6" spans="1:25" x14ac:dyDescent="0.3">
      <c r="A6" s="11">
        <v>3</v>
      </c>
      <c r="B6" s="21" t="s">
        <v>17</v>
      </c>
      <c r="C6" s="15">
        <v>60</v>
      </c>
      <c r="D6" s="16"/>
      <c r="E6" s="15">
        <v>308</v>
      </c>
      <c r="F6" s="16"/>
      <c r="G6" s="15"/>
      <c r="H6" s="16"/>
      <c r="I6" s="15"/>
      <c r="J6" s="16"/>
      <c r="K6" s="15">
        <v>295</v>
      </c>
      <c r="L6" s="16"/>
      <c r="M6" s="15"/>
      <c r="N6" s="15">
        <v>310</v>
      </c>
      <c r="O6" s="16"/>
      <c r="P6" s="15"/>
      <c r="Q6" s="16"/>
      <c r="R6" s="17">
        <v>200</v>
      </c>
      <c r="S6" s="186">
        <v>4990787</v>
      </c>
      <c r="T6" s="18">
        <v>0</v>
      </c>
      <c r="U6" s="161"/>
    </row>
    <row r="7" spans="1:25" x14ac:dyDescent="0.3">
      <c r="A7" s="20">
        <v>4</v>
      </c>
      <c r="B7" s="21" t="s">
        <v>17</v>
      </c>
      <c r="C7" s="25">
        <v>116</v>
      </c>
      <c r="D7" s="23"/>
      <c r="E7" s="25">
        <v>350</v>
      </c>
      <c r="F7" s="23"/>
      <c r="G7" s="25">
        <v>1002</v>
      </c>
      <c r="H7" s="23"/>
      <c r="I7" s="25">
        <v>256</v>
      </c>
      <c r="J7" s="23"/>
      <c r="K7" s="25">
        <v>276</v>
      </c>
      <c r="L7" s="23"/>
      <c r="M7" s="25"/>
      <c r="N7" s="25">
        <v>370</v>
      </c>
      <c r="O7" s="23"/>
      <c r="P7" s="25"/>
      <c r="Q7" s="23"/>
      <c r="R7" s="26">
        <v>407</v>
      </c>
      <c r="S7" s="187">
        <v>10091616</v>
      </c>
      <c r="T7" s="27">
        <v>0</v>
      </c>
      <c r="U7" s="152"/>
    </row>
    <row r="8" spans="1:25" ht="25.8" customHeight="1" x14ac:dyDescent="0.3">
      <c r="A8" s="20">
        <v>5</v>
      </c>
      <c r="B8" s="21" t="s">
        <v>18</v>
      </c>
      <c r="C8" s="25">
        <v>500</v>
      </c>
      <c r="D8" s="23"/>
      <c r="E8" s="25">
        <v>332</v>
      </c>
      <c r="F8" s="23"/>
      <c r="G8" s="35"/>
      <c r="H8" s="23"/>
      <c r="I8" s="25"/>
      <c r="J8" s="23"/>
      <c r="K8" s="25"/>
      <c r="L8" s="23"/>
      <c r="M8" s="25"/>
      <c r="N8" s="25">
        <v>503</v>
      </c>
      <c r="O8" s="23"/>
      <c r="P8" s="25"/>
      <c r="Q8" s="23"/>
      <c r="R8" s="26">
        <v>548</v>
      </c>
      <c r="S8" s="187">
        <v>12686601</v>
      </c>
      <c r="T8" s="27">
        <v>734706</v>
      </c>
      <c r="U8" s="128" t="s">
        <v>225</v>
      </c>
    </row>
    <row r="9" spans="1:25" x14ac:dyDescent="0.3">
      <c r="A9" s="29">
        <v>6</v>
      </c>
      <c r="B9" s="21" t="s">
        <v>19</v>
      </c>
      <c r="C9" s="25"/>
      <c r="D9" s="23"/>
      <c r="E9" s="25">
        <v>300</v>
      </c>
      <c r="F9" s="23"/>
      <c r="G9" s="25"/>
      <c r="H9" s="23"/>
      <c r="I9" s="25">
        <v>466</v>
      </c>
      <c r="J9" s="23"/>
      <c r="K9" s="25">
        <v>806</v>
      </c>
      <c r="L9" s="23"/>
      <c r="M9" s="43"/>
      <c r="N9" s="43"/>
      <c r="O9" s="23"/>
      <c r="P9" s="25"/>
      <c r="Q9" s="23"/>
      <c r="R9" s="26">
        <v>346</v>
      </c>
      <c r="S9" s="187">
        <v>7385916</v>
      </c>
      <c r="T9" s="27">
        <v>764106</v>
      </c>
      <c r="U9" s="126"/>
    </row>
    <row r="10" spans="1:25" x14ac:dyDescent="0.3">
      <c r="A10" s="33">
        <v>7</v>
      </c>
      <c r="B10" s="34" t="s">
        <v>20</v>
      </c>
      <c r="C10" s="25"/>
      <c r="D10" s="31"/>
      <c r="E10" s="35"/>
      <c r="F10" s="31"/>
      <c r="G10" s="35"/>
      <c r="H10" s="31"/>
      <c r="I10" s="35"/>
      <c r="J10" s="31"/>
      <c r="K10" s="25"/>
      <c r="L10" s="31"/>
      <c r="M10" s="35"/>
      <c r="N10" s="35"/>
      <c r="O10" s="31"/>
      <c r="P10" s="35"/>
      <c r="Q10" s="31"/>
      <c r="R10" s="36"/>
      <c r="S10" s="188"/>
      <c r="T10" s="37"/>
      <c r="U10" s="127"/>
    </row>
    <row r="11" spans="1:25" x14ac:dyDescent="0.3">
      <c r="A11" s="44">
        <v>8</v>
      </c>
      <c r="B11" s="45" t="s">
        <v>21</v>
      </c>
      <c r="C11" s="22"/>
      <c r="D11" s="31"/>
      <c r="E11" s="22"/>
      <c r="F11" s="31"/>
      <c r="G11" s="22"/>
      <c r="H11" s="31"/>
      <c r="I11" s="22"/>
      <c r="J11" s="31"/>
      <c r="K11" s="25"/>
      <c r="L11" s="31"/>
      <c r="M11" s="25"/>
      <c r="N11" s="25"/>
      <c r="O11" s="31"/>
      <c r="P11" s="25"/>
      <c r="Q11" s="31"/>
      <c r="R11" s="26"/>
      <c r="S11" s="188"/>
      <c r="T11" s="37"/>
      <c r="U11" s="28"/>
    </row>
    <row r="12" spans="1:25" ht="15.6" customHeight="1" thickBot="1" x14ac:dyDescent="0.35">
      <c r="A12" s="485" t="s">
        <v>22</v>
      </c>
      <c r="B12" s="486"/>
      <c r="C12" s="38">
        <f t="shared" ref="C12:S12" si="0">SUM(C5:C11)</f>
        <v>1176</v>
      </c>
      <c r="D12" s="39">
        <f t="shared" si="0"/>
        <v>0</v>
      </c>
      <c r="E12" s="38">
        <f t="shared" si="0"/>
        <v>1590</v>
      </c>
      <c r="F12" s="39">
        <f t="shared" si="0"/>
        <v>0</v>
      </c>
      <c r="G12" s="38">
        <f t="shared" si="0"/>
        <v>1002</v>
      </c>
      <c r="H12" s="39">
        <f t="shared" si="0"/>
        <v>0</v>
      </c>
      <c r="I12" s="38">
        <f t="shared" si="0"/>
        <v>1162</v>
      </c>
      <c r="J12" s="39">
        <f t="shared" si="0"/>
        <v>0</v>
      </c>
      <c r="K12" s="38">
        <f t="shared" si="0"/>
        <v>1863</v>
      </c>
      <c r="L12" s="39">
        <f t="shared" si="0"/>
        <v>0</v>
      </c>
      <c r="M12" s="38">
        <f>SUM(M5:M9)</f>
        <v>0</v>
      </c>
      <c r="N12" s="38">
        <f t="shared" si="0"/>
        <v>1409</v>
      </c>
      <c r="O12" s="39">
        <f t="shared" si="0"/>
        <v>0</v>
      </c>
      <c r="P12" s="38">
        <f t="shared" si="0"/>
        <v>0</v>
      </c>
      <c r="Q12" s="39">
        <f t="shared" si="0"/>
        <v>0</v>
      </c>
      <c r="R12" s="40">
        <f t="shared" si="0"/>
        <v>2552</v>
      </c>
      <c r="S12" s="189">
        <f t="shared" si="0"/>
        <v>35154920</v>
      </c>
      <c r="T12" s="41">
        <f>SUM(T5:T11)</f>
        <v>18636376</v>
      </c>
      <c r="U12" s="46"/>
    </row>
    <row r="13" spans="1:25" x14ac:dyDescent="0.3">
      <c r="A13" s="47">
        <v>9</v>
      </c>
      <c r="B13" s="48" t="s">
        <v>16</v>
      </c>
      <c r="C13" s="52">
        <v>506</v>
      </c>
      <c r="D13" s="51"/>
      <c r="E13" s="52">
        <v>240</v>
      </c>
      <c r="F13" s="51"/>
      <c r="G13" s="52"/>
      <c r="H13" s="51"/>
      <c r="I13" s="52">
        <v>1236</v>
      </c>
      <c r="J13" s="51"/>
      <c r="K13" s="52">
        <v>1034</v>
      </c>
      <c r="L13" s="51"/>
      <c r="M13" s="52"/>
      <c r="N13" s="52">
        <v>881</v>
      </c>
      <c r="O13" s="51"/>
      <c r="P13" s="52"/>
      <c r="Q13" s="51"/>
      <c r="R13" s="86">
        <v>436</v>
      </c>
      <c r="S13" s="190">
        <v>5532547</v>
      </c>
      <c r="T13" s="87">
        <v>3408182</v>
      </c>
      <c r="U13" s="172"/>
      <c r="X13" s="137"/>
    </row>
    <row r="14" spans="1:25" ht="48" x14ac:dyDescent="0.3">
      <c r="A14" s="20">
        <v>10</v>
      </c>
      <c r="B14" s="21" t="s">
        <v>17</v>
      </c>
      <c r="C14" s="25">
        <v>238</v>
      </c>
      <c r="D14" s="23"/>
      <c r="E14" s="25"/>
      <c r="F14" s="23"/>
      <c r="G14" s="25"/>
      <c r="H14" s="23"/>
      <c r="I14" s="25"/>
      <c r="J14" s="23"/>
      <c r="K14" s="25">
        <v>1006</v>
      </c>
      <c r="L14" s="23"/>
      <c r="M14" s="25"/>
      <c r="N14" s="25">
        <v>503</v>
      </c>
      <c r="O14" s="23"/>
      <c r="P14" s="25"/>
      <c r="Q14" s="23"/>
      <c r="R14" s="26">
        <v>587</v>
      </c>
      <c r="S14" s="187">
        <v>11694620</v>
      </c>
      <c r="T14" s="27">
        <v>2186191</v>
      </c>
      <c r="U14" s="128" t="s">
        <v>226</v>
      </c>
    </row>
    <row r="15" spans="1:25" x14ac:dyDescent="0.3">
      <c r="A15" s="20">
        <v>11</v>
      </c>
      <c r="B15" s="21" t="s">
        <v>17</v>
      </c>
      <c r="C15" s="25">
        <v>612</v>
      </c>
      <c r="D15" s="23"/>
      <c r="E15" s="25">
        <v>300</v>
      </c>
      <c r="F15" s="23"/>
      <c r="G15" s="25">
        <v>702</v>
      </c>
      <c r="H15" s="23"/>
      <c r="I15" s="25">
        <v>266</v>
      </c>
      <c r="J15" s="23"/>
      <c r="K15" s="25">
        <v>511</v>
      </c>
      <c r="L15" s="23"/>
      <c r="M15" s="25"/>
      <c r="N15" s="25">
        <v>503</v>
      </c>
      <c r="O15" s="23"/>
      <c r="P15" s="25"/>
      <c r="Q15" s="23"/>
      <c r="R15" s="26">
        <v>447</v>
      </c>
      <c r="S15" s="187">
        <v>11326059</v>
      </c>
      <c r="T15" s="27">
        <v>0</v>
      </c>
      <c r="U15" s="128"/>
    </row>
    <row r="16" spans="1:25" ht="15.6" customHeight="1" x14ac:dyDescent="0.3">
      <c r="A16" s="20">
        <v>12</v>
      </c>
      <c r="B16" s="21" t="s">
        <v>18</v>
      </c>
      <c r="C16" s="25">
        <v>602</v>
      </c>
      <c r="D16" s="23"/>
      <c r="E16" s="25">
        <v>306</v>
      </c>
      <c r="F16" s="23"/>
      <c r="G16" s="25"/>
      <c r="H16" s="23"/>
      <c r="I16" s="25">
        <v>508</v>
      </c>
      <c r="J16" s="23"/>
      <c r="K16" s="25">
        <v>481</v>
      </c>
      <c r="L16" s="23"/>
      <c r="M16" s="25"/>
      <c r="N16" s="25">
        <v>337</v>
      </c>
      <c r="O16" s="23"/>
      <c r="P16" s="25"/>
      <c r="Q16" s="23"/>
      <c r="R16" s="26">
        <v>512</v>
      </c>
      <c r="S16" s="187">
        <v>13046877</v>
      </c>
      <c r="T16" s="27">
        <v>0</v>
      </c>
      <c r="U16" s="54"/>
      <c r="V16" s="55"/>
    </row>
    <row r="17" spans="1:21" x14ac:dyDescent="0.3">
      <c r="A17" s="20">
        <v>13</v>
      </c>
      <c r="B17" s="21" t="s">
        <v>19</v>
      </c>
      <c r="C17" s="25">
        <v>596</v>
      </c>
      <c r="D17" s="23"/>
      <c r="E17" s="25">
        <v>482</v>
      </c>
      <c r="F17" s="23"/>
      <c r="G17" s="25"/>
      <c r="H17" s="23"/>
      <c r="I17" s="25"/>
      <c r="J17" s="23"/>
      <c r="K17" s="25">
        <v>396</v>
      </c>
      <c r="L17" s="23"/>
      <c r="M17" s="25"/>
      <c r="N17" s="25">
        <v>163</v>
      </c>
      <c r="O17" s="23"/>
      <c r="P17" s="25"/>
      <c r="Q17" s="23"/>
      <c r="R17" s="26">
        <v>345</v>
      </c>
      <c r="S17" s="187">
        <v>8596008</v>
      </c>
      <c r="T17" s="27">
        <v>0</v>
      </c>
      <c r="U17" s="126"/>
    </row>
    <row r="18" spans="1:21" ht="15.6" customHeight="1" x14ac:dyDescent="0.3">
      <c r="A18" s="33">
        <v>14</v>
      </c>
      <c r="B18" s="34" t="s">
        <v>20</v>
      </c>
      <c r="C18" s="35"/>
      <c r="D18" s="31"/>
      <c r="E18" s="35"/>
      <c r="F18" s="31"/>
      <c r="G18" s="35"/>
      <c r="H18" s="31"/>
      <c r="I18" s="35"/>
      <c r="J18" s="31"/>
      <c r="K18" s="35"/>
      <c r="L18" s="31"/>
      <c r="M18" s="35"/>
      <c r="N18" s="35"/>
      <c r="O18" s="31"/>
      <c r="P18" s="35"/>
      <c r="Q18" s="31"/>
      <c r="R18" s="36"/>
      <c r="S18" s="188"/>
      <c r="T18" s="37"/>
      <c r="U18" s="32"/>
    </row>
    <row r="19" spans="1:21" ht="15.6" customHeight="1" x14ac:dyDescent="0.3">
      <c r="A19" s="44">
        <v>15</v>
      </c>
      <c r="B19" s="45" t="s">
        <v>21</v>
      </c>
      <c r="C19" s="22"/>
      <c r="D19" s="31"/>
      <c r="E19" s="35"/>
      <c r="F19" s="31"/>
      <c r="G19" s="35"/>
      <c r="H19" s="31"/>
      <c r="I19" s="35"/>
      <c r="J19" s="31"/>
      <c r="K19" s="35"/>
      <c r="L19" s="31"/>
      <c r="M19" s="35"/>
      <c r="N19" s="35"/>
      <c r="O19" s="31"/>
      <c r="P19" s="35"/>
      <c r="Q19" s="31"/>
      <c r="R19" s="36"/>
      <c r="S19" s="188"/>
      <c r="T19" s="37"/>
      <c r="U19" s="32"/>
    </row>
    <row r="20" spans="1:21" ht="15.6" customHeight="1" thickBot="1" x14ac:dyDescent="0.35">
      <c r="A20" s="485" t="s">
        <v>23</v>
      </c>
      <c r="B20" s="486"/>
      <c r="C20" s="38">
        <f>SUM(C13:C19)</f>
        <v>2554</v>
      </c>
      <c r="D20" s="39">
        <f t="shared" ref="D20:R20" si="1">SUM(D13:D19)</f>
        <v>0</v>
      </c>
      <c r="E20" s="38">
        <f t="shared" si="1"/>
        <v>1328</v>
      </c>
      <c r="F20" s="39">
        <f t="shared" si="1"/>
        <v>0</v>
      </c>
      <c r="G20" s="38">
        <f t="shared" si="1"/>
        <v>702</v>
      </c>
      <c r="H20" s="39">
        <f t="shared" si="1"/>
        <v>0</v>
      </c>
      <c r="I20" s="38">
        <f t="shared" si="1"/>
        <v>2010</v>
      </c>
      <c r="J20" s="39">
        <f t="shared" si="1"/>
        <v>0</v>
      </c>
      <c r="K20" s="38">
        <f t="shared" si="1"/>
        <v>3428</v>
      </c>
      <c r="L20" s="39">
        <f t="shared" si="1"/>
        <v>0</v>
      </c>
      <c r="M20" s="38">
        <f>SUM(M13:M17)</f>
        <v>0</v>
      </c>
      <c r="N20" s="38">
        <f t="shared" si="1"/>
        <v>2387</v>
      </c>
      <c r="O20" s="39">
        <f t="shared" si="1"/>
        <v>0</v>
      </c>
      <c r="P20" s="38">
        <f t="shared" si="1"/>
        <v>0</v>
      </c>
      <c r="Q20" s="39">
        <f t="shared" si="1"/>
        <v>0</v>
      </c>
      <c r="R20" s="40">
        <f t="shared" si="1"/>
        <v>2327</v>
      </c>
      <c r="S20" s="189">
        <f>SUM(S13:S19)</f>
        <v>50196111</v>
      </c>
      <c r="T20" s="41">
        <f>SUM(T13:T19)</f>
        <v>5594373</v>
      </c>
      <c r="U20" s="56"/>
    </row>
    <row r="21" spans="1:21" ht="15.6" customHeight="1" x14ac:dyDescent="0.3">
      <c r="A21" s="11">
        <v>16</v>
      </c>
      <c r="B21" s="12" t="s">
        <v>16</v>
      </c>
      <c r="C21" s="15">
        <v>596</v>
      </c>
      <c r="D21" s="16"/>
      <c r="E21" s="15">
        <v>300</v>
      </c>
      <c r="F21" s="16"/>
      <c r="G21" s="15"/>
      <c r="H21" s="16"/>
      <c r="I21" s="15">
        <v>1664</v>
      </c>
      <c r="J21" s="16"/>
      <c r="K21" s="15">
        <v>119</v>
      </c>
      <c r="L21" s="16"/>
      <c r="M21" s="15"/>
      <c r="N21" s="15">
        <v>762</v>
      </c>
      <c r="O21" s="16"/>
      <c r="P21" s="15"/>
      <c r="Q21" s="16"/>
      <c r="R21" s="57">
        <v>337</v>
      </c>
      <c r="S21" s="186">
        <v>8424357</v>
      </c>
      <c r="T21" s="18">
        <v>0</v>
      </c>
      <c r="U21" s="131"/>
    </row>
    <row r="22" spans="1:21" ht="15.6" customHeight="1" x14ac:dyDescent="0.3">
      <c r="A22" s="20">
        <v>17</v>
      </c>
      <c r="B22" s="21" t="s">
        <v>17</v>
      </c>
      <c r="C22" s="25">
        <v>310</v>
      </c>
      <c r="D22" s="23"/>
      <c r="E22" s="25">
        <v>212</v>
      </c>
      <c r="F22" s="23"/>
      <c r="G22" s="25"/>
      <c r="H22" s="23"/>
      <c r="I22" s="25">
        <v>154</v>
      </c>
      <c r="J22" s="23"/>
      <c r="K22" s="25">
        <v>533</v>
      </c>
      <c r="L22" s="23"/>
      <c r="M22" s="25"/>
      <c r="N22" s="25">
        <v>208</v>
      </c>
      <c r="O22" s="23"/>
      <c r="P22" s="25"/>
      <c r="Q22" s="23"/>
      <c r="R22" s="58">
        <v>0</v>
      </c>
      <c r="S22" s="187">
        <v>0</v>
      </c>
      <c r="T22" s="27">
        <v>0</v>
      </c>
      <c r="U22" s="128"/>
    </row>
    <row r="23" spans="1:21" s="137" customFormat="1" ht="15.6" customHeight="1" x14ac:dyDescent="0.3">
      <c r="A23" s="29">
        <v>18</v>
      </c>
      <c r="B23" s="30" t="s">
        <v>17</v>
      </c>
      <c r="C23" s="25">
        <v>702</v>
      </c>
      <c r="D23" s="23"/>
      <c r="E23" s="25">
        <v>250</v>
      </c>
      <c r="F23" s="175"/>
      <c r="G23" s="174"/>
      <c r="H23" s="175"/>
      <c r="I23" s="174"/>
      <c r="J23" s="175"/>
      <c r="K23" s="25">
        <v>740</v>
      </c>
      <c r="L23" s="175"/>
      <c r="M23" s="174"/>
      <c r="N23" s="25">
        <v>98</v>
      </c>
      <c r="O23" s="175"/>
      <c r="P23" s="174"/>
      <c r="Q23" s="175"/>
      <c r="R23" s="174">
        <v>208</v>
      </c>
      <c r="S23" s="186">
        <v>2201140</v>
      </c>
      <c r="T23" s="18">
        <v>2968288</v>
      </c>
      <c r="U23" s="173"/>
    </row>
    <row r="24" spans="1:21" ht="15.6" customHeight="1" x14ac:dyDescent="0.3">
      <c r="A24" s="20">
        <v>19</v>
      </c>
      <c r="B24" s="21" t="s">
        <v>18</v>
      </c>
      <c r="C24" s="25"/>
      <c r="D24" s="23"/>
      <c r="E24" s="25"/>
      <c r="F24" s="23"/>
      <c r="G24" s="25"/>
      <c r="H24" s="23"/>
      <c r="I24" s="25"/>
      <c r="J24" s="23"/>
      <c r="K24" s="25"/>
      <c r="L24" s="23"/>
      <c r="M24" s="25"/>
      <c r="N24" s="25"/>
      <c r="O24" s="23"/>
      <c r="P24" s="25"/>
      <c r="Q24" s="23"/>
      <c r="R24" s="58"/>
      <c r="S24" s="187"/>
      <c r="T24" s="27"/>
      <c r="U24" s="28"/>
    </row>
    <row r="25" spans="1:21" s="137" customFormat="1" ht="15.6" customHeight="1" x14ac:dyDescent="0.3">
      <c r="A25" s="33">
        <v>20</v>
      </c>
      <c r="B25" s="34" t="s">
        <v>19</v>
      </c>
      <c r="C25" s="35" t="s">
        <v>36</v>
      </c>
      <c r="D25" s="31" t="s">
        <v>36</v>
      </c>
      <c r="E25" s="35" t="s">
        <v>36</v>
      </c>
      <c r="F25" s="31" t="s">
        <v>36</v>
      </c>
      <c r="G25" s="35" t="s">
        <v>36</v>
      </c>
      <c r="H25" s="31" t="s">
        <v>36</v>
      </c>
      <c r="I25" s="35" t="s">
        <v>36</v>
      </c>
      <c r="J25" s="31" t="s">
        <v>36</v>
      </c>
      <c r="K25" s="35" t="s">
        <v>36</v>
      </c>
      <c r="L25" s="31" t="s">
        <v>36</v>
      </c>
      <c r="M25" s="35" t="s">
        <v>36</v>
      </c>
      <c r="N25" s="35" t="s">
        <v>36</v>
      </c>
      <c r="O25" s="31" t="s">
        <v>36</v>
      </c>
      <c r="P25" s="35" t="s">
        <v>36</v>
      </c>
      <c r="Q25" s="31" t="s">
        <v>36</v>
      </c>
      <c r="R25" s="59" t="s">
        <v>36</v>
      </c>
      <c r="S25" s="191" t="s">
        <v>36</v>
      </c>
      <c r="T25" s="151" t="s">
        <v>36</v>
      </c>
      <c r="U25" s="180"/>
    </row>
    <row r="26" spans="1:21" ht="15.6" customHeight="1" x14ac:dyDescent="0.3">
      <c r="A26" s="33">
        <v>21</v>
      </c>
      <c r="B26" s="34" t="s">
        <v>20</v>
      </c>
      <c r="C26" s="35"/>
      <c r="D26" s="31"/>
      <c r="E26" s="35"/>
      <c r="F26" s="31"/>
      <c r="G26" s="35"/>
      <c r="H26" s="31"/>
      <c r="I26" s="35"/>
      <c r="J26" s="31"/>
      <c r="K26" s="35"/>
      <c r="L26" s="31"/>
      <c r="M26" s="35"/>
      <c r="N26" s="35"/>
      <c r="O26" s="31"/>
      <c r="P26" s="35"/>
      <c r="Q26" s="31"/>
      <c r="R26" s="59"/>
      <c r="S26" s="188"/>
      <c r="T26" s="37"/>
      <c r="U26" s="128"/>
    </row>
    <row r="27" spans="1:21" ht="15.6" customHeight="1" x14ac:dyDescent="0.3">
      <c r="A27" s="44">
        <v>22</v>
      </c>
      <c r="B27" s="45" t="s">
        <v>21</v>
      </c>
      <c r="C27" s="22"/>
      <c r="D27" s="24"/>
      <c r="E27" s="22"/>
      <c r="F27" s="24"/>
      <c r="G27" s="22"/>
      <c r="H27" s="24"/>
      <c r="I27" s="22"/>
      <c r="J27" s="24"/>
      <c r="K27" s="25"/>
      <c r="L27" s="23"/>
      <c r="M27" s="25"/>
      <c r="N27" s="25"/>
      <c r="O27" s="23"/>
      <c r="P27" s="25"/>
      <c r="Q27" s="23"/>
      <c r="R27" s="58"/>
      <c r="S27" s="187"/>
      <c r="T27" s="27"/>
      <c r="U27" s="32"/>
    </row>
    <row r="28" spans="1:21" ht="15.6" customHeight="1" thickBot="1" x14ac:dyDescent="0.35">
      <c r="A28" s="485" t="s">
        <v>25</v>
      </c>
      <c r="B28" s="486"/>
      <c r="C28" s="38">
        <f>SUM(C21:C27)</f>
        <v>1608</v>
      </c>
      <c r="D28" s="39">
        <f t="shared" ref="D28:R28" si="2">SUM(D21:D27)</f>
        <v>0</v>
      </c>
      <c r="E28" s="38">
        <f t="shared" si="2"/>
        <v>762</v>
      </c>
      <c r="F28" s="39">
        <f t="shared" si="2"/>
        <v>0</v>
      </c>
      <c r="G28" s="38">
        <f t="shared" si="2"/>
        <v>0</v>
      </c>
      <c r="H28" s="39">
        <f t="shared" si="2"/>
        <v>0</v>
      </c>
      <c r="I28" s="38">
        <f t="shared" si="2"/>
        <v>1818</v>
      </c>
      <c r="J28" s="39">
        <f t="shared" si="2"/>
        <v>0</v>
      </c>
      <c r="K28" s="38">
        <f t="shared" si="2"/>
        <v>1392</v>
      </c>
      <c r="L28" s="39">
        <f t="shared" si="2"/>
        <v>0</v>
      </c>
      <c r="M28" s="38">
        <f>SUM(M21:M22,M24:M25)</f>
        <v>0</v>
      </c>
      <c r="N28" s="38">
        <f t="shared" si="2"/>
        <v>1068</v>
      </c>
      <c r="O28" s="39">
        <f t="shared" si="2"/>
        <v>0</v>
      </c>
      <c r="P28" s="38">
        <f t="shared" si="2"/>
        <v>0</v>
      </c>
      <c r="Q28" s="39">
        <f t="shared" si="2"/>
        <v>0</v>
      </c>
      <c r="R28" s="162">
        <f t="shared" si="2"/>
        <v>545</v>
      </c>
      <c r="S28" s="189">
        <f>SUM(S21:S27)</f>
        <v>10625497</v>
      </c>
      <c r="T28" s="41">
        <f>SUM(T21:T24)</f>
        <v>2968288</v>
      </c>
      <c r="U28" s="56"/>
    </row>
    <row r="29" spans="1:21" ht="15.6" customHeight="1" x14ac:dyDescent="0.3">
      <c r="A29" s="11">
        <v>23</v>
      </c>
      <c r="B29" s="12" t="s">
        <v>16</v>
      </c>
      <c r="C29" s="15"/>
      <c r="D29" s="16"/>
      <c r="E29" s="15"/>
      <c r="F29" s="16"/>
      <c r="G29" s="15"/>
      <c r="H29" s="16"/>
      <c r="I29" s="15"/>
      <c r="J29" s="16"/>
      <c r="K29" s="15"/>
      <c r="L29" s="16"/>
      <c r="M29" s="15"/>
      <c r="N29" s="183"/>
      <c r="O29" s="16"/>
      <c r="P29" s="15"/>
      <c r="Q29" s="16"/>
      <c r="R29" s="167"/>
      <c r="S29" s="186"/>
      <c r="T29" s="18"/>
      <c r="U29" s="133"/>
    </row>
    <row r="30" spans="1:21" ht="15.6" customHeight="1" x14ac:dyDescent="0.3">
      <c r="A30" s="20">
        <v>24</v>
      </c>
      <c r="B30" s="21" t="s">
        <v>17</v>
      </c>
      <c r="C30" s="25"/>
      <c r="D30" s="23"/>
      <c r="E30" s="25"/>
      <c r="F30" s="23"/>
      <c r="G30" s="25"/>
      <c r="H30" s="23"/>
      <c r="I30" s="25"/>
      <c r="J30" s="23"/>
      <c r="K30" s="25"/>
      <c r="L30" s="23"/>
      <c r="M30" s="25"/>
      <c r="N30" s="25"/>
      <c r="O30" s="23"/>
      <c r="P30" s="25"/>
      <c r="Q30" s="23"/>
      <c r="R30" s="58"/>
      <c r="S30" s="187"/>
      <c r="T30" s="27"/>
      <c r="U30" s="132"/>
    </row>
    <row r="31" spans="1:21" s="177" customFormat="1" x14ac:dyDescent="0.3">
      <c r="A31" s="29">
        <v>25</v>
      </c>
      <c r="B31" s="30" t="s">
        <v>17</v>
      </c>
      <c r="C31" s="25"/>
      <c r="D31" s="23"/>
      <c r="E31" s="25"/>
      <c r="F31" s="175"/>
      <c r="G31" s="174"/>
      <c r="H31" s="175"/>
      <c r="I31" s="25"/>
      <c r="J31" s="175"/>
      <c r="K31" s="25"/>
      <c r="L31" s="175"/>
      <c r="M31" s="174"/>
      <c r="N31" s="25"/>
      <c r="O31" s="175"/>
      <c r="P31" s="174"/>
      <c r="Q31" s="175"/>
      <c r="R31" s="25"/>
      <c r="S31" s="187"/>
      <c r="T31" s="27"/>
      <c r="U31" s="176"/>
    </row>
    <row r="32" spans="1:21" ht="15.6" customHeight="1" x14ac:dyDescent="0.3">
      <c r="A32" s="20">
        <v>26</v>
      </c>
      <c r="B32" s="21" t="s">
        <v>18</v>
      </c>
      <c r="C32" s="25"/>
      <c r="D32" s="23"/>
      <c r="E32" s="25"/>
      <c r="F32" s="23"/>
      <c r="G32" s="25"/>
      <c r="H32" s="23"/>
      <c r="I32" s="25"/>
      <c r="J32" s="23"/>
      <c r="K32" s="25"/>
      <c r="L32" s="23"/>
      <c r="M32" s="25"/>
      <c r="N32" s="25"/>
      <c r="O32" s="23"/>
      <c r="P32" s="25"/>
      <c r="Q32" s="23"/>
      <c r="R32" s="58"/>
      <c r="S32" s="187"/>
      <c r="T32" s="27"/>
      <c r="U32" s="134"/>
    </row>
    <row r="33" spans="1:21" ht="15.6" customHeight="1" x14ac:dyDescent="0.3">
      <c r="A33" s="20">
        <v>27</v>
      </c>
      <c r="B33" s="21" t="s">
        <v>19</v>
      </c>
      <c r="C33" s="25"/>
      <c r="D33" s="23"/>
      <c r="E33" s="25"/>
      <c r="F33" s="23"/>
      <c r="G33" s="25"/>
      <c r="H33" s="23"/>
      <c r="I33" s="25"/>
      <c r="J33" s="23"/>
      <c r="K33" s="25"/>
      <c r="L33" s="23"/>
      <c r="M33" s="25"/>
      <c r="N33" s="25"/>
      <c r="O33" s="23"/>
      <c r="P33" s="25"/>
      <c r="Q33" s="23"/>
      <c r="R33" s="58"/>
      <c r="S33" s="187"/>
      <c r="T33" s="27"/>
      <c r="U33" s="134"/>
    </row>
    <row r="34" spans="1:21" ht="15.6" customHeight="1" x14ac:dyDescent="0.3">
      <c r="A34" s="33">
        <v>28</v>
      </c>
      <c r="B34" s="34" t="s">
        <v>20</v>
      </c>
      <c r="C34" s="35"/>
      <c r="D34" s="31"/>
      <c r="E34" s="35"/>
      <c r="F34" s="31"/>
      <c r="G34" s="35"/>
      <c r="H34" s="31"/>
      <c r="I34" s="35"/>
      <c r="J34" s="31"/>
      <c r="K34" s="35"/>
      <c r="L34" s="31"/>
      <c r="M34" s="35"/>
      <c r="N34" s="35"/>
      <c r="O34" s="31"/>
      <c r="P34" s="35"/>
      <c r="Q34" s="31"/>
      <c r="R34" s="59"/>
      <c r="S34" s="188"/>
      <c r="T34" s="37"/>
      <c r="U34" s="32"/>
    </row>
    <row r="35" spans="1:21" ht="15.6" customHeight="1" x14ac:dyDescent="0.3">
      <c r="A35" s="44">
        <v>29</v>
      </c>
      <c r="B35" s="45" t="s">
        <v>21</v>
      </c>
      <c r="C35" s="22"/>
      <c r="D35" s="24"/>
      <c r="E35" s="22"/>
      <c r="F35" s="24"/>
      <c r="G35" s="22"/>
      <c r="H35" s="24"/>
      <c r="I35" s="22"/>
      <c r="J35" s="24"/>
      <c r="K35" s="25"/>
      <c r="L35" s="23"/>
      <c r="M35" s="25"/>
      <c r="N35" s="25"/>
      <c r="O35" s="23"/>
      <c r="P35" s="25"/>
      <c r="Q35" s="23"/>
      <c r="R35" s="58"/>
      <c r="S35" s="187"/>
      <c r="T35" s="27"/>
      <c r="U35" s="32"/>
    </row>
    <row r="36" spans="1:21" ht="15.6" customHeight="1" thickBot="1" x14ac:dyDescent="0.35">
      <c r="A36" s="485" t="s">
        <v>26</v>
      </c>
      <c r="B36" s="486"/>
      <c r="C36" s="38">
        <f t="shared" ref="C36:S36" si="3">SUM(C29:C35)</f>
        <v>0</v>
      </c>
      <c r="D36" s="39">
        <f t="shared" si="3"/>
        <v>0</v>
      </c>
      <c r="E36" s="38">
        <f t="shared" si="3"/>
        <v>0</v>
      </c>
      <c r="F36" s="39">
        <f t="shared" si="3"/>
        <v>0</v>
      </c>
      <c r="G36" s="38">
        <f t="shared" si="3"/>
        <v>0</v>
      </c>
      <c r="H36" s="39">
        <f t="shared" si="3"/>
        <v>0</v>
      </c>
      <c r="I36" s="38">
        <f t="shared" si="3"/>
        <v>0</v>
      </c>
      <c r="J36" s="39">
        <f t="shared" si="3"/>
        <v>0</v>
      </c>
      <c r="K36" s="38">
        <f t="shared" si="3"/>
        <v>0</v>
      </c>
      <c r="L36" s="39">
        <f t="shared" si="3"/>
        <v>0</v>
      </c>
      <c r="M36" s="38">
        <f>SUM(M29:M33)</f>
        <v>0</v>
      </c>
      <c r="N36" s="38">
        <f t="shared" si="3"/>
        <v>0</v>
      </c>
      <c r="O36" s="39">
        <f t="shared" si="3"/>
        <v>0</v>
      </c>
      <c r="P36" s="38">
        <f t="shared" si="3"/>
        <v>0</v>
      </c>
      <c r="Q36" s="39">
        <f t="shared" si="3"/>
        <v>0</v>
      </c>
      <c r="R36" s="162">
        <f t="shared" si="3"/>
        <v>0</v>
      </c>
      <c r="S36" s="189">
        <f t="shared" si="3"/>
        <v>0</v>
      </c>
      <c r="T36" s="41"/>
      <c r="U36" s="64"/>
    </row>
    <row r="37" spans="1:21" ht="15.6" customHeight="1" x14ac:dyDescent="0.3">
      <c r="A37" s="11">
        <v>30</v>
      </c>
      <c r="B37" s="12" t="s">
        <v>16</v>
      </c>
      <c r="C37" s="15"/>
      <c r="D37" s="16"/>
      <c r="E37" s="15"/>
      <c r="F37" s="16"/>
      <c r="G37" s="15"/>
      <c r="H37" s="16"/>
      <c r="I37" s="15"/>
      <c r="J37" s="16"/>
      <c r="K37" s="15"/>
      <c r="L37" s="16"/>
      <c r="M37" s="15"/>
      <c r="N37" s="183"/>
      <c r="O37" s="16"/>
      <c r="P37" s="15"/>
      <c r="Q37" s="16"/>
      <c r="R37" s="167"/>
      <c r="S37" s="186"/>
      <c r="T37" s="18"/>
      <c r="U37" s="133"/>
    </row>
    <row r="38" spans="1:21" ht="15.6" customHeight="1" thickBot="1" x14ac:dyDescent="0.35">
      <c r="A38" s="485" t="s">
        <v>27</v>
      </c>
      <c r="B38" s="486"/>
      <c r="C38" s="38">
        <f t="shared" ref="C38:S38" si="4">SUM(C37)</f>
        <v>0</v>
      </c>
      <c r="D38" s="39">
        <f t="shared" si="4"/>
        <v>0</v>
      </c>
      <c r="E38" s="38">
        <f t="shared" si="4"/>
        <v>0</v>
      </c>
      <c r="F38" s="39">
        <f t="shared" si="4"/>
        <v>0</v>
      </c>
      <c r="G38" s="38">
        <f t="shared" si="4"/>
        <v>0</v>
      </c>
      <c r="H38" s="39">
        <f t="shared" si="4"/>
        <v>0</v>
      </c>
      <c r="I38" s="38">
        <f t="shared" si="4"/>
        <v>0</v>
      </c>
      <c r="J38" s="39">
        <f t="shared" si="4"/>
        <v>0</v>
      </c>
      <c r="K38" s="38">
        <f t="shared" si="4"/>
        <v>0</v>
      </c>
      <c r="L38" s="39">
        <f t="shared" si="4"/>
        <v>0</v>
      </c>
      <c r="M38" s="38">
        <f t="shared" si="4"/>
        <v>0</v>
      </c>
      <c r="N38" s="38">
        <f t="shared" si="4"/>
        <v>0</v>
      </c>
      <c r="O38" s="39">
        <f t="shared" si="4"/>
        <v>0</v>
      </c>
      <c r="P38" s="38">
        <f t="shared" si="4"/>
        <v>0</v>
      </c>
      <c r="Q38" s="39">
        <f t="shared" si="4"/>
        <v>0</v>
      </c>
      <c r="R38" s="162">
        <f t="shared" si="4"/>
        <v>0</v>
      </c>
      <c r="S38" s="189">
        <f t="shared" si="4"/>
        <v>0</v>
      </c>
      <c r="T38" s="41"/>
      <c r="U38" s="64"/>
    </row>
    <row r="39" spans="1:21" ht="19.95" customHeight="1" x14ac:dyDescent="0.3">
      <c r="A39" s="455" t="s">
        <v>28</v>
      </c>
      <c r="B39" s="487"/>
      <c r="C39" s="65">
        <f t="shared" ref="C39:L39" si="5">C12+C20+C28+C36+C38</f>
        <v>5338</v>
      </c>
      <c r="D39" s="66">
        <f t="shared" si="5"/>
        <v>0</v>
      </c>
      <c r="E39" s="65">
        <f t="shared" si="5"/>
        <v>3680</v>
      </c>
      <c r="F39" s="66">
        <f t="shared" si="5"/>
        <v>0</v>
      </c>
      <c r="G39" s="65">
        <f t="shared" si="5"/>
        <v>1704</v>
      </c>
      <c r="H39" s="66">
        <f t="shared" si="5"/>
        <v>0</v>
      </c>
      <c r="I39" s="65">
        <f t="shared" si="5"/>
        <v>4990</v>
      </c>
      <c r="J39" s="66">
        <f t="shared" si="5"/>
        <v>0</v>
      </c>
      <c r="K39" s="65">
        <f t="shared" si="5"/>
        <v>6683</v>
      </c>
      <c r="L39" s="66">
        <f t="shared" si="5"/>
        <v>0</v>
      </c>
      <c r="M39" s="65">
        <f>SUM(,M12,M20,M28,M36,M38)</f>
        <v>0</v>
      </c>
      <c r="N39" s="65">
        <f>+N12+N20+N28+N36+N38</f>
        <v>4864</v>
      </c>
      <c r="O39" s="66">
        <f>O12+O20+O28+O36+O38</f>
        <v>0</v>
      </c>
      <c r="P39" s="65">
        <f>P12+P20+P28+P36+P38</f>
        <v>0</v>
      </c>
      <c r="Q39" s="66">
        <f>Q12+Q20+Q28+Q36+Q38</f>
        <v>0</v>
      </c>
      <c r="R39" s="67">
        <f>R12+R20+R28+R36+R38</f>
        <v>5424</v>
      </c>
      <c r="S39" s="192">
        <f>S12+S20+S28+S36+S38</f>
        <v>95976528</v>
      </c>
      <c r="T39" s="68">
        <f>SUM(T12+T20+T28)</f>
        <v>27199037</v>
      </c>
      <c r="U39" s="69" t="s">
        <v>29</v>
      </c>
    </row>
    <row r="40" spans="1:21" ht="18" customHeight="1" x14ac:dyDescent="0.3">
      <c r="A40" s="457" t="s">
        <v>30</v>
      </c>
      <c r="B40" s="488"/>
      <c r="C40" s="70">
        <v>10000</v>
      </c>
      <c r="D40" s="71"/>
      <c r="E40" s="70">
        <v>7000</v>
      </c>
      <c r="F40" s="71"/>
      <c r="G40" s="70">
        <v>5000</v>
      </c>
      <c r="H40" s="71"/>
      <c r="I40" s="70">
        <v>10000</v>
      </c>
      <c r="J40" s="71"/>
      <c r="K40" s="70">
        <v>10000</v>
      </c>
      <c r="L40" s="71"/>
      <c r="M40" s="70"/>
      <c r="N40" s="70">
        <v>10000</v>
      </c>
      <c r="O40" s="71"/>
      <c r="P40" s="70"/>
      <c r="Q40" s="71">
        <v>0</v>
      </c>
      <c r="R40" s="70">
        <v>10000</v>
      </c>
      <c r="S40" s="193">
        <v>260000000</v>
      </c>
      <c r="T40" s="72"/>
      <c r="U40" s="130">
        <v>2</v>
      </c>
    </row>
    <row r="41" spans="1:21" ht="15.6" customHeight="1" thickBot="1" x14ac:dyDescent="0.35">
      <c r="A41" s="459" t="s">
        <v>31</v>
      </c>
      <c r="B41" s="489"/>
      <c r="C41" s="74">
        <f>C39-C40</f>
        <v>-4662</v>
      </c>
      <c r="D41" s="75"/>
      <c r="E41" s="74">
        <f>E39-E40</f>
        <v>-3320</v>
      </c>
      <c r="F41" s="75"/>
      <c r="G41" s="74">
        <f>G39-G40</f>
        <v>-3296</v>
      </c>
      <c r="H41" s="75"/>
      <c r="I41" s="74">
        <f>I39-I40</f>
        <v>-5010</v>
      </c>
      <c r="J41" s="75"/>
      <c r="K41" s="74">
        <f>K39-K40</f>
        <v>-3317</v>
      </c>
      <c r="L41" s="75"/>
      <c r="M41" s="74"/>
      <c r="N41" s="74">
        <f>N39-N40</f>
        <v>-5136</v>
      </c>
      <c r="O41" s="75"/>
      <c r="P41" s="74"/>
      <c r="Q41" s="75">
        <f>Q39-Q40</f>
        <v>0</v>
      </c>
      <c r="R41" s="76">
        <f>R39-R40</f>
        <v>-4576</v>
      </c>
      <c r="S41" s="194">
        <f>S39-S40</f>
        <v>-164023472</v>
      </c>
      <c r="T41" s="77"/>
      <c r="U41" s="78" t="s">
        <v>32</v>
      </c>
    </row>
    <row r="42" spans="1:21" ht="15" thickBot="1" x14ac:dyDescent="0.35">
      <c r="A42" s="477" t="s">
        <v>211</v>
      </c>
      <c r="B42" s="478"/>
      <c r="C42" s="156">
        <f>ROUND(C41/T1,0)</f>
        <v>-666</v>
      </c>
      <c r="D42" s="157">
        <f>ROUND(D41/T1,0)</f>
        <v>0</v>
      </c>
      <c r="E42" s="156">
        <f>ROUND((E41/T1),0)</f>
        <v>-474</v>
      </c>
      <c r="F42" s="157"/>
      <c r="G42" s="156">
        <f>ROUND(G41/T1,0)</f>
        <v>-471</v>
      </c>
      <c r="H42" s="157"/>
      <c r="I42" s="156">
        <f>ROUND(I41/T1,0)</f>
        <v>-716</v>
      </c>
      <c r="J42" s="157"/>
      <c r="K42" s="156">
        <f>ROUND(K41/T1,0)</f>
        <v>-474</v>
      </c>
      <c r="L42" s="157"/>
      <c r="M42" s="156"/>
      <c r="N42" s="156">
        <f>ROUND(N41/T1,0)</f>
        <v>-734</v>
      </c>
      <c r="O42" s="157"/>
      <c r="P42" s="156"/>
      <c r="Q42" s="157"/>
      <c r="R42" s="158">
        <f>ROUND(R41/T1,0)</f>
        <v>-654</v>
      </c>
      <c r="S42" s="195">
        <f>S41/T1</f>
        <v>-23431924.571428571</v>
      </c>
      <c r="T42" s="82"/>
      <c r="U42" s="83" t="s">
        <v>34</v>
      </c>
    </row>
    <row r="45" spans="1:21" x14ac:dyDescent="0.3">
      <c r="S45" s="168"/>
      <c r="T45" s="168"/>
    </row>
  </sheetData>
  <mergeCells count="25">
    <mergeCell ref="A3:B3"/>
    <mergeCell ref="A4:B4"/>
    <mergeCell ref="A12:B12"/>
    <mergeCell ref="A42:B42"/>
    <mergeCell ref="A38:B38"/>
    <mergeCell ref="A20:B20"/>
    <mergeCell ref="A28:B28"/>
    <mergeCell ref="A36:B36"/>
    <mergeCell ref="A39:B39"/>
    <mergeCell ref="A40:B40"/>
    <mergeCell ref="A41:B41"/>
    <mergeCell ref="N2:O2"/>
    <mergeCell ref="P2:Q2"/>
    <mergeCell ref="R2:T2"/>
    <mergeCell ref="N1:S1"/>
    <mergeCell ref="U2:U4"/>
    <mergeCell ref="S3:S4"/>
    <mergeCell ref="T3:T4"/>
    <mergeCell ref="A1:L1"/>
    <mergeCell ref="A2:B2"/>
    <mergeCell ref="C2:D2"/>
    <mergeCell ref="E2:F2"/>
    <mergeCell ref="G2:H2"/>
    <mergeCell ref="I2:J2"/>
    <mergeCell ref="K2:L2"/>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8DA20-12A6-4B0A-A33A-9A19E33658CE}">
  <sheetPr>
    <pageSetUpPr fitToPage="1"/>
  </sheetPr>
  <dimension ref="A1:AD53"/>
  <sheetViews>
    <sheetView showGridLines="0" zoomScale="90" zoomScaleNormal="90" workbookViewId="0">
      <pane xSplit="2" ySplit="4" topLeftCell="C19" activePane="bottomRight" state="frozen"/>
      <selection pane="topRight" activeCell="C1" sqref="C1"/>
      <selection pane="bottomLeft" activeCell="A5" sqref="A5"/>
      <selection pane="bottomRight" activeCell="U43" sqref="A1:U43"/>
    </sheetView>
  </sheetViews>
  <sheetFormatPr baseColWidth="10" defaultRowHeight="14.4" x14ac:dyDescent="0.3"/>
  <cols>
    <col min="1" max="1" width="4" customWidth="1"/>
    <col min="2" max="2" width="11.88671875" customWidth="1"/>
    <col min="3" max="3" width="7.5546875" customWidth="1"/>
    <col min="4" max="4" width="7.88671875" bestFit="1" customWidth="1"/>
    <col min="5" max="12" width="7.5546875" customWidth="1"/>
    <col min="13" max="13" width="9.88671875" bestFit="1" customWidth="1"/>
    <col min="14" max="17" width="7.5546875" customWidth="1"/>
    <col min="18" max="18" width="7.6640625" bestFit="1" customWidth="1"/>
    <col min="19" max="19" width="11.77734375" customWidth="1"/>
    <col min="20" max="20" width="6.33203125" customWidth="1"/>
    <col min="21" max="21" width="12.109375" customWidth="1"/>
    <col min="22" max="22" width="37.33203125" hidden="1" customWidth="1"/>
    <col min="23" max="23" width="6.5546875" customWidth="1"/>
    <col min="24" max="25" width="11.5546875" style="168"/>
    <col min="26" max="26" width="13.5546875" style="168" customWidth="1"/>
    <col min="27" max="27" width="11.5546875" style="168"/>
    <col min="29" max="30" width="11.5546875" style="168"/>
  </cols>
  <sheetData>
    <row r="1" spans="1:27" ht="34.200000000000003" customHeight="1" thickBot="1" x14ac:dyDescent="0.35">
      <c r="A1" s="461" t="s">
        <v>229</v>
      </c>
      <c r="B1" s="461"/>
      <c r="C1" s="461"/>
      <c r="D1" s="461"/>
      <c r="E1" s="461"/>
      <c r="F1" s="461"/>
      <c r="G1" s="461"/>
      <c r="H1" s="461"/>
      <c r="I1" s="461"/>
      <c r="J1" s="461"/>
      <c r="K1" s="461"/>
      <c r="L1" s="461"/>
      <c r="M1" s="169"/>
      <c r="N1" s="473" t="s">
        <v>230</v>
      </c>
      <c r="O1" s="474"/>
      <c r="P1" s="474"/>
      <c r="Q1" s="474"/>
      <c r="R1" s="474"/>
      <c r="S1" s="474"/>
      <c r="T1" s="218"/>
      <c r="U1" s="185">
        <v>0</v>
      </c>
      <c r="V1" s="2"/>
    </row>
    <row r="2" spans="1:27" ht="14.4" customHeight="1" x14ac:dyDescent="0.3">
      <c r="A2" s="476" t="s">
        <v>1</v>
      </c>
      <c r="B2" s="467"/>
      <c r="C2" s="466" t="s">
        <v>2</v>
      </c>
      <c r="D2" s="467"/>
      <c r="E2" s="466" t="s">
        <v>3</v>
      </c>
      <c r="F2" s="467"/>
      <c r="G2" s="466" t="s">
        <v>4</v>
      </c>
      <c r="H2" s="467"/>
      <c r="I2" s="466" t="s">
        <v>5</v>
      </c>
      <c r="J2" s="467"/>
      <c r="K2" s="466" t="s">
        <v>6</v>
      </c>
      <c r="L2" s="467"/>
      <c r="M2" s="171" t="s">
        <v>219</v>
      </c>
      <c r="N2" s="466" t="s">
        <v>7</v>
      </c>
      <c r="O2" s="467"/>
      <c r="P2" s="466" t="s">
        <v>8</v>
      </c>
      <c r="Q2" s="467"/>
      <c r="R2" s="466" t="s">
        <v>251</v>
      </c>
      <c r="S2" s="490"/>
      <c r="T2" s="490"/>
      <c r="U2" s="468"/>
      <c r="V2" s="443" t="s">
        <v>10</v>
      </c>
    </row>
    <row r="3" spans="1:27" ht="15" customHeight="1" thickBot="1" x14ac:dyDescent="0.35">
      <c r="A3" s="481" t="s">
        <v>11</v>
      </c>
      <c r="B3" s="482"/>
      <c r="C3" s="3" t="s">
        <v>13</v>
      </c>
      <c r="D3" s="4" t="s">
        <v>12</v>
      </c>
      <c r="E3" s="3" t="s">
        <v>13</v>
      </c>
      <c r="F3" s="4" t="s">
        <v>12</v>
      </c>
      <c r="G3" s="3" t="s">
        <v>13</v>
      </c>
      <c r="H3" s="4" t="s">
        <v>12</v>
      </c>
      <c r="I3" s="3" t="s">
        <v>13</v>
      </c>
      <c r="J3" s="4" t="s">
        <v>12</v>
      </c>
      <c r="K3" s="3" t="s">
        <v>13</v>
      </c>
      <c r="L3" s="4" t="s">
        <v>12</v>
      </c>
      <c r="M3" s="170" t="s">
        <v>220</v>
      </c>
      <c r="N3" s="3" t="s">
        <v>13</v>
      </c>
      <c r="O3" s="4" t="s">
        <v>12</v>
      </c>
      <c r="P3" s="3" t="s">
        <v>13</v>
      </c>
      <c r="Q3" s="4" t="s">
        <v>12</v>
      </c>
      <c r="R3" s="5" t="s">
        <v>252</v>
      </c>
      <c r="S3" s="491" t="s">
        <v>227</v>
      </c>
      <c r="T3" s="5" t="s">
        <v>253</v>
      </c>
      <c r="U3" s="493" t="s">
        <v>228</v>
      </c>
      <c r="V3" s="444"/>
    </row>
    <row r="4" spans="1:27" ht="14.4" customHeight="1" x14ac:dyDescent="0.3">
      <c r="A4" s="483" t="s">
        <v>242</v>
      </c>
      <c r="B4" s="484"/>
      <c r="C4" s="7">
        <v>600</v>
      </c>
      <c r="D4" s="8">
        <v>0</v>
      </c>
      <c r="E4" s="9">
        <v>400</v>
      </c>
      <c r="F4" s="8">
        <v>0</v>
      </c>
      <c r="G4" s="9">
        <v>250</v>
      </c>
      <c r="H4" s="8">
        <v>0</v>
      </c>
      <c r="I4" s="9">
        <v>600</v>
      </c>
      <c r="J4" s="8">
        <v>0</v>
      </c>
      <c r="K4" s="9">
        <v>600</v>
      </c>
      <c r="L4" s="8">
        <v>0</v>
      </c>
      <c r="M4" s="9">
        <v>20</v>
      </c>
      <c r="N4" s="9">
        <v>600</v>
      </c>
      <c r="O4" s="8">
        <v>0</v>
      </c>
      <c r="P4" s="9">
        <v>0</v>
      </c>
      <c r="Q4" s="8">
        <v>0</v>
      </c>
      <c r="R4" s="7">
        <v>600</v>
      </c>
      <c r="S4" s="492"/>
      <c r="T4" s="7">
        <v>0</v>
      </c>
      <c r="U4" s="494"/>
      <c r="V4" s="469"/>
      <c r="X4" s="496" t="s">
        <v>232</v>
      </c>
      <c r="Y4" s="496"/>
      <c r="Z4" s="495" t="s">
        <v>231</v>
      </c>
      <c r="AA4" s="495"/>
    </row>
    <row r="5" spans="1:27" x14ac:dyDescent="0.3">
      <c r="A5" s="11">
        <v>1</v>
      </c>
      <c r="B5" s="21" t="s">
        <v>17</v>
      </c>
      <c r="C5" s="204">
        <v>208</v>
      </c>
      <c r="D5" s="16"/>
      <c r="E5" s="200">
        <v>300</v>
      </c>
      <c r="F5" s="16">
        <v>5</v>
      </c>
      <c r="G5" s="15">
        <v>0</v>
      </c>
      <c r="H5" s="16"/>
      <c r="I5" s="15">
        <v>0</v>
      </c>
      <c r="J5" s="16"/>
      <c r="K5" s="15">
        <v>0</v>
      </c>
      <c r="L5" s="16"/>
      <c r="M5" s="204">
        <v>0</v>
      </c>
      <c r="N5" s="206">
        <v>757</v>
      </c>
      <c r="O5" s="16"/>
      <c r="P5" s="15"/>
      <c r="Q5" s="16"/>
      <c r="R5" s="227">
        <v>9</v>
      </c>
      <c r="S5" s="186">
        <f>Y5</f>
        <v>218663</v>
      </c>
      <c r="T5" s="231">
        <v>768</v>
      </c>
      <c r="U5" s="18">
        <f t="shared" ref="U5:U10" si="0">AA5</f>
        <v>11889790</v>
      </c>
      <c r="V5" s="161"/>
      <c r="X5" s="168">
        <v>260209</v>
      </c>
      <c r="Y5" s="168">
        <f>ROUND(X5/1.19,0)</f>
        <v>218663</v>
      </c>
      <c r="Z5" s="168">
        <v>14148850</v>
      </c>
      <c r="AA5" s="168">
        <f>ROUND(Z5/1.19,0)</f>
        <v>11889790</v>
      </c>
    </row>
    <row r="6" spans="1:27" x14ac:dyDescent="0.3">
      <c r="A6" s="20">
        <v>2</v>
      </c>
      <c r="B6" s="21" t="s">
        <v>17</v>
      </c>
      <c r="C6" s="199">
        <v>698</v>
      </c>
      <c r="D6" s="23"/>
      <c r="E6" s="200">
        <v>250</v>
      </c>
      <c r="F6" s="23">
        <v>8</v>
      </c>
      <c r="G6" s="25">
        <v>0</v>
      </c>
      <c r="H6" s="23"/>
      <c r="I6" s="199">
        <v>666</v>
      </c>
      <c r="J6" s="23"/>
      <c r="K6" s="25">
        <v>0</v>
      </c>
      <c r="L6" s="23"/>
      <c r="M6" s="200">
        <v>0</v>
      </c>
      <c r="N6" s="200">
        <v>164</v>
      </c>
      <c r="O6" s="23"/>
      <c r="P6" s="25"/>
      <c r="Q6" s="23"/>
      <c r="R6" s="228">
        <v>382</v>
      </c>
      <c r="S6" s="186">
        <f t="shared" ref="S6:S10" si="1">Y6</f>
        <v>9805593</v>
      </c>
      <c r="T6" s="229">
        <v>1</v>
      </c>
      <c r="U6" s="18">
        <f t="shared" si="0"/>
        <v>16194</v>
      </c>
      <c r="V6" s="152"/>
      <c r="X6" s="168">
        <v>11668656</v>
      </c>
      <c r="Y6" s="168">
        <f>ROUND(X6/1.19,0)</f>
        <v>9805593</v>
      </c>
      <c r="Z6" s="168">
        <v>19271</v>
      </c>
      <c r="AA6" s="168">
        <f>ROUND(Z6/1.19,0)</f>
        <v>16194</v>
      </c>
    </row>
    <row r="7" spans="1:27" x14ac:dyDescent="0.3">
      <c r="A7" s="20">
        <v>3</v>
      </c>
      <c r="B7" s="21" t="s">
        <v>18</v>
      </c>
      <c r="C7" s="174">
        <v>0</v>
      </c>
      <c r="D7" s="23">
        <v>1</v>
      </c>
      <c r="E7" s="200">
        <v>100</v>
      </c>
      <c r="F7" s="23">
        <v>1</v>
      </c>
      <c r="G7" s="35">
        <v>0</v>
      </c>
      <c r="H7" s="23"/>
      <c r="I7" s="174">
        <v>0</v>
      </c>
      <c r="J7" s="23"/>
      <c r="K7" s="200">
        <v>425</v>
      </c>
      <c r="L7" s="23"/>
      <c r="M7" s="200">
        <v>0</v>
      </c>
      <c r="N7" s="174">
        <v>0</v>
      </c>
      <c r="O7" s="23"/>
      <c r="P7" s="25"/>
      <c r="Q7" s="23"/>
      <c r="R7" s="229">
        <v>0</v>
      </c>
      <c r="S7" s="186">
        <f t="shared" si="1"/>
        <v>0</v>
      </c>
      <c r="T7" s="229">
        <v>0</v>
      </c>
      <c r="U7" s="18">
        <f t="shared" si="0"/>
        <v>0</v>
      </c>
      <c r="V7" s="154" t="s">
        <v>241</v>
      </c>
      <c r="Y7" s="168">
        <f t="shared" ref="Y7:Y40" si="2">ROUND(X7/1.19,0)</f>
        <v>0</v>
      </c>
      <c r="AA7" s="168">
        <f t="shared" ref="AA7:AA40" si="3">ROUND(Z7/1.19,0)</f>
        <v>0</v>
      </c>
    </row>
    <row r="8" spans="1:27" x14ac:dyDescent="0.3">
      <c r="A8" s="29">
        <v>4</v>
      </c>
      <c r="B8" s="21" t="s">
        <v>19</v>
      </c>
      <c r="C8" s="200">
        <v>0</v>
      </c>
      <c r="D8" s="23">
        <v>6</v>
      </c>
      <c r="E8" s="200">
        <v>248</v>
      </c>
      <c r="F8" s="23"/>
      <c r="G8" s="25">
        <v>0</v>
      </c>
      <c r="H8" s="23"/>
      <c r="I8" s="199">
        <v>720</v>
      </c>
      <c r="J8" s="23"/>
      <c r="K8" s="200">
        <v>315</v>
      </c>
      <c r="L8" s="23"/>
      <c r="M8" s="205">
        <v>0</v>
      </c>
      <c r="N8" s="205">
        <v>212</v>
      </c>
      <c r="O8" s="23"/>
      <c r="P8" s="25"/>
      <c r="Q8" s="23"/>
      <c r="R8" s="228">
        <v>110</v>
      </c>
      <c r="S8" s="186">
        <f t="shared" si="1"/>
        <v>2747168</v>
      </c>
      <c r="T8" s="229"/>
      <c r="U8" s="18">
        <f t="shared" si="0"/>
        <v>0</v>
      </c>
      <c r="V8" s="126"/>
      <c r="X8" s="168">
        <v>3269130</v>
      </c>
      <c r="Y8" s="168">
        <f t="shared" si="2"/>
        <v>2747168</v>
      </c>
      <c r="Z8" s="168">
        <v>0</v>
      </c>
      <c r="AA8" s="168">
        <f t="shared" si="3"/>
        <v>0</v>
      </c>
    </row>
    <row r="9" spans="1:27" x14ac:dyDescent="0.3">
      <c r="A9" s="33">
        <v>5</v>
      </c>
      <c r="B9" s="34" t="s">
        <v>20</v>
      </c>
      <c r="C9" s="25"/>
      <c r="D9" s="31"/>
      <c r="E9" s="35"/>
      <c r="F9" s="31"/>
      <c r="G9" s="35"/>
      <c r="H9" s="31"/>
      <c r="I9" s="35"/>
      <c r="J9" s="31"/>
      <c r="K9" s="25"/>
      <c r="L9" s="31"/>
      <c r="M9" s="35"/>
      <c r="N9" s="35"/>
      <c r="O9" s="31"/>
      <c r="P9" s="35"/>
      <c r="Q9" s="31"/>
      <c r="R9" s="36"/>
      <c r="S9" s="186">
        <f t="shared" si="1"/>
        <v>0</v>
      </c>
      <c r="T9" s="36"/>
      <c r="U9" s="18">
        <f t="shared" si="0"/>
        <v>0</v>
      </c>
      <c r="V9" s="127"/>
      <c r="Y9" s="168">
        <f t="shared" si="2"/>
        <v>0</v>
      </c>
      <c r="AA9" s="168">
        <f t="shared" si="3"/>
        <v>0</v>
      </c>
    </row>
    <row r="10" spans="1:27" x14ac:dyDescent="0.3">
      <c r="A10" s="44">
        <v>6</v>
      </c>
      <c r="B10" s="45" t="s">
        <v>21</v>
      </c>
      <c r="C10" s="22"/>
      <c r="D10" s="31"/>
      <c r="E10" s="22"/>
      <c r="F10" s="31"/>
      <c r="G10" s="22"/>
      <c r="H10" s="31"/>
      <c r="I10" s="22"/>
      <c r="J10" s="31"/>
      <c r="K10" s="25"/>
      <c r="L10" s="31"/>
      <c r="M10" s="174"/>
      <c r="N10" s="174"/>
      <c r="O10" s="31"/>
      <c r="P10" s="25"/>
      <c r="Q10" s="31"/>
      <c r="R10" s="229"/>
      <c r="S10" s="186">
        <f t="shared" si="1"/>
        <v>0</v>
      </c>
      <c r="T10" s="229"/>
      <c r="U10" s="18">
        <f t="shared" si="0"/>
        <v>0</v>
      </c>
      <c r="V10" s="28"/>
      <c r="Y10" s="168">
        <f t="shared" si="2"/>
        <v>0</v>
      </c>
      <c r="AA10" s="168">
        <f t="shared" si="3"/>
        <v>0</v>
      </c>
    </row>
    <row r="11" spans="1:27" ht="15.6" customHeight="1" thickBot="1" x14ac:dyDescent="0.35">
      <c r="A11" s="485" t="s">
        <v>233</v>
      </c>
      <c r="B11" s="486"/>
      <c r="C11" s="38">
        <f t="shared" ref="C11:L11" si="4">SUM(C5:C10)</f>
        <v>906</v>
      </c>
      <c r="D11" s="39">
        <f t="shared" si="4"/>
        <v>7</v>
      </c>
      <c r="E11" s="38">
        <f t="shared" si="4"/>
        <v>898</v>
      </c>
      <c r="F11" s="39">
        <f t="shared" si="4"/>
        <v>14</v>
      </c>
      <c r="G11" s="38">
        <f t="shared" si="4"/>
        <v>0</v>
      </c>
      <c r="H11" s="39">
        <f t="shared" si="4"/>
        <v>0</v>
      </c>
      <c r="I11" s="38">
        <f t="shared" si="4"/>
        <v>1386</v>
      </c>
      <c r="J11" s="39">
        <f t="shared" si="4"/>
        <v>0</v>
      </c>
      <c r="K11" s="38">
        <f t="shared" si="4"/>
        <v>740</v>
      </c>
      <c r="L11" s="39">
        <f t="shared" si="4"/>
        <v>0</v>
      </c>
      <c r="M11" s="38">
        <f>SUM(M5:M8)</f>
        <v>0</v>
      </c>
      <c r="N11" s="38">
        <f t="shared" ref="N11:U11" si="5">SUM(N5:N10)</f>
        <v>1133</v>
      </c>
      <c r="O11" s="39">
        <f t="shared" si="5"/>
        <v>0</v>
      </c>
      <c r="P11" s="38">
        <f t="shared" si="5"/>
        <v>0</v>
      </c>
      <c r="Q11" s="39">
        <f t="shared" si="5"/>
        <v>0</v>
      </c>
      <c r="R11" s="40">
        <f t="shared" si="5"/>
        <v>501</v>
      </c>
      <c r="S11" s="189">
        <f t="shared" si="5"/>
        <v>12771424</v>
      </c>
      <c r="T11" s="162">
        <f>SUM(T5:T10)</f>
        <v>769</v>
      </c>
      <c r="U11" s="41">
        <f t="shared" si="5"/>
        <v>11905984</v>
      </c>
      <c r="V11" s="46"/>
      <c r="Y11" s="168">
        <f t="shared" si="2"/>
        <v>0</v>
      </c>
      <c r="AA11" s="168">
        <f t="shared" si="3"/>
        <v>0</v>
      </c>
    </row>
    <row r="12" spans="1:27" x14ac:dyDescent="0.3">
      <c r="A12" s="47">
        <v>7</v>
      </c>
      <c r="B12" s="48" t="s">
        <v>16</v>
      </c>
      <c r="C12" s="203">
        <v>488</v>
      </c>
      <c r="D12" s="51"/>
      <c r="E12" s="200">
        <v>208</v>
      </c>
      <c r="F12" s="51"/>
      <c r="G12" s="52">
        <v>0</v>
      </c>
      <c r="H12" s="51"/>
      <c r="I12" s="202">
        <v>496</v>
      </c>
      <c r="J12" s="51"/>
      <c r="K12" s="203">
        <v>169</v>
      </c>
      <c r="L12" s="51"/>
      <c r="M12" s="203">
        <v>0</v>
      </c>
      <c r="N12" s="203">
        <v>418</v>
      </c>
      <c r="O12" s="51"/>
      <c r="P12" s="52"/>
      <c r="Q12" s="51"/>
      <c r="R12" s="230">
        <v>120</v>
      </c>
      <c r="S12" s="190">
        <f>Y12</f>
        <v>3099817</v>
      </c>
      <c r="T12" s="232"/>
      <c r="U12" s="87">
        <f>AA12</f>
        <v>0</v>
      </c>
      <c r="V12" s="172"/>
      <c r="X12" s="168">
        <v>3688782</v>
      </c>
      <c r="Y12" s="168">
        <f t="shared" si="2"/>
        <v>3099817</v>
      </c>
      <c r="AA12" s="168">
        <f t="shared" si="3"/>
        <v>0</v>
      </c>
    </row>
    <row r="13" spans="1:27" x14ac:dyDescent="0.3">
      <c r="A13" s="20">
        <v>8</v>
      </c>
      <c r="B13" s="21" t="s">
        <v>17</v>
      </c>
      <c r="C13" s="201">
        <v>0</v>
      </c>
      <c r="D13" s="23"/>
      <c r="E13" s="200">
        <v>243</v>
      </c>
      <c r="F13" s="23"/>
      <c r="G13" s="25">
        <v>0</v>
      </c>
      <c r="H13" s="23"/>
      <c r="I13" s="201">
        <v>0</v>
      </c>
      <c r="J13" s="23"/>
      <c r="K13" s="201">
        <v>0</v>
      </c>
      <c r="L13" s="23"/>
      <c r="M13" s="200">
        <v>0</v>
      </c>
      <c r="N13" s="174">
        <v>0</v>
      </c>
      <c r="O13" s="23"/>
      <c r="P13" s="25"/>
      <c r="Q13" s="23"/>
      <c r="R13" s="228">
        <v>435</v>
      </c>
      <c r="S13" s="187">
        <f t="shared" ref="S13:S18" si="6">Y13</f>
        <v>10957938</v>
      </c>
      <c r="T13" s="229"/>
      <c r="U13" s="27">
        <f t="shared" ref="U13:U18" si="7">AA13</f>
        <v>0</v>
      </c>
      <c r="V13" s="128"/>
      <c r="X13" s="168">
        <v>13039946</v>
      </c>
      <c r="Y13" s="168">
        <f t="shared" si="2"/>
        <v>10957938</v>
      </c>
      <c r="AA13" s="168">
        <f t="shared" si="3"/>
        <v>0</v>
      </c>
    </row>
    <row r="14" spans="1:27" x14ac:dyDescent="0.3">
      <c r="A14" s="20">
        <v>9</v>
      </c>
      <c r="B14" s="21" t="s">
        <v>17</v>
      </c>
      <c r="C14" s="201">
        <v>0</v>
      </c>
      <c r="D14" s="23">
        <v>1</v>
      </c>
      <c r="E14" s="200">
        <v>200</v>
      </c>
      <c r="F14" s="175">
        <v>5</v>
      </c>
      <c r="G14" s="199">
        <v>602</v>
      </c>
      <c r="H14" s="23"/>
      <c r="I14" s="201">
        <v>0</v>
      </c>
      <c r="J14" s="23"/>
      <c r="K14" s="201">
        <v>0</v>
      </c>
      <c r="L14" s="23"/>
      <c r="M14" s="199">
        <v>307</v>
      </c>
      <c r="N14" s="200">
        <v>314</v>
      </c>
      <c r="O14" s="23"/>
      <c r="P14" s="25"/>
      <c r="Q14" s="23"/>
      <c r="R14" s="228">
        <v>145</v>
      </c>
      <c r="S14" s="187">
        <f t="shared" si="6"/>
        <v>3441641</v>
      </c>
      <c r="T14" s="229"/>
      <c r="U14" s="27">
        <f t="shared" si="7"/>
        <v>0</v>
      </c>
      <c r="V14" s="128"/>
      <c r="X14" s="168">
        <v>4095553</v>
      </c>
      <c r="Y14" s="168">
        <f t="shared" si="2"/>
        <v>3441641</v>
      </c>
      <c r="AA14" s="168">
        <f t="shared" si="3"/>
        <v>0</v>
      </c>
    </row>
    <row r="15" spans="1:27" ht="15.6" customHeight="1" x14ac:dyDescent="0.3">
      <c r="A15" s="20">
        <v>10</v>
      </c>
      <c r="B15" s="21" t="s">
        <v>18</v>
      </c>
      <c r="C15" s="201">
        <v>0</v>
      </c>
      <c r="D15" s="23"/>
      <c r="E15" s="200">
        <v>358</v>
      </c>
      <c r="F15" s="175">
        <v>5</v>
      </c>
      <c r="G15" s="25">
        <v>0</v>
      </c>
      <c r="H15" s="23"/>
      <c r="I15" s="201">
        <v>0</v>
      </c>
      <c r="J15" s="23"/>
      <c r="K15" s="201">
        <v>0</v>
      </c>
      <c r="L15" s="23"/>
      <c r="M15" s="200">
        <v>0</v>
      </c>
      <c r="N15" s="200">
        <v>68</v>
      </c>
      <c r="O15" s="23"/>
      <c r="P15" s="25"/>
      <c r="Q15" s="23"/>
      <c r="R15" s="228">
        <f>728-T15</f>
        <v>264</v>
      </c>
      <c r="S15" s="187">
        <f t="shared" si="6"/>
        <v>6641446</v>
      </c>
      <c r="T15" s="229">
        <v>464</v>
      </c>
      <c r="U15" s="27">
        <f t="shared" si="7"/>
        <v>7306955</v>
      </c>
      <c r="V15" s="54"/>
      <c r="W15" s="55"/>
      <c r="X15" s="168">
        <v>7903321</v>
      </c>
      <c r="Y15" s="168">
        <f t="shared" si="2"/>
        <v>6641446</v>
      </c>
      <c r="Z15" s="168">
        <v>8695277</v>
      </c>
      <c r="AA15" s="168">
        <f t="shared" si="3"/>
        <v>7306955</v>
      </c>
    </row>
    <row r="16" spans="1:27" x14ac:dyDescent="0.3">
      <c r="A16" s="20">
        <v>11</v>
      </c>
      <c r="B16" s="21" t="s">
        <v>19</v>
      </c>
      <c r="C16" s="200">
        <v>304</v>
      </c>
      <c r="D16" s="23">
        <v>1</v>
      </c>
      <c r="E16" s="200">
        <v>340</v>
      </c>
      <c r="F16" s="175">
        <v>5</v>
      </c>
      <c r="G16" s="199">
        <v>304</v>
      </c>
      <c r="H16" s="23"/>
      <c r="I16" s="199">
        <v>1406</v>
      </c>
      <c r="J16" s="23"/>
      <c r="K16" s="200">
        <v>255</v>
      </c>
      <c r="L16" s="23"/>
      <c r="M16" s="200">
        <v>0</v>
      </c>
      <c r="N16" s="200">
        <v>169</v>
      </c>
      <c r="O16" s="23"/>
      <c r="P16" s="25"/>
      <c r="Q16" s="23"/>
      <c r="R16" s="228">
        <v>116</v>
      </c>
      <c r="S16" s="187">
        <f t="shared" si="6"/>
        <v>4518226</v>
      </c>
      <c r="T16" s="229"/>
      <c r="U16" s="27">
        <f t="shared" si="7"/>
        <v>0</v>
      </c>
      <c r="V16" s="126"/>
      <c r="X16" s="168">
        <v>5376689</v>
      </c>
      <c r="Y16" s="168">
        <f t="shared" si="2"/>
        <v>4518226</v>
      </c>
      <c r="Z16" s="168">
        <v>0</v>
      </c>
      <c r="AA16" s="168">
        <f t="shared" si="3"/>
        <v>0</v>
      </c>
    </row>
    <row r="17" spans="1:30" ht="15.6" customHeight="1" x14ac:dyDescent="0.3">
      <c r="A17" s="33">
        <v>12</v>
      </c>
      <c r="B17" s="34" t="s">
        <v>20</v>
      </c>
      <c r="C17" s="238">
        <v>692</v>
      </c>
      <c r="D17" s="31"/>
      <c r="E17" s="35"/>
      <c r="F17" s="31"/>
      <c r="G17" s="35"/>
      <c r="H17" s="31"/>
      <c r="I17" s="35"/>
      <c r="J17" s="31"/>
      <c r="K17" s="35"/>
      <c r="L17" s="31"/>
      <c r="M17" s="35"/>
      <c r="N17" s="35"/>
      <c r="O17" s="31"/>
      <c r="P17" s="35"/>
      <c r="Q17" s="31"/>
      <c r="R17" s="36"/>
      <c r="S17" s="187">
        <f t="shared" si="6"/>
        <v>0</v>
      </c>
      <c r="T17" s="36"/>
      <c r="U17" s="37">
        <f t="shared" si="7"/>
        <v>0</v>
      </c>
      <c r="V17" s="32"/>
      <c r="Y17" s="168">
        <f t="shared" si="2"/>
        <v>0</v>
      </c>
      <c r="AA17" s="168">
        <f t="shared" si="3"/>
        <v>0</v>
      </c>
    </row>
    <row r="18" spans="1:30" ht="15.6" customHeight="1" x14ac:dyDescent="0.3">
      <c r="A18" s="44">
        <v>13</v>
      </c>
      <c r="B18" s="45" t="s">
        <v>21</v>
      </c>
      <c r="C18" s="22"/>
      <c r="D18" s="31"/>
      <c r="E18" s="35"/>
      <c r="F18" s="31"/>
      <c r="G18" s="35"/>
      <c r="H18" s="31"/>
      <c r="I18" s="35"/>
      <c r="J18" s="31"/>
      <c r="K18" s="35"/>
      <c r="L18" s="31"/>
      <c r="M18" s="35"/>
      <c r="N18" s="35"/>
      <c r="O18" s="31"/>
      <c r="P18" s="35"/>
      <c r="Q18" s="31"/>
      <c r="R18" s="36"/>
      <c r="S18" s="187">
        <f t="shared" si="6"/>
        <v>0</v>
      </c>
      <c r="T18" s="36"/>
      <c r="U18" s="37">
        <f t="shared" si="7"/>
        <v>0</v>
      </c>
      <c r="V18" s="32"/>
      <c r="Y18" s="168">
        <f t="shared" si="2"/>
        <v>0</v>
      </c>
      <c r="AA18" s="168">
        <f t="shared" si="3"/>
        <v>0</v>
      </c>
    </row>
    <row r="19" spans="1:30" ht="15.6" customHeight="1" thickBot="1" x14ac:dyDescent="0.35">
      <c r="A19" s="485" t="s">
        <v>236</v>
      </c>
      <c r="B19" s="486"/>
      <c r="C19" s="38">
        <f>SUM(C12:C18)</f>
        <v>1484</v>
      </c>
      <c r="D19" s="39">
        <f t="shared" ref="D19:R19" si="8">SUM(D12:D18)</f>
        <v>2</v>
      </c>
      <c r="E19" s="38">
        <f t="shared" si="8"/>
        <v>1349</v>
      </c>
      <c r="F19" s="39">
        <f t="shared" si="8"/>
        <v>15</v>
      </c>
      <c r="G19" s="38">
        <f t="shared" si="8"/>
        <v>906</v>
      </c>
      <c r="H19" s="39">
        <f t="shared" si="8"/>
        <v>0</v>
      </c>
      <c r="I19" s="38">
        <f t="shared" si="8"/>
        <v>1902</v>
      </c>
      <c r="J19" s="39">
        <f t="shared" si="8"/>
        <v>0</v>
      </c>
      <c r="K19" s="38">
        <f t="shared" si="8"/>
        <v>424</v>
      </c>
      <c r="L19" s="39">
        <f t="shared" si="8"/>
        <v>0</v>
      </c>
      <c r="M19" s="38">
        <f>SUM(M12:M16)</f>
        <v>307</v>
      </c>
      <c r="N19" s="38">
        <f t="shared" si="8"/>
        <v>969</v>
      </c>
      <c r="O19" s="39">
        <f t="shared" si="8"/>
        <v>0</v>
      </c>
      <c r="P19" s="38">
        <f t="shared" si="8"/>
        <v>0</v>
      </c>
      <c r="Q19" s="39">
        <f t="shared" si="8"/>
        <v>0</v>
      </c>
      <c r="R19" s="40">
        <f t="shared" si="8"/>
        <v>1080</v>
      </c>
      <c r="S19" s="189">
        <f>SUM(S12:S18)</f>
        <v>28659068</v>
      </c>
      <c r="T19" s="162">
        <f>SUM(T12:T18)</f>
        <v>464</v>
      </c>
      <c r="U19" s="41">
        <f>SUM(U12:U18)</f>
        <v>7306955</v>
      </c>
      <c r="V19" s="56"/>
      <c r="Y19" s="168">
        <f t="shared" si="2"/>
        <v>0</v>
      </c>
      <c r="AA19" s="168">
        <f t="shared" si="3"/>
        <v>0</v>
      </c>
    </row>
    <row r="20" spans="1:30" ht="15.6" customHeight="1" x14ac:dyDescent="0.3">
      <c r="A20" s="11">
        <v>14</v>
      </c>
      <c r="B20" s="12" t="s">
        <v>16</v>
      </c>
      <c r="C20" s="206">
        <v>300</v>
      </c>
      <c r="D20" s="16"/>
      <c r="E20" s="204">
        <v>150</v>
      </c>
      <c r="F20" s="213">
        <v>1</v>
      </c>
      <c r="G20" s="15">
        <v>0</v>
      </c>
      <c r="H20" s="16"/>
      <c r="I20" s="212">
        <v>0</v>
      </c>
      <c r="J20" s="16"/>
      <c r="K20" s="200">
        <v>380</v>
      </c>
      <c r="L20" s="16"/>
      <c r="M20" s="200">
        <v>0</v>
      </c>
      <c r="N20" s="204">
        <v>225</v>
      </c>
      <c r="O20" s="16"/>
      <c r="P20" s="15"/>
      <c r="Q20" s="16"/>
      <c r="R20" s="214">
        <v>242</v>
      </c>
      <c r="S20" s="186">
        <f t="shared" ref="S20:S21" si="9">Y20</f>
        <v>6150737</v>
      </c>
      <c r="T20" s="226"/>
      <c r="U20" s="18">
        <f t="shared" ref="U20:U21" si="10">AA20</f>
        <v>0</v>
      </c>
      <c r="V20" s="131"/>
      <c r="X20" s="168">
        <f>7319377</f>
        <v>7319377</v>
      </c>
      <c r="Y20" s="168">
        <f t="shared" si="2"/>
        <v>6150737</v>
      </c>
      <c r="Z20" s="168">
        <v>0</v>
      </c>
      <c r="AA20" s="168">
        <f t="shared" si="3"/>
        <v>0</v>
      </c>
    </row>
    <row r="21" spans="1:30" ht="15.6" customHeight="1" x14ac:dyDescent="0.3">
      <c r="A21" s="20">
        <v>15</v>
      </c>
      <c r="B21" s="21" t="s">
        <v>17</v>
      </c>
      <c r="C21" s="200">
        <v>479</v>
      </c>
      <c r="D21" s="23"/>
      <c r="E21" s="200">
        <v>154</v>
      </c>
      <c r="F21" s="23"/>
      <c r="G21" s="25">
        <v>0</v>
      </c>
      <c r="H21" s="23"/>
      <c r="I21" s="201">
        <v>0</v>
      </c>
      <c r="J21" s="23"/>
      <c r="K21" s="200">
        <v>208</v>
      </c>
      <c r="L21" s="23"/>
      <c r="M21" s="200">
        <v>0</v>
      </c>
      <c r="N21" s="200">
        <v>0</v>
      </c>
      <c r="O21" s="23"/>
      <c r="P21" s="25"/>
      <c r="Q21" s="23"/>
      <c r="R21" s="215">
        <v>81</v>
      </c>
      <c r="S21" s="187">
        <f t="shared" si="9"/>
        <v>1149540</v>
      </c>
      <c r="T21" s="216"/>
      <c r="U21" s="27">
        <f t="shared" si="10"/>
        <v>884153</v>
      </c>
      <c r="V21" s="128"/>
      <c r="X21" s="168">
        <f>773191+594762</f>
        <v>1367953</v>
      </c>
      <c r="Y21" s="168">
        <f t="shared" si="2"/>
        <v>1149540</v>
      </c>
      <c r="Z21" s="168">
        <v>1052142</v>
      </c>
      <c r="AA21" s="168">
        <f t="shared" si="3"/>
        <v>884153</v>
      </c>
    </row>
    <row r="22" spans="1:30" s="137" customFormat="1" ht="15.6" customHeight="1" x14ac:dyDescent="0.3">
      <c r="A22" s="196">
        <v>16</v>
      </c>
      <c r="B22" s="197" t="s">
        <v>17</v>
      </c>
      <c r="C22" s="35" t="s">
        <v>36</v>
      </c>
      <c r="D22" s="31" t="s">
        <v>36</v>
      </c>
      <c r="E22" s="35" t="s">
        <v>36</v>
      </c>
      <c r="F22" s="31" t="s">
        <v>36</v>
      </c>
      <c r="G22" s="35" t="s">
        <v>36</v>
      </c>
      <c r="H22" s="31" t="s">
        <v>36</v>
      </c>
      <c r="I22" s="35" t="s">
        <v>36</v>
      </c>
      <c r="J22" s="31" t="s">
        <v>36</v>
      </c>
      <c r="K22" s="35" t="s">
        <v>36</v>
      </c>
      <c r="L22" s="31" t="s">
        <v>36</v>
      </c>
      <c r="M22" s="35" t="s">
        <v>36</v>
      </c>
      <c r="N22" s="35" t="s">
        <v>36</v>
      </c>
      <c r="O22" s="31" t="s">
        <v>36</v>
      </c>
      <c r="P22" s="35" t="s">
        <v>36</v>
      </c>
      <c r="Q22" s="31" t="s">
        <v>36</v>
      </c>
      <c r="R22" s="59" t="s">
        <v>36</v>
      </c>
      <c r="S22" s="191" t="s">
        <v>36</v>
      </c>
      <c r="T22" s="59"/>
      <c r="U22" s="151" t="s">
        <v>36</v>
      </c>
      <c r="V22" s="173"/>
      <c r="X22" s="184"/>
      <c r="Y22" s="168">
        <f t="shared" si="2"/>
        <v>0</v>
      </c>
      <c r="Z22" s="184"/>
      <c r="AA22" s="168">
        <f t="shared" si="3"/>
        <v>0</v>
      </c>
      <c r="AC22" s="184"/>
      <c r="AD22" s="184"/>
    </row>
    <row r="23" spans="1:30" ht="15.6" customHeight="1" x14ac:dyDescent="0.3">
      <c r="A23" s="20">
        <v>17</v>
      </c>
      <c r="B23" s="21" t="s">
        <v>18</v>
      </c>
      <c r="C23" s="199">
        <v>600</v>
      </c>
      <c r="D23" s="23"/>
      <c r="E23" s="200">
        <v>350</v>
      </c>
      <c r="F23" s="23"/>
      <c r="G23" s="200">
        <v>0</v>
      </c>
      <c r="H23" s="23"/>
      <c r="I23" s="200">
        <v>0</v>
      </c>
      <c r="J23" s="23"/>
      <c r="K23" s="200">
        <v>281</v>
      </c>
      <c r="L23" s="23"/>
      <c r="M23" s="200">
        <v>0</v>
      </c>
      <c r="N23" s="200">
        <v>0</v>
      </c>
      <c r="O23" s="23"/>
      <c r="P23" s="25"/>
      <c r="Q23" s="23"/>
      <c r="R23" s="215">
        <v>149</v>
      </c>
      <c r="S23" s="187">
        <f t="shared" ref="S23:S26" si="11">Y23</f>
        <v>3358690</v>
      </c>
      <c r="T23" s="216"/>
      <c r="U23" s="27">
        <f t="shared" ref="U23:U26" si="12">AA23</f>
        <v>0</v>
      </c>
      <c r="V23" s="28"/>
      <c r="X23" s="168">
        <v>3996841</v>
      </c>
      <c r="Y23" s="168">
        <f t="shared" si="2"/>
        <v>3358690</v>
      </c>
      <c r="AA23" s="168">
        <f t="shared" si="3"/>
        <v>0</v>
      </c>
    </row>
    <row r="24" spans="1:30" s="137" customFormat="1" ht="15.6" customHeight="1" x14ac:dyDescent="0.3">
      <c r="A24" s="29">
        <v>18</v>
      </c>
      <c r="B24" s="30" t="s">
        <v>19</v>
      </c>
      <c r="C24" s="217">
        <v>594</v>
      </c>
      <c r="D24" s="175"/>
      <c r="E24" s="200">
        <v>342</v>
      </c>
      <c r="F24" s="175"/>
      <c r="G24" s="200">
        <v>0</v>
      </c>
      <c r="H24" s="175"/>
      <c r="I24" s="200">
        <v>0</v>
      </c>
      <c r="J24" s="175"/>
      <c r="K24" s="200">
        <v>110</v>
      </c>
      <c r="L24" s="175"/>
      <c r="M24" s="200">
        <v>0</v>
      </c>
      <c r="N24" s="217">
        <v>505</v>
      </c>
      <c r="O24" s="175"/>
      <c r="P24" s="174"/>
      <c r="Q24" s="175"/>
      <c r="R24" s="215">
        <v>151</v>
      </c>
      <c r="S24" s="187">
        <f t="shared" si="11"/>
        <v>1574371</v>
      </c>
      <c r="T24" s="216"/>
      <c r="U24" s="27">
        <f t="shared" si="12"/>
        <v>2366120</v>
      </c>
      <c r="V24" s="180"/>
      <c r="X24" s="198">
        <v>1873501</v>
      </c>
      <c r="Y24" s="168">
        <f t="shared" si="2"/>
        <v>1574371</v>
      </c>
      <c r="Z24" s="198">
        <v>2815683</v>
      </c>
      <c r="AA24" s="168">
        <f t="shared" si="3"/>
        <v>2366120</v>
      </c>
      <c r="AC24" s="184"/>
      <c r="AD24" s="184"/>
    </row>
    <row r="25" spans="1:30" ht="15.6" customHeight="1" x14ac:dyDescent="0.3">
      <c r="A25" s="33">
        <v>19</v>
      </c>
      <c r="B25" s="34" t="s">
        <v>20</v>
      </c>
      <c r="C25" s="35"/>
      <c r="D25" s="31"/>
      <c r="E25" s="35"/>
      <c r="F25" s="31"/>
      <c r="G25" s="35"/>
      <c r="H25" s="31"/>
      <c r="I25" s="35"/>
      <c r="J25" s="31"/>
      <c r="K25" s="35"/>
      <c r="L25" s="31"/>
      <c r="M25" s="35"/>
      <c r="N25" s="35"/>
      <c r="O25" s="31"/>
      <c r="P25" s="35"/>
      <c r="Q25" s="31"/>
      <c r="R25" s="59"/>
      <c r="S25" s="188">
        <f t="shared" si="11"/>
        <v>0</v>
      </c>
      <c r="T25" s="59"/>
      <c r="U25" s="37">
        <f t="shared" si="12"/>
        <v>0</v>
      </c>
      <c r="V25" s="128"/>
      <c r="Y25" s="168">
        <f t="shared" si="2"/>
        <v>0</v>
      </c>
      <c r="AA25" s="168">
        <f t="shared" si="3"/>
        <v>0</v>
      </c>
    </row>
    <row r="26" spans="1:30" ht="15.6" customHeight="1" x14ac:dyDescent="0.3">
      <c r="A26" s="44">
        <v>20</v>
      </c>
      <c r="B26" s="45" t="s">
        <v>21</v>
      </c>
      <c r="C26" s="22"/>
      <c r="D26" s="24"/>
      <c r="E26" s="22"/>
      <c r="F26" s="24"/>
      <c r="G26" s="22"/>
      <c r="H26" s="24"/>
      <c r="I26" s="22"/>
      <c r="J26" s="24"/>
      <c r="K26" s="25"/>
      <c r="L26" s="23"/>
      <c r="M26" s="25"/>
      <c r="N26" s="25"/>
      <c r="O26" s="23"/>
      <c r="P26" s="25"/>
      <c r="Q26" s="23"/>
      <c r="R26" s="216"/>
      <c r="S26" s="187">
        <f t="shared" si="11"/>
        <v>0</v>
      </c>
      <c r="T26" s="216"/>
      <c r="U26" s="27">
        <f t="shared" si="12"/>
        <v>0</v>
      </c>
      <c r="V26" s="32"/>
      <c r="Y26" s="168">
        <f t="shared" si="2"/>
        <v>0</v>
      </c>
      <c r="AA26" s="168">
        <f t="shared" si="3"/>
        <v>0</v>
      </c>
    </row>
    <row r="27" spans="1:30" ht="15.6" customHeight="1" thickBot="1" x14ac:dyDescent="0.35">
      <c r="A27" s="485" t="s">
        <v>235</v>
      </c>
      <c r="B27" s="486"/>
      <c r="C27" s="38">
        <f>SUM(C20:C26)</f>
        <v>1973</v>
      </c>
      <c r="D27" s="39">
        <f t="shared" ref="D27:R27" si="13">SUM(D20:D26)</f>
        <v>0</v>
      </c>
      <c r="E27" s="38">
        <f t="shared" si="13"/>
        <v>996</v>
      </c>
      <c r="F27" s="39">
        <f t="shared" si="13"/>
        <v>1</v>
      </c>
      <c r="G27" s="38">
        <f t="shared" si="13"/>
        <v>0</v>
      </c>
      <c r="H27" s="39">
        <f t="shared" si="13"/>
        <v>0</v>
      </c>
      <c r="I27" s="38">
        <f t="shared" si="13"/>
        <v>0</v>
      </c>
      <c r="J27" s="39">
        <f t="shared" si="13"/>
        <v>0</v>
      </c>
      <c r="K27" s="38">
        <f t="shared" si="13"/>
        <v>979</v>
      </c>
      <c r="L27" s="39">
        <f t="shared" si="13"/>
        <v>0</v>
      </c>
      <c r="M27" s="38">
        <f>SUM(M20:M21,M23:M24)</f>
        <v>0</v>
      </c>
      <c r="N27" s="38">
        <f t="shared" si="13"/>
        <v>730</v>
      </c>
      <c r="O27" s="39">
        <f t="shared" si="13"/>
        <v>0</v>
      </c>
      <c r="P27" s="38">
        <f t="shared" si="13"/>
        <v>0</v>
      </c>
      <c r="Q27" s="39">
        <f t="shared" si="13"/>
        <v>0</v>
      </c>
      <c r="R27" s="162">
        <f t="shared" si="13"/>
        <v>623</v>
      </c>
      <c r="S27" s="189">
        <f>SUM(S20:S26)</f>
        <v>12233338</v>
      </c>
      <c r="T27" s="162">
        <f>SUM(T20:T26)</f>
        <v>0</v>
      </c>
      <c r="U27" s="41">
        <f>SUM(U20:U23)</f>
        <v>884153</v>
      </c>
      <c r="V27" s="56"/>
      <c r="Y27" s="168">
        <f t="shared" si="2"/>
        <v>0</v>
      </c>
      <c r="AA27" s="168">
        <f t="shared" si="3"/>
        <v>0</v>
      </c>
    </row>
    <row r="28" spans="1:30" ht="15.6" customHeight="1" x14ac:dyDescent="0.3">
      <c r="A28" s="11">
        <v>21</v>
      </c>
      <c r="B28" s="12" t="s">
        <v>16</v>
      </c>
      <c r="C28" s="224">
        <v>506</v>
      </c>
      <c r="D28" s="213"/>
      <c r="E28" s="204">
        <v>200</v>
      </c>
      <c r="F28" s="213"/>
      <c r="G28" s="204">
        <v>0</v>
      </c>
      <c r="H28" s="213"/>
      <c r="I28" s="206">
        <v>698</v>
      </c>
      <c r="J28" s="213"/>
      <c r="K28" s="204">
        <v>482</v>
      </c>
      <c r="L28" s="213"/>
      <c r="M28" s="200">
        <v>0</v>
      </c>
      <c r="N28" s="219">
        <v>455</v>
      </c>
      <c r="O28" s="213"/>
      <c r="P28" s="181"/>
      <c r="Q28" s="213"/>
      <c r="R28" s="225">
        <v>396</v>
      </c>
      <c r="S28" s="186">
        <f t="shared" ref="S28:S34" si="14">Y28</f>
        <v>9951867</v>
      </c>
      <c r="T28" s="233"/>
      <c r="U28" s="18">
        <f t="shared" ref="U28:U34" si="15">AA28</f>
        <v>0</v>
      </c>
      <c r="V28" s="133"/>
      <c r="X28" s="168">
        <v>11842722</v>
      </c>
      <c r="Y28" s="168">
        <f t="shared" si="2"/>
        <v>9951867</v>
      </c>
      <c r="AA28" s="168">
        <f t="shared" si="3"/>
        <v>0</v>
      </c>
    </row>
    <row r="29" spans="1:30" ht="15.6" customHeight="1" x14ac:dyDescent="0.3">
      <c r="A29" s="20">
        <v>22</v>
      </c>
      <c r="B29" s="21" t="s">
        <v>17</v>
      </c>
      <c r="C29" s="199">
        <v>692</v>
      </c>
      <c r="D29" s="175"/>
      <c r="E29" s="200">
        <v>279</v>
      </c>
      <c r="F29" s="175"/>
      <c r="G29" s="200">
        <v>0</v>
      </c>
      <c r="H29" s="175"/>
      <c r="I29" s="200">
        <v>0</v>
      </c>
      <c r="J29" s="175"/>
      <c r="K29" s="224">
        <v>525</v>
      </c>
      <c r="L29" s="175"/>
      <c r="M29" s="200">
        <v>0</v>
      </c>
      <c r="N29" s="200">
        <v>306</v>
      </c>
      <c r="O29" s="175"/>
      <c r="P29" s="174"/>
      <c r="Q29" s="175"/>
      <c r="R29" s="200">
        <v>282</v>
      </c>
      <c r="S29" s="187">
        <f t="shared" si="14"/>
        <v>7281180</v>
      </c>
      <c r="T29" s="174"/>
      <c r="U29" s="27">
        <f t="shared" si="15"/>
        <v>0</v>
      </c>
      <c r="V29" s="132"/>
      <c r="X29" s="168">
        <v>8664604</v>
      </c>
      <c r="Y29" s="168">
        <f t="shared" si="2"/>
        <v>7281180</v>
      </c>
      <c r="AA29" s="168">
        <f t="shared" si="3"/>
        <v>0</v>
      </c>
    </row>
    <row r="30" spans="1:30" s="177" customFormat="1" x14ac:dyDescent="0.3">
      <c r="A30" s="29">
        <v>23</v>
      </c>
      <c r="B30" s="30" t="s">
        <v>17</v>
      </c>
      <c r="C30" s="199">
        <v>692</v>
      </c>
      <c r="D30" s="175"/>
      <c r="E30" s="200">
        <v>300</v>
      </c>
      <c r="F30" s="175"/>
      <c r="G30" s="200">
        <v>0</v>
      </c>
      <c r="H30" s="175"/>
      <c r="I30" s="200">
        <v>0</v>
      </c>
      <c r="J30" s="175"/>
      <c r="K30" s="199">
        <v>600</v>
      </c>
      <c r="L30" s="175"/>
      <c r="M30" s="200">
        <v>0</v>
      </c>
      <c r="N30" s="217">
        <v>500</v>
      </c>
      <c r="O30" s="175"/>
      <c r="P30" s="174"/>
      <c r="Q30" s="175"/>
      <c r="R30" s="200">
        <v>426</v>
      </c>
      <c r="S30" s="187">
        <f t="shared" si="14"/>
        <v>9723367</v>
      </c>
      <c r="T30" s="174"/>
      <c r="U30" s="27">
        <f t="shared" si="15"/>
        <v>0</v>
      </c>
      <c r="V30" s="176"/>
      <c r="X30" s="198">
        <v>11570807</v>
      </c>
      <c r="Y30" s="168">
        <f t="shared" si="2"/>
        <v>9723367</v>
      </c>
      <c r="Z30" s="198"/>
      <c r="AA30" s="168">
        <f t="shared" si="3"/>
        <v>0</v>
      </c>
      <c r="AC30" s="198"/>
      <c r="AD30" s="198"/>
    </row>
    <row r="31" spans="1:30" ht="15.6" customHeight="1" x14ac:dyDescent="0.3">
      <c r="A31" s="20">
        <v>24</v>
      </c>
      <c r="B31" s="21" t="s">
        <v>18</v>
      </c>
      <c r="C31" s="200">
        <v>0</v>
      </c>
      <c r="D31" s="23"/>
      <c r="E31" s="200">
        <v>294</v>
      </c>
      <c r="F31" s="175"/>
      <c r="G31" s="200">
        <v>0</v>
      </c>
      <c r="H31" s="23"/>
      <c r="I31" s="200">
        <v>0</v>
      </c>
      <c r="J31" s="23"/>
      <c r="K31" s="200">
        <v>300</v>
      </c>
      <c r="L31" s="23"/>
      <c r="M31" s="200">
        <v>0</v>
      </c>
      <c r="N31" s="200">
        <f>183+19</f>
        <v>202</v>
      </c>
      <c r="O31" s="23"/>
      <c r="P31" s="25"/>
      <c r="Q31" s="23"/>
      <c r="R31" s="215">
        <v>0</v>
      </c>
      <c r="S31" s="187">
        <f t="shared" si="14"/>
        <v>0</v>
      </c>
      <c r="T31" s="216">
        <v>1</v>
      </c>
      <c r="U31" s="27">
        <f t="shared" si="15"/>
        <v>15594</v>
      </c>
      <c r="V31" s="134"/>
      <c r="Y31" s="168">
        <f t="shared" si="2"/>
        <v>0</v>
      </c>
      <c r="Z31" s="168">
        <v>18557</v>
      </c>
      <c r="AA31" s="168">
        <f t="shared" si="3"/>
        <v>15594</v>
      </c>
    </row>
    <row r="32" spans="1:30" ht="15.6" customHeight="1" x14ac:dyDescent="0.3">
      <c r="A32" s="20">
        <v>25</v>
      </c>
      <c r="B32" s="21" t="s">
        <v>19</v>
      </c>
      <c r="C32" s="199">
        <v>692</v>
      </c>
      <c r="D32" s="23"/>
      <c r="E32" s="200">
        <v>200</v>
      </c>
      <c r="F32" s="175">
        <v>2</v>
      </c>
      <c r="G32" s="199">
        <v>1009</v>
      </c>
      <c r="H32" s="23"/>
      <c r="I32" s="199">
        <f>692+304</f>
        <v>996</v>
      </c>
      <c r="J32" s="23"/>
      <c r="K32" s="200">
        <v>296</v>
      </c>
      <c r="L32" s="23"/>
      <c r="M32" s="200">
        <v>0</v>
      </c>
      <c r="N32" s="217">
        <v>594</v>
      </c>
      <c r="O32" s="23"/>
      <c r="P32" s="25"/>
      <c r="Q32" s="23"/>
      <c r="R32" s="215">
        <v>2</v>
      </c>
      <c r="S32" s="187">
        <f t="shared" si="14"/>
        <v>49382</v>
      </c>
      <c r="T32" s="216"/>
      <c r="U32" s="27">
        <f t="shared" si="15"/>
        <v>0</v>
      </c>
      <c r="V32" s="134"/>
      <c r="X32" s="168">
        <v>58765</v>
      </c>
      <c r="Y32" s="168">
        <f t="shared" si="2"/>
        <v>49382</v>
      </c>
      <c r="AA32" s="168">
        <f t="shared" si="3"/>
        <v>0</v>
      </c>
    </row>
    <row r="33" spans="1:30" ht="15.6" customHeight="1" x14ac:dyDescent="0.3">
      <c r="A33" s="33">
        <v>26</v>
      </c>
      <c r="B33" s="34" t="s">
        <v>20</v>
      </c>
      <c r="C33" s="239">
        <v>518</v>
      </c>
      <c r="D33" s="31"/>
      <c r="E33" s="35"/>
      <c r="F33" s="31"/>
      <c r="G33" s="35"/>
      <c r="H33" s="31"/>
      <c r="I33" s="35"/>
      <c r="J33" s="31"/>
      <c r="K33" s="199">
        <v>350</v>
      </c>
      <c r="L33" s="31"/>
      <c r="M33" s="35"/>
      <c r="N33" s="174"/>
      <c r="O33" s="31"/>
      <c r="P33" s="35"/>
      <c r="Q33" s="31"/>
      <c r="R33" s="59"/>
      <c r="S33" s="234">
        <f t="shared" si="14"/>
        <v>0</v>
      </c>
      <c r="T33" s="59"/>
      <c r="U33" s="166">
        <f t="shared" si="15"/>
        <v>0</v>
      </c>
      <c r="V33" s="32"/>
      <c r="Y33" s="168">
        <f t="shared" si="2"/>
        <v>0</v>
      </c>
      <c r="AA33" s="168">
        <f t="shared" si="3"/>
        <v>0</v>
      </c>
    </row>
    <row r="34" spans="1:30" ht="15.6" customHeight="1" x14ac:dyDescent="0.3">
      <c r="A34" s="44">
        <v>27</v>
      </c>
      <c r="B34" s="45" t="s">
        <v>21</v>
      </c>
      <c r="C34" s="22"/>
      <c r="D34" s="24"/>
      <c r="E34" s="22"/>
      <c r="F34" s="24"/>
      <c r="G34" s="22"/>
      <c r="H34" s="24"/>
      <c r="I34" s="22"/>
      <c r="J34" s="24"/>
      <c r="K34" s="25"/>
      <c r="L34" s="23"/>
      <c r="M34" s="25"/>
      <c r="N34" s="25"/>
      <c r="O34" s="23"/>
      <c r="P34" s="25"/>
      <c r="Q34" s="23"/>
      <c r="R34" s="216"/>
      <c r="S34" s="187">
        <f t="shared" si="14"/>
        <v>0</v>
      </c>
      <c r="T34" s="216"/>
      <c r="U34" s="27">
        <f t="shared" si="15"/>
        <v>0</v>
      </c>
      <c r="V34" s="32"/>
      <c r="Y34" s="168">
        <f t="shared" si="2"/>
        <v>0</v>
      </c>
      <c r="AA34" s="168">
        <f t="shared" si="3"/>
        <v>0</v>
      </c>
    </row>
    <row r="35" spans="1:30" ht="15.6" customHeight="1" thickBot="1" x14ac:dyDescent="0.35">
      <c r="A35" s="485" t="s">
        <v>234</v>
      </c>
      <c r="B35" s="486"/>
      <c r="C35" s="38">
        <f t="shared" ref="C35:S35" si="16">SUM(C28:C34)</f>
        <v>3100</v>
      </c>
      <c r="D35" s="39">
        <f t="shared" si="16"/>
        <v>0</v>
      </c>
      <c r="E35" s="38">
        <f t="shared" si="16"/>
        <v>1273</v>
      </c>
      <c r="F35" s="39">
        <f t="shared" si="16"/>
        <v>2</v>
      </c>
      <c r="G35" s="38">
        <f t="shared" si="16"/>
        <v>1009</v>
      </c>
      <c r="H35" s="39">
        <f t="shared" si="16"/>
        <v>0</v>
      </c>
      <c r="I35" s="38">
        <f t="shared" si="16"/>
        <v>1694</v>
      </c>
      <c r="J35" s="39">
        <f t="shared" si="16"/>
        <v>0</v>
      </c>
      <c r="K35" s="38">
        <f t="shared" si="16"/>
        <v>2553</v>
      </c>
      <c r="L35" s="39">
        <f t="shared" si="16"/>
        <v>0</v>
      </c>
      <c r="M35" s="38">
        <f>SUM(M28:M32)</f>
        <v>0</v>
      </c>
      <c r="N35" s="38">
        <f t="shared" si="16"/>
        <v>2057</v>
      </c>
      <c r="O35" s="39">
        <f t="shared" si="16"/>
        <v>0</v>
      </c>
      <c r="P35" s="38">
        <f t="shared" si="16"/>
        <v>0</v>
      </c>
      <c r="Q35" s="39">
        <f t="shared" si="16"/>
        <v>0</v>
      </c>
      <c r="R35" s="162">
        <f t="shared" si="16"/>
        <v>1106</v>
      </c>
      <c r="S35" s="189">
        <f t="shared" si="16"/>
        <v>27005796</v>
      </c>
      <c r="T35" s="162">
        <f>SUM(T28:T34)</f>
        <v>1</v>
      </c>
      <c r="U35" s="41">
        <f>SUM(U28:U34)</f>
        <v>15594</v>
      </c>
      <c r="V35" s="64"/>
      <c r="Y35" s="168">
        <f t="shared" si="2"/>
        <v>0</v>
      </c>
      <c r="AA35" s="168">
        <f t="shared" si="3"/>
        <v>0</v>
      </c>
    </row>
    <row r="36" spans="1:30" ht="15.6" customHeight="1" x14ac:dyDescent="0.3">
      <c r="A36" s="11">
        <v>28</v>
      </c>
      <c r="B36" s="12" t="s">
        <v>16</v>
      </c>
      <c r="C36" s="204">
        <v>410</v>
      </c>
      <c r="D36" s="16"/>
      <c r="E36" s="200">
        <v>306</v>
      </c>
      <c r="F36" s="16"/>
      <c r="G36" s="200">
        <v>0</v>
      </c>
      <c r="H36" s="16"/>
      <c r="I36" s="200">
        <v>0</v>
      </c>
      <c r="J36" s="16"/>
      <c r="K36" s="200">
        <v>175</v>
      </c>
      <c r="L36" s="16"/>
      <c r="M36" s="200">
        <v>0</v>
      </c>
      <c r="N36" s="224">
        <v>582</v>
      </c>
      <c r="O36" s="16"/>
      <c r="P36" s="15"/>
      <c r="Q36" s="16"/>
      <c r="R36" s="225">
        <v>292</v>
      </c>
      <c r="S36" s="186">
        <f t="shared" ref="S36:S39" si="17">Y36</f>
        <v>7181081</v>
      </c>
      <c r="T36" s="233">
        <v>47</v>
      </c>
      <c r="U36" s="18">
        <f t="shared" ref="U36:U39" si="18">AA36</f>
        <v>844571</v>
      </c>
      <c r="V36" s="133"/>
      <c r="X36" s="168">
        <v>8545486</v>
      </c>
      <c r="Y36" s="168">
        <f t="shared" si="2"/>
        <v>7181081</v>
      </c>
      <c r="Z36" s="168">
        <v>1005039</v>
      </c>
      <c r="AA36" s="168">
        <f t="shared" si="3"/>
        <v>844571</v>
      </c>
    </row>
    <row r="37" spans="1:30" ht="15.6" customHeight="1" x14ac:dyDescent="0.3">
      <c r="A37" s="20">
        <v>29</v>
      </c>
      <c r="B37" s="21" t="s">
        <v>17</v>
      </c>
      <c r="C37" s="200">
        <v>0</v>
      </c>
      <c r="D37" s="175"/>
      <c r="E37" s="200">
        <v>300</v>
      </c>
      <c r="F37" s="16">
        <v>4</v>
      </c>
      <c r="G37" s="200">
        <v>0</v>
      </c>
      <c r="H37" s="23"/>
      <c r="I37" s="199">
        <f>600+402</f>
        <v>1002</v>
      </c>
      <c r="J37" s="23"/>
      <c r="K37" s="200">
        <f>185+148</f>
        <v>333</v>
      </c>
      <c r="L37" s="23"/>
      <c r="M37" s="200">
        <v>0</v>
      </c>
      <c r="N37" s="217">
        <f>18+487</f>
        <v>505</v>
      </c>
      <c r="O37" s="23"/>
      <c r="P37" s="25"/>
      <c r="Q37" s="23"/>
      <c r="R37" s="235">
        <v>887</v>
      </c>
      <c r="S37" s="187">
        <f>Y37-(11900000+2380000)</f>
        <v>20047120</v>
      </c>
      <c r="T37" s="174"/>
      <c r="U37" s="27">
        <f t="shared" si="18"/>
        <v>0</v>
      </c>
      <c r="V37" s="132"/>
      <c r="X37" s="168">
        <v>40849273</v>
      </c>
      <c r="Y37" s="168">
        <f t="shared" si="2"/>
        <v>34327120</v>
      </c>
      <c r="AA37" s="168">
        <f t="shared" si="3"/>
        <v>0</v>
      </c>
    </row>
    <row r="38" spans="1:30" s="177" customFormat="1" x14ac:dyDescent="0.3">
      <c r="A38" s="29">
        <v>30</v>
      </c>
      <c r="B38" s="30" t="s">
        <v>17</v>
      </c>
      <c r="C38" s="199">
        <v>700</v>
      </c>
      <c r="D38" s="23"/>
      <c r="E38" s="200">
        <v>280</v>
      </c>
      <c r="F38" s="23">
        <v>2</v>
      </c>
      <c r="G38" s="174"/>
      <c r="H38" s="175"/>
      <c r="I38" s="25">
        <v>0</v>
      </c>
      <c r="J38" s="175"/>
      <c r="K38" s="200">
        <f>150+150</f>
        <v>300</v>
      </c>
      <c r="L38" s="175"/>
      <c r="M38" s="200">
        <v>0</v>
      </c>
      <c r="N38" s="200">
        <f>184+274</f>
        <v>458</v>
      </c>
      <c r="O38" s="175"/>
      <c r="P38" s="174"/>
      <c r="Q38" s="175"/>
      <c r="R38" s="200">
        <v>338</v>
      </c>
      <c r="S38" s="187">
        <f t="shared" si="17"/>
        <v>8828133</v>
      </c>
      <c r="T38" s="174"/>
      <c r="U38" s="27">
        <f t="shared" si="18"/>
        <v>0</v>
      </c>
      <c r="V38" s="176"/>
      <c r="X38" s="198">
        <v>10505478</v>
      </c>
      <c r="Y38" s="168">
        <f t="shared" si="2"/>
        <v>8828133</v>
      </c>
      <c r="Z38" s="198"/>
      <c r="AA38" s="168">
        <f t="shared" si="3"/>
        <v>0</v>
      </c>
      <c r="AC38" s="198"/>
      <c r="AD38" s="198"/>
    </row>
    <row r="39" spans="1:30" ht="15.6" customHeight="1" x14ac:dyDescent="0.3">
      <c r="A39" s="20">
        <v>31</v>
      </c>
      <c r="B39" s="21" t="s">
        <v>18</v>
      </c>
      <c r="C39" s="217">
        <v>504</v>
      </c>
      <c r="D39" s="23"/>
      <c r="E39" s="200">
        <v>112</v>
      </c>
      <c r="F39" s="23"/>
      <c r="G39" s="25"/>
      <c r="H39" s="23"/>
      <c r="I39" s="199">
        <f>260+300+274</f>
        <v>834</v>
      </c>
      <c r="J39" s="23"/>
      <c r="K39" s="199">
        <f>150+150+117+157+200+150</f>
        <v>924</v>
      </c>
      <c r="L39" s="23"/>
      <c r="M39" s="200">
        <v>0</v>
      </c>
      <c r="N39" s="200">
        <f>151+257</f>
        <v>408</v>
      </c>
      <c r="O39" s="23"/>
      <c r="P39" s="25"/>
      <c r="Q39" s="23"/>
      <c r="R39" s="240">
        <v>593</v>
      </c>
      <c r="S39" s="187">
        <f t="shared" si="17"/>
        <v>15002071</v>
      </c>
      <c r="T39" s="216">
        <v>0</v>
      </c>
      <c r="U39" s="27">
        <f t="shared" si="18"/>
        <v>0</v>
      </c>
      <c r="V39" s="134"/>
      <c r="X39" s="168">
        <v>17852465</v>
      </c>
      <c r="Y39" s="168">
        <f t="shared" si="2"/>
        <v>15002071</v>
      </c>
      <c r="AA39" s="168">
        <f t="shared" si="3"/>
        <v>0</v>
      </c>
    </row>
    <row r="40" spans="1:30" ht="15.6" customHeight="1" thickBot="1" x14ac:dyDescent="0.35">
      <c r="A40" s="485" t="s">
        <v>237</v>
      </c>
      <c r="B40" s="486"/>
      <c r="C40" s="38">
        <f>SUM(C36:C39)</f>
        <v>1614</v>
      </c>
      <c r="D40" s="39">
        <f t="shared" ref="D40:S40" si="19">SUM(D36)</f>
        <v>0</v>
      </c>
      <c r="E40" s="38">
        <f>SUM(E36:E39)</f>
        <v>998</v>
      </c>
      <c r="F40" s="39">
        <f t="shared" si="19"/>
        <v>0</v>
      </c>
      <c r="G40" s="38">
        <f>SUM(G36:G39)</f>
        <v>0</v>
      </c>
      <c r="H40" s="39">
        <f t="shared" si="19"/>
        <v>0</v>
      </c>
      <c r="I40" s="38">
        <f>SUM(I36:I39)</f>
        <v>1836</v>
      </c>
      <c r="J40" s="39">
        <f t="shared" si="19"/>
        <v>0</v>
      </c>
      <c r="K40" s="39">
        <f>SUM(K36:K39)</f>
        <v>1732</v>
      </c>
      <c r="L40" s="39">
        <f t="shared" si="19"/>
        <v>0</v>
      </c>
      <c r="M40" s="38">
        <f t="shared" si="19"/>
        <v>0</v>
      </c>
      <c r="N40" s="38">
        <f>SUM(N36:N39)</f>
        <v>1953</v>
      </c>
      <c r="O40" s="39">
        <f t="shared" si="19"/>
        <v>0</v>
      </c>
      <c r="P40" s="38">
        <f t="shared" si="19"/>
        <v>0</v>
      </c>
      <c r="Q40" s="39">
        <f t="shared" si="19"/>
        <v>0</v>
      </c>
      <c r="R40" s="162">
        <f>SUM(R36:R39)</f>
        <v>2110</v>
      </c>
      <c r="S40" s="189">
        <f t="shared" si="19"/>
        <v>7181081</v>
      </c>
      <c r="T40" s="162">
        <f>SUM(T36:T39)</f>
        <v>47</v>
      </c>
      <c r="U40" s="41">
        <f>SUM(U36:U39)</f>
        <v>844571</v>
      </c>
      <c r="V40" s="64"/>
      <c r="Y40" s="168">
        <f t="shared" si="2"/>
        <v>0</v>
      </c>
      <c r="AA40" s="168">
        <f t="shared" si="3"/>
        <v>0</v>
      </c>
    </row>
    <row r="41" spans="1:30" ht="19.95" customHeight="1" x14ac:dyDescent="0.3">
      <c r="A41" s="501" t="s">
        <v>243</v>
      </c>
      <c r="B41" s="502"/>
      <c r="C41" s="65">
        <f t="shared" ref="C41:L41" si="20">C11+C19+C27+C35+C40</f>
        <v>9077</v>
      </c>
      <c r="D41" s="66">
        <v>50</v>
      </c>
      <c r="E41" s="65">
        <f t="shared" si="20"/>
        <v>5514</v>
      </c>
      <c r="F41" s="66">
        <v>85</v>
      </c>
      <c r="G41" s="65">
        <f t="shared" si="20"/>
        <v>1915</v>
      </c>
      <c r="H41" s="66">
        <f t="shared" si="20"/>
        <v>0</v>
      </c>
      <c r="I41" s="65">
        <f t="shared" si="20"/>
        <v>6818</v>
      </c>
      <c r="J41" s="66">
        <f t="shared" si="20"/>
        <v>0</v>
      </c>
      <c r="K41" s="65">
        <f t="shared" si="20"/>
        <v>6428</v>
      </c>
      <c r="L41" s="66">
        <f t="shared" si="20"/>
        <v>0</v>
      </c>
      <c r="M41" s="65">
        <f>SUM(,M11,M19,M27,M35,M40)</f>
        <v>307</v>
      </c>
      <c r="N41" s="65">
        <f>+N11+N19+N27+N35+N40</f>
        <v>6842</v>
      </c>
      <c r="O41" s="66">
        <f>O11+O19+O27+O35+O40</f>
        <v>0</v>
      </c>
      <c r="P41" s="65">
        <f>P11+P19+P27+P35+P40</f>
        <v>0</v>
      </c>
      <c r="Q41" s="66">
        <f>Q11+Q19+Q27+Q35+Q40</f>
        <v>0</v>
      </c>
      <c r="R41" s="67">
        <f>R11+R19+R27+R35+R40</f>
        <v>5420</v>
      </c>
      <c r="S41" s="192">
        <f>S11+S19+S27+S35+S40</f>
        <v>87850707</v>
      </c>
      <c r="T41" s="220">
        <f>SUM(T11,T19,T27,T35,T40)</f>
        <v>1281</v>
      </c>
      <c r="U41" s="68">
        <f>SUM(U11+U19+U27)</f>
        <v>20097092</v>
      </c>
      <c r="V41" s="69" t="s">
        <v>29</v>
      </c>
    </row>
    <row r="42" spans="1:30" ht="18" customHeight="1" x14ac:dyDescent="0.3">
      <c r="A42" s="457" t="s">
        <v>30</v>
      </c>
      <c r="B42" s="488"/>
      <c r="C42" s="70">
        <v>10000</v>
      </c>
      <c r="D42" s="71"/>
      <c r="E42" s="70">
        <v>7000</v>
      </c>
      <c r="F42" s="71"/>
      <c r="G42" s="70">
        <v>5000</v>
      </c>
      <c r="H42" s="71"/>
      <c r="I42" s="70">
        <v>10000</v>
      </c>
      <c r="J42" s="71"/>
      <c r="K42" s="70">
        <v>10000</v>
      </c>
      <c r="L42" s="71"/>
      <c r="M42" s="70"/>
      <c r="N42" s="70">
        <v>10000</v>
      </c>
      <c r="O42" s="71"/>
      <c r="P42" s="70"/>
      <c r="Q42" s="71">
        <v>0</v>
      </c>
      <c r="R42" s="70">
        <v>10000</v>
      </c>
      <c r="S42" s="193">
        <v>260000000</v>
      </c>
      <c r="T42" s="221"/>
      <c r="U42" s="72"/>
      <c r="V42" s="130"/>
    </row>
    <row r="43" spans="1:30" ht="15.6" customHeight="1" thickBot="1" x14ac:dyDescent="0.35">
      <c r="A43" s="497" t="s">
        <v>31</v>
      </c>
      <c r="B43" s="498"/>
      <c r="C43" s="74">
        <f>C41-C42</f>
        <v>-923</v>
      </c>
      <c r="D43" s="75"/>
      <c r="E43" s="74">
        <f>E41-E42</f>
        <v>-1486</v>
      </c>
      <c r="F43" s="75"/>
      <c r="G43" s="74">
        <f>G41-G42</f>
        <v>-3085</v>
      </c>
      <c r="H43" s="75"/>
      <c r="I43" s="74">
        <f>I41-I42</f>
        <v>-3182</v>
      </c>
      <c r="J43" s="75"/>
      <c r="K43" s="74">
        <f>K41-K42</f>
        <v>-3572</v>
      </c>
      <c r="L43" s="75"/>
      <c r="M43" s="74"/>
      <c r="N43" s="74">
        <f>N41-N42</f>
        <v>-3158</v>
      </c>
      <c r="O43" s="75"/>
      <c r="P43" s="74"/>
      <c r="Q43" s="75">
        <f>Q41-Q42</f>
        <v>0</v>
      </c>
      <c r="R43" s="76">
        <f>R41-R42</f>
        <v>-4580</v>
      </c>
      <c r="S43" s="194">
        <f>S41-S42</f>
        <v>-172149293</v>
      </c>
      <c r="T43" s="222"/>
      <c r="U43" s="77"/>
      <c r="V43" s="78" t="s">
        <v>32</v>
      </c>
    </row>
    <row r="44" spans="1:30" ht="15" thickBot="1" x14ac:dyDescent="0.35">
      <c r="A44" s="499" t="s">
        <v>244</v>
      </c>
      <c r="B44" s="500"/>
      <c r="C44" s="156" t="e">
        <f>ROUND(C43/U1,0)</f>
        <v>#DIV/0!</v>
      </c>
      <c r="D44" s="157" t="e">
        <f>ROUND(D43/U1,0)</f>
        <v>#DIV/0!</v>
      </c>
      <c r="E44" s="156" t="e">
        <f>ROUND((E43/U1),0)</f>
        <v>#DIV/0!</v>
      </c>
      <c r="F44" s="157"/>
      <c r="G44" s="156" t="e">
        <f>ROUND(G43/U1,0)</f>
        <v>#DIV/0!</v>
      </c>
      <c r="H44" s="157"/>
      <c r="I44" s="156" t="e">
        <f>ROUND(I43/U1,0)</f>
        <v>#DIV/0!</v>
      </c>
      <c r="J44" s="157"/>
      <c r="K44" s="156" t="e">
        <f>ROUND(K43/U1,0)</f>
        <v>#DIV/0!</v>
      </c>
      <c r="L44" s="157"/>
      <c r="M44" s="156"/>
      <c r="N44" s="156" t="e">
        <f>ROUND(N43/U1,0)</f>
        <v>#DIV/0!</v>
      </c>
      <c r="O44" s="157"/>
      <c r="P44" s="156"/>
      <c r="Q44" s="157"/>
      <c r="R44" s="158" t="e">
        <f>ROUND(R43/U1,0)</f>
        <v>#DIV/0!</v>
      </c>
      <c r="S44" s="195" t="e">
        <f>S43/U1</f>
        <v>#DIV/0!</v>
      </c>
      <c r="T44" s="223"/>
      <c r="U44" s="82"/>
      <c r="V44" s="83" t="s">
        <v>34</v>
      </c>
      <c r="AC44" s="207"/>
      <c r="AD44" s="207"/>
    </row>
    <row r="46" spans="1:30" s="112" customFormat="1" x14ac:dyDescent="0.3">
      <c r="C46" s="208" t="s">
        <v>239</v>
      </c>
      <c r="E46" s="208" t="s">
        <v>238</v>
      </c>
      <c r="I46" s="208" t="s">
        <v>239</v>
      </c>
      <c r="K46" s="208" t="s">
        <v>239</v>
      </c>
      <c r="M46" s="208" t="s">
        <v>240</v>
      </c>
      <c r="N46" s="208" t="s">
        <v>239</v>
      </c>
      <c r="R46" s="208" t="s">
        <v>239</v>
      </c>
      <c r="X46" s="209"/>
      <c r="Y46" s="209"/>
      <c r="Z46" s="209"/>
      <c r="AA46" s="209"/>
      <c r="AC46" s="209"/>
      <c r="AD46" s="209"/>
    </row>
    <row r="47" spans="1:30" s="112" customFormat="1" x14ac:dyDescent="0.3">
      <c r="C47" s="210" t="s">
        <v>245</v>
      </c>
      <c r="E47" s="210" t="s">
        <v>248</v>
      </c>
      <c r="I47" s="210" t="s">
        <v>245</v>
      </c>
      <c r="K47" s="210" t="s">
        <v>245</v>
      </c>
      <c r="M47" s="210" t="s">
        <v>249</v>
      </c>
      <c r="N47" s="210" t="s">
        <v>245</v>
      </c>
      <c r="R47" s="210" t="s">
        <v>245</v>
      </c>
      <c r="S47" s="209"/>
      <c r="T47" s="209"/>
      <c r="U47" s="209"/>
      <c r="X47" s="209"/>
      <c r="Y47" s="209"/>
      <c r="Z47" s="209"/>
      <c r="AA47" s="209"/>
      <c r="AC47" s="209"/>
      <c r="AD47" s="209"/>
    </row>
    <row r="48" spans="1:30" s="112" customFormat="1" x14ac:dyDescent="0.3">
      <c r="C48" s="211" t="s">
        <v>246</v>
      </c>
      <c r="E48" s="211" t="s">
        <v>247</v>
      </c>
      <c r="I48" s="211" t="s">
        <v>246</v>
      </c>
      <c r="K48" s="211" t="s">
        <v>246</v>
      </c>
      <c r="M48" s="211" t="s">
        <v>250</v>
      </c>
      <c r="N48" s="211" t="s">
        <v>246</v>
      </c>
      <c r="R48" s="211" t="s">
        <v>246</v>
      </c>
      <c r="X48" s="209"/>
      <c r="Y48" s="209"/>
      <c r="Z48" s="209"/>
      <c r="AA48" s="209"/>
      <c r="AC48" s="209"/>
      <c r="AD48" s="209"/>
    </row>
    <row r="53" spans="5:5" x14ac:dyDescent="0.3">
      <c r="E53">
        <v>11392</v>
      </c>
    </row>
  </sheetData>
  <mergeCells count="27">
    <mergeCell ref="U3:U4"/>
    <mergeCell ref="A4:B4"/>
    <mergeCell ref="A42:B42"/>
    <mergeCell ref="A43:B43"/>
    <mergeCell ref="A44:B44"/>
    <mergeCell ref="A11:B11"/>
    <mergeCell ref="A19:B19"/>
    <mergeCell ref="A27:B27"/>
    <mergeCell ref="A35:B35"/>
    <mergeCell ref="A40:B40"/>
    <mergeCell ref="A41:B41"/>
    <mergeCell ref="Z4:AA4"/>
    <mergeCell ref="X4:Y4"/>
    <mergeCell ref="A1:L1"/>
    <mergeCell ref="N1:S1"/>
    <mergeCell ref="A2:B2"/>
    <mergeCell ref="C2:D2"/>
    <mergeCell ref="E2:F2"/>
    <mergeCell ref="G2:H2"/>
    <mergeCell ref="I2:J2"/>
    <mergeCell ref="K2:L2"/>
    <mergeCell ref="N2:O2"/>
    <mergeCell ref="P2:Q2"/>
    <mergeCell ref="R2:U2"/>
    <mergeCell ref="V2:V4"/>
    <mergeCell ref="A3:B3"/>
    <mergeCell ref="S3:S4"/>
  </mergeCells>
  <pageMargins left="0.70866141732283472" right="0.70866141732283472" top="0.74803149606299213" bottom="0.74803149606299213" header="0.31496062992125984" footer="0.31496062992125984"/>
  <pageSetup scale="75" orientation="landscape" horizontalDpi="360" verticalDpi="36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708F1-2F16-4EEE-BD37-2920DDB6EA71}">
  <dimension ref="A1:AE48"/>
  <sheetViews>
    <sheetView topLeftCell="A25" zoomScaleNormal="100" workbookViewId="0">
      <selection activeCell="D38" sqref="D38"/>
    </sheetView>
  </sheetViews>
  <sheetFormatPr baseColWidth="10" defaultRowHeight="14.4" x14ac:dyDescent="0.3"/>
  <cols>
    <col min="1" max="1" width="4" customWidth="1"/>
    <col min="2" max="2" width="8.6640625" customWidth="1"/>
    <col min="3" max="3" width="3.77734375" bestFit="1" customWidth="1"/>
    <col min="4" max="4" width="7.5546875" customWidth="1"/>
    <col min="5" max="5" width="7.88671875" bestFit="1" customWidth="1"/>
    <col min="6" max="13" width="7.5546875" customWidth="1"/>
    <col min="14" max="14" width="9.88671875" bestFit="1" customWidth="1"/>
    <col min="15" max="15" width="8.77734375" customWidth="1"/>
    <col min="16" max="18" width="7.5546875" customWidth="1"/>
    <col min="19" max="19" width="8.6640625" customWidth="1"/>
    <col min="20" max="20" width="15" customWidth="1"/>
    <col min="21" max="21" width="6.33203125" customWidth="1"/>
    <col min="22" max="22" width="12.109375" customWidth="1"/>
    <col min="23" max="23" width="64" customWidth="1"/>
    <col min="24" max="24" width="2.5546875" customWidth="1"/>
    <col min="25" max="26" width="11.5546875" style="168"/>
    <col min="27" max="27" width="13.5546875" style="168" customWidth="1"/>
    <col min="28" max="28" width="11.5546875" style="168"/>
    <col min="30" max="31" width="11.5546875" style="168"/>
  </cols>
  <sheetData>
    <row r="1" spans="1:28" ht="34.200000000000003" customHeight="1" thickBot="1" x14ac:dyDescent="0.35">
      <c r="A1" s="461" t="s">
        <v>254</v>
      </c>
      <c r="B1" s="461"/>
      <c r="C1" s="461"/>
      <c r="D1" s="461"/>
      <c r="E1" s="461"/>
      <c r="F1" s="461"/>
      <c r="G1" s="461"/>
      <c r="H1" s="461"/>
      <c r="I1" s="461"/>
      <c r="J1" s="461"/>
      <c r="K1" s="461"/>
      <c r="L1" s="461"/>
      <c r="M1" s="461"/>
      <c r="N1" s="169"/>
      <c r="O1" s="473" t="s">
        <v>215</v>
      </c>
      <c r="P1" s="474"/>
      <c r="Q1" s="474"/>
      <c r="R1" s="474"/>
      <c r="S1" s="474"/>
      <c r="T1" s="474"/>
      <c r="U1" s="218"/>
      <c r="V1" s="185">
        <v>0</v>
      </c>
      <c r="W1" s="2"/>
    </row>
    <row r="2" spans="1:28" ht="14.4" customHeight="1" x14ac:dyDescent="0.3">
      <c r="A2" s="476" t="s">
        <v>1</v>
      </c>
      <c r="B2" s="467"/>
      <c r="C2" s="244"/>
      <c r="D2" s="466" t="s">
        <v>2</v>
      </c>
      <c r="E2" s="467"/>
      <c r="F2" s="466" t="s">
        <v>262</v>
      </c>
      <c r="G2" s="467"/>
      <c r="H2" s="466" t="s">
        <v>4</v>
      </c>
      <c r="I2" s="467"/>
      <c r="J2" s="466" t="s">
        <v>5</v>
      </c>
      <c r="K2" s="467"/>
      <c r="L2" s="466" t="s">
        <v>6</v>
      </c>
      <c r="M2" s="467"/>
      <c r="N2" s="171" t="s">
        <v>219</v>
      </c>
      <c r="O2" s="466" t="s">
        <v>7</v>
      </c>
      <c r="P2" s="467"/>
      <c r="Q2" s="466" t="s">
        <v>8</v>
      </c>
      <c r="R2" s="467"/>
      <c r="S2" s="466" t="s">
        <v>251</v>
      </c>
      <c r="T2" s="490"/>
      <c r="U2" s="490"/>
      <c r="V2" s="468"/>
      <c r="W2" s="443" t="s">
        <v>10</v>
      </c>
    </row>
    <row r="3" spans="1:28" ht="15" customHeight="1" thickBot="1" x14ac:dyDescent="0.35">
      <c r="A3" s="481" t="s">
        <v>11</v>
      </c>
      <c r="B3" s="482"/>
      <c r="C3" s="246"/>
      <c r="D3" s="3" t="s">
        <v>13</v>
      </c>
      <c r="E3" s="4" t="s">
        <v>12</v>
      </c>
      <c r="F3" s="3" t="s">
        <v>13</v>
      </c>
      <c r="G3" s="4" t="s">
        <v>12</v>
      </c>
      <c r="H3" s="3" t="s">
        <v>13</v>
      </c>
      <c r="I3" s="4" t="s">
        <v>12</v>
      </c>
      <c r="J3" s="3" t="s">
        <v>13</v>
      </c>
      <c r="K3" s="4" t="s">
        <v>12</v>
      </c>
      <c r="L3" s="3" t="s">
        <v>13</v>
      </c>
      <c r="M3" s="4" t="s">
        <v>12</v>
      </c>
      <c r="N3" s="170" t="s">
        <v>220</v>
      </c>
      <c r="O3" s="3" t="s">
        <v>13</v>
      </c>
      <c r="P3" s="4" t="s">
        <v>12</v>
      </c>
      <c r="Q3" s="3" t="s">
        <v>13</v>
      </c>
      <c r="R3" s="4" t="s">
        <v>12</v>
      </c>
      <c r="S3" s="5" t="s">
        <v>252</v>
      </c>
      <c r="T3" s="491" t="s">
        <v>227</v>
      </c>
      <c r="U3" s="5" t="s">
        <v>253</v>
      </c>
      <c r="V3" s="493" t="s">
        <v>228</v>
      </c>
      <c r="W3" s="444"/>
    </row>
    <row r="4" spans="1:28" ht="14.4" customHeight="1" x14ac:dyDescent="0.3">
      <c r="A4" s="483" t="s">
        <v>242</v>
      </c>
      <c r="B4" s="484"/>
      <c r="C4" s="247" t="s">
        <v>259</v>
      </c>
      <c r="D4" s="7">
        <v>600</v>
      </c>
      <c r="E4" s="8">
        <v>0</v>
      </c>
      <c r="F4" s="9">
        <v>400</v>
      </c>
      <c r="G4" s="8">
        <v>0</v>
      </c>
      <c r="H4" s="9">
        <v>250</v>
      </c>
      <c r="I4" s="8">
        <v>0</v>
      </c>
      <c r="J4" s="9">
        <v>600</v>
      </c>
      <c r="K4" s="8">
        <v>0</v>
      </c>
      <c r="L4" s="9">
        <v>600</v>
      </c>
      <c r="M4" s="8">
        <v>0</v>
      </c>
      <c r="N4" s="9">
        <v>20</v>
      </c>
      <c r="O4" s="9">
        <v>600</v>
      </c>
      <c r="P4" s="8">
        <v>0</v>
      </c>
      <c r="Q4" s="9">
        <v>0</v>
      </c>
      <c r="R4" s="8">
        <v>0</v>
      </c>
      <c r="S4" s="7">
        <v>600</v>
      </c>
      <c r="T4" s="492"/>
      <c r="U4" s="7">
        <v>0</v>
      </c>
      <c r="V4" s="494"/>
      <c r="W4" s="469"/>
      <c r="Y4" s="496" t="s">
        <v>232</v>
      </c>
      <c r="Z4" s="496"/>
      <c r="AA4" s="495" t="s">
        <v>231</v>
      </c>
      <c r="AB4" s="495"/>
    </row>
    <row r="5" spans="1:28" ht="15" thickBot="1" x14ac:dyDescent="0.35">
      <c r="A5" s="29">
        <v>1</v>
      </c>
      <c r="B5" s="21" t="s">
        <v>19</v>
      </c>
      <c r="C5" s="252" t="s">
        <v>260</v>
      </c>
      <c r="D5" s="217">
        <v>510</v>
      </c>
      <c r="E5" s="175">
        <v>2</v>
      </c>
      <c r="F5" s="200">
        <v>300</v>
      </c>
      <c r="G5" s="23"/>
      <c r="H5" s="200">
        <v>0</v>
      </c>
      <c r="I5" s="23"/>
      <c r="J5" s="200">
        <v>20</v>
      </c>
      <c r="K5" s="23"/>
      <c r="L5" s="217">
        <f>190+49+120+150</f>
        <v>509</v>
      </c>
      <c r="M5" s="23"/>
      <c r="N5" s="205">
        <v>0</v>
      </c>
      <c r="O5" s="205">
        <v>117</v>
      </c>
      <c r="P5" s="23"/>
      <c r="Q5" s="25"/>
      <c r="R5" s="23"/>
      <c r="S5" s="228">
        <v>66</v>
      </c>
      <c r="T5" s="186">
        <f t="shared" ref="T5:T7" si="0">Z5</f>
        <v>1685340</v>
      </c>
      <c r="U5" s="229">
        <v>0</v>
      </c>
      <c r="V5" s="18">
        <f t="shared" ref="V5:V7" si="1">AB5</f>
        <v>0</v>
      </c>
      <c r="W5" s="126"/>
      <c r="Y5" s="168">
        <v>2005555</v>
      </c>
      <c r="Z5" s="168">
        <f t="shared" ref="Z5:Z40" si="2">ROUND(Y5/1.19,0)</f>
        <v>1685340</v>
      </c>
      <c r="AB5" s="168">
        <f t="shared" ref="AB5:AB40" si="3">ROUND(AA5/1.19,0)</f>
        <v>0</v>
      </c>
    </row>
    <row r="6" spans="1:28" x14ac:dyDescent="0.3">
      <c r="A6" s="33">
        <v>2</v>
      </c>
      <c r="B6" s="34" t="s">
        <v>20</v>
      </c>
      <c r="C6" s="253" t="s">
        <v>261</v>
      </c>
      <c r="D6" s="254">
        <v>302</v>
      </c>
      <c r="E6" s="31"/>
      <c r="F6" s="35"/>
      <c r="G6" s="31"/>
      <c r="H6" s="35"/>
      <c r="I6" s="31"/>
      <c r="J6" s="35"/>
      <c r="K6" s="31"/>
      <c r="L6" s="25"/>
      <c r="M6" s="31"/>
      <c r="N6" s="35"/>
      <c r="O6" s="35"/>
      <c r="P6" s="31"/>
      <c r="Q6" s="35"/>
      <c r="R6" s="31"/>
      <c r="S6" s="36"/>
      <c r="T6" s="186">
        <f t="shared" si="0"/>
        <v>0</v>
      </c>
      <c r="U6" s="36">
        <v>0</v>
      </c>
      <c r="V6" s="18">
        <f t="shared" si="1"/>
        <v>0</v>
      </c>
      <c r="W6" s="127"/>
      <c r="Z6" s="168">
        <f t="shared" si="2"/>
        <v>0</v>
      </c>
      <c r="AB6" s="168">
        <f t="shared" si="3"/>
        <v>0</v>
      </c>
    </row>
    <row r="7" spans="1:28" x14ac:dyDescent="0.3">
      <c r="A7" s="44">
        <v>3</v>
      </c>
      <c r="B7" s="45" t="s">
        <v>21</v>
      </c>
      <c r="C7" s="255" t="s">
        <v>261</v>
      </c>
      <c r="D7" s="22"/>
      <c r="E7" s="31"/>
      <c r="F7" s="22"/>
      <c r="G7" s="31"/>
      <c r="H7" s="22"/>
      <c r="I7" s="31"/>
      <c r="J7" s="22"/>
      <c r="K7" s="31"/>
      <c r="L7" s="25"/>
      <c r="M7" s="31"/>
      <c r="N7" s="174"/>
      <c r="O7" s="174"/>
      <c r="P7" s="31"/>
      <c r="Q7" s="25"/>
      <c r="R7" s="31"/>
      <c r="S7" s="229"/>
      <c r="T7" s="186">
        <f t="shared" si="0"/>
        <v>0</v>
      </c>
      <c r="U7" s="229">
        <v>0</v>
      </c>
      <c r="V7" s="18">
        <f t="shared" si="1"/>
        <v>0</v>
      </c>
      <c r="W7" s="28"/>
      <c r="Z7" s="168">
        <f t="shared" si="2"/>
        <v>0</v>
      </c>
      <c r="AB7" s="168">
        <f t="shared" si="3"/>
        <v>0</v>
      </c>
    </row>
    <row r="8" spans="1:28" ht="15.6" customHeight="1" thickBot="1" x14ac:dyDescent="0.35">
      <c r="A8" s="485" t="s">
        <v>233</v>
      </c>
      <c r="B8" s="503"/>
      <c r="C8" s="256"/>
      <c r="D8" s="38">
        <f t="shared" ref="D8:M8" si="4">SUM(D5:D7)</f>
        <v>812</v>
      </c>
      <c r="E8" s="39">
        <f t="shared" si="4"/>
        <v>2</v>
      </c>
      <c r="F8" s="38">
        <f t="shared" si="4"/>
        <v>300</v>
      </c>
      <c r="G8" s="39">
        <f t="shared" si="4"/>
        <v>0</v>
      </c>
      <c r="H8" s="38">
        <f t="shared" si="4"/>
        <v>0</v>
      </c>
      <c r="I8" s="39">
        <f t="shared" si="4"/>
        <v>0</v>
      </c>
      <c r="J8" s="38">
        <f t="shared" si="4"/>
        <v>20</v>
      </c>
      <c r="K8" s="39">
        <f t="shared" si="4"/>
        <v>0</v>
      </c>
      <c r="L8" s="38">
        <f t="shared" si="4"/>
        <v>509</v>
      </c>
      <c r="M8" s="39">
        <f t="shared" si="4"/>
        <v>0</v>
      </c>
      <c r="N8" s="38">
        <f>SUM(N5:N5)</f>
        <v>0</v>
      </c>
      <c r="O8" s="38">
        <f t="shared" ref="O8:V8" si="5">SUM(O5:O7)</f>
        <v>117</v>
      </c>
      <c r="P8" s="39">
        <f t="shared" si="5"/>
        <v>0</v>
      </c>
      <c r="Q8" s="38">
        <f t="shared" si="5"/>
        <v>0</v>
      </c>
      <c r="R8" s="39">
        <f t="shared" si="5"/>
        <v>0</v>
      </c>
      <c r="S8" s="40">
        <f t="shared" si="5"/>
        <v>66</v>
      </c>
      <c r="T8" s="189">
        <f t="shared" si="5"/>
        <v>1685340</v>
      </c>
      <c r="U8" s="162">
        <f t="shared" si="5"/>
        <v>0</v>
      </c>
      <c r="V8" s="41">
        <f t="shared" si="5"/>
        <v>0</v>
      </c>
      <c r="W8" s="46"/>
      <c r="Z8" s="168">
        <f t="shared" si="2"/>
        <v>0</v>
      </c>
      <c r="AB8" s="168">
        <f t="shared" si="3"/>
        <v>0</v>
      </c>
    </row>
    <row r="9" spans="1:28" x14ac:dyDescent="0.3">
      <c r="A9" s="47">
        <v>4</v>
      </c>
      <c r="B9" s="48" t="s">
        <v>16</v>
      </c>
      <c r="C9" s="257" t="s">
        <v>260</v>
      </c>
      <c r="D9" s="203">
        <v>350</v>
      </c>
      <c r="E9" s="258">
        <v>1</v>
      </c>
      <c r="F9" s="200">
        <v>198</v>
      </c>
      <c r="G9" s="51"/>
      <c r="H9" s="203">
        <v>0</v>
      </c>
      <c r="I9" s="51"/>
      <c r="J9" s="254">
        <f>219+506</f>
        <v>725</v>
      </c>
      <c r="K9" s="51"/>
      <c r="L9" s="203">
        <v>450</v>
      </c>
      <c r="M9" s="51"/>
      <c r="N9" s="203">
        <v>243</v>
      </c>
      <c r="O9" s="202">
        <f>389+204+3</f>
        <v>596</v>
      </c>
      <c r="P9" s="51"/>
      <c r="Q9" s="52"/>
      <c r="R9" s="51"/>
      <c r="S9" s="241">
        <v>935</v>
      </c>
      <c r="T9" s="190">
        <f>Z9</f>
        <v>23459403</v>
      </c>
      <c r="U9" s="232">
        <v>0</v>
      </c>
      <c r="V9" s="87">
        <f>AB9</f>
        <v>0</v>
      </c>
      <c r="W9" s="172"/>
      <c r="Y9" s="168">
        <v>27916689</v>
      </c>
      <c r="Z9" s="168">
        <f t="shared" si="2"/>
        <v>23459403</v>
      </c>
      <c r="AB9" s="168">
        <f t="shared" si="3"/>
        <v>0</v>
      </c>
    </row>
    <row r="10" spans="1:28" ht="24" x14ac:dyDescent="0.3">
      <c r="A10" s="20">
        <v>5</v>
      </c>
      <c r="B10" s="21" t="s">
        <v>17</v>
      </c>
      <c r="C10" s="252" t="s">
        <v>260</v>
      </c>
      <c r="D10" s="199">
        <f>510+350+610+116</f>
        <v>1586</v>
      </c>
      <c r="E10" s="175">
        <v>1</v>
      </c>
      <c r="F10" s="200">
        <v>250</v>
      </c>
      <c r="G10" s="23"/>
      <c r="H10" s="200">
        <v>0</v>
      </c>
      <c r="I10" s="23"/>
      <c r="J10" s="200">
        <v>0</v>
      </c>
      <c r="K10" s="175"/>
      <c r="L10" s="200">
        <v>152</v>
      </c>
      <c r="M10" s="23"/>
      <c r="N10" s="200">
        <v>0</v>
      </c>
      <c r="O10" s="217">
        <v>500</v>
      </c>
      <c r="P10" s="23"/>
      <c r="Q10" s="25"/>
      <c r="R10" s="23"/>
      <c r="S10" s="243">
        <v>742</v>
      </c>
      <c r="T10" s="187">
        <f t="shared" ref="T10:T15" si="6">Z10</f>
        <v>18992962</v>
      </c>
      <c r="U10" s="229">
        <v>0</v>
      </c>
      <c r="V10" s="27">
        <f t="shared" ref="V10:V15" si="7">AB10</f>
        <v>0</v>
      </c>
      <c r="W10" s="128" t="s">
        <v>257</v>
      </c>
      <c r="Y10" s="168">
        <v>22601625</v>
      </c>
      <c r="Z10" s="168">
        <f t="shared" si="2"/>
        <v>18992962</v>
      </c>
      <c r="AB10" s="168">
        <f t="shared" si="3"/>
        <v>0</v>
      </c>
    </row>
    <row r="11" spans="1:28" x14ac:dyDescent="0.3">
      <c r="A11" s="20">
        <v>6</v>
      </c>
      <c r="B11" s="21" t="s">
        <v>17</v>
      </c>
      <c r="C11" s="252" t="s">
        <v>260</v>
      </c>
      <c r="D11" s="199">
        <v>536</v>
      </c>
      <c r="E11" s="23"/>
      <c r="F11" s="200">
        <v>260</v>
      </c>
      <c r="G11" s="175">
        <v>3</v>
      </c>
      <c r="H11" s="200">
        <v>0</v>
      </c>
      <c r="I11" s="23"/>
      <c r="J11" s="200">
        <v>0</v>
      </c>
      <c r="K11" s="23"/>
      <c r="L11" s="200">
        <f>129+320</f>
        <v>449</v>
      </c>
      <c r="M11" s="23"/>
      <c r="N11" s="200">
        <v>0</v>
      </c>
      <c r="O11" s="199">
        <v>601</v>
      </c>
      <c r="P11" s="23"/>
      <c r="Q11" s="25"/>
      <c r="R11" s="23"/>
      <c r="S11" s="228">
        <v>396</v>
      </c>
      <c r="T11" s="187">
        <f t="shared" si="6"/>
        <v>9968288</v>
      </c>
      <c r="U11" s="229">
        <v>0</v>
      </c>
      <c r="V11" s="27">
        <f t="shared" si="7"/>
        <v>0</v>
      </c>
      <c r="W11" s="128"/>
      <c r="Y11" s="168">
        <f>13299766-1437503</f>
        <v>11862263</v>
      </c>
      <c r="Z11" s="168">
        <f t="shared" si="2"/>
        <v>9968288</v>
      </c>
      <c r="AB11" s="168">
        <f t="shared" si="3"/>
        <v>0</v>
      </c>
    </row>
    <row r="12" spans="1:28" ht="96" x14ac:dyDescent="0.3">
      <c r="A12" s="20">
        <v>7</v>
      </c>
      <c r="B12" s="21" t="s">
        <v>18</v>
      </c>
      <c r="C12" s="252" t="s">
        <v>260</v>
      </c>
      <c r="D12" s="200">
        <f>30+30</f>
        <v>60</v>
      </c>
      <c r="E12" s="23"/>
      <c r="F12" s="200">
        <v>300</v>
      </c>
      <c r="G12" s="175"/>
      <c r="H12" s="200">
        <v>0</v>
      </c>
      <c r="I12" s="23"/>
      <c r="J12" s="200">
        <v>0</v>
      </c>
      <c r="K12" s="23"/>
      <c r="L12" s="200">
        <f>160+132</f>
        <v>292</v>
      </c>
      <c r="M12" s="23"/>
      <c r="N12" s="200">
        <v>0</v>
      </c>
      <c r="O12" s="217">
        <v>550</v>
      </c>
      <c r="P12" s="23"/>
      <c r="Q12" s="25"/>
      <c r="R12" s="23"/>
      <c r="S12" s="200">
        <v>-3</v>
      </c>
      <c r="T12" s="187">
        <f t="shared" si="6"/>
        <v>49830</v>
      </c>
      <c r="U12" s="229">
        <v>758</v>
      </c>
      <c r="V12" s="27">
        <f t="shared" si="7"/>
        <v>11820252</v>
      </c>
      <c r="W12" s="128" t="s">
        <v>258</v>
      </c>
      <c r="X12" s="55"/>
      <c r="Y12" s="245">
        <f>239810-180512</f>
        <v>59298</v>
      </c>
      <c r="Z12" s="245">
        <f t="shared" si="2"/>
        <v>49830</v>
      </c>
      <c r="AA12" s="245">
        <v>14066100</v>
      </c>
      <c r="AB12" s="245">
        <f t="shared" si="3"/>
        <v>11820252</v>
      </c>
    </row>
    <row r="13" spans="1:28" ht="19.8" customHeight="1" x14ac:dyDescent="0.3">
      <c r="A13" s="20">
        <v>8</v>
      </c>
      <c r="B13" s="21" t="s">
        <v>19</v>
      </c>
      <c r="C13" s="252" t="s">
        <v>260</v>
      </c>
      <c r="D13" s="200">
        <v>0</v>
      </c>
      <c r="E13" s="23"/>
      <c r="F13" s="200">
        <f>250</f>
        <v>250</v>
      </c>
      <c r="G13" s="175">
        <v>3</v>
      </c>
      <c r="H13" s="200">
        <v>60</v>
      </c>
      <c r="I13" s="23"/>
      <c r="J13" s="200">
        <v>0</v>
      </c>
      <c r="K13" s="23"/>
      <c r="L13" s="200">
        <v>431</v>
      </c>
      <c r="M13" s="23"/>
      <c r="N13" s="200">
        <v>0</v>
      </c>
      <c r="O13" s="200">
        <v>332</v>
      </c>
      <c r="P13" s="23"/>
      <c r="Q13" s="25"/>
      <c r="R13" s="23"/>
      <c r="S13" s="200">
        <v>150</v>
      </c>
      <c r="T13" s="187">
        <f t="shared" si="6"/>
        <v>4007229</v>
      </c>
      <c r="U13" s="229">
        <v>0</v>
      </c>
      <c r="V13" s="27">
        <f t="shared" si="7"/>
        <v>0</v>
      </c>
      <c r="W13" s="126"/>
      <c r="Y13" s="168">
        <v>4768603</v>
      </c>
      <c r="Z13" s="168">
        <f t="shared" si="2"/>
        <v>4007229</v>
      </c>
      <c r="AB13" s="168">
        <f t="shared" si="3"/>
        <v>0</v>
      </c>
    </row>
    <row r="14" spans="1:28" ht="18.600000000000001" customHeight="1" x14ac:dyDescent="0.3">
      <c r="A14" s="33">
        <v>9</v>
      </c>
      <c r="B14" s="34" t="s">
        <v>20</v>
      </c>
      <c r="C14" s="253" t="s">
        <v>261</v>
      </c>
      <c r="D14" s="199">
        <v>450</v>
      </c>
      <c r="E14" s="31"/>
      <c r="F14" s="199">
        <v>692</v>
      </c>
      <c r="G14" s="31"/>
      <c r="H14" s="174"/>
      <c r="I14" s="31"/>
      <c r="J14" s="35"/>
      <c r="K14" s="31"/>
      <c r="L14" s="238">
        <v>267</v>
      </c>
      <c r="M14" s="31"/>
      <c r="N14" s="35"/>
      <c r="O14" s="35"/>
      <c r="P14" s="31"/>
      <c r="Q14" s="35"/>
      <c r="R14" s="31"/>
      <c r="S14" s="36"/>
      <c r="T14" s="187">
        <f t="shared" si="6"/>
        <v>0</v>
      </c>
      <c r="U14" s="36">
        <v>0</v>
      </c>
      <c r="V14" s="37">
        <f t="shared" si="7"/>
        <v>0</v>
      </c>
      <c r="W14" s="32"/>
      <c r="Z14" s="168">
        <f t="shared" si="2"/>
        <v>0</v>
      </c>
      <c r="AB14" s="168">
        <f t="shared" si="3"/>
        <v>0</v>
      </c>
    </row>
    <row r="15" spans="1:28" ht="15.6" customHeight="1" x14ac:dyDescent="0.3">
      <c r="A15" s="44">
        <v>10</v>
      </c>
      <c r="B15" s="45" t="s">
        <v>21</v>
      </c>
      <c r="C15" s="255" t="s">
        <v>261</v>
      </c>
      <c r="D15" s="22"/>
      <c r="E15" s="31"/>
      <c r="F15" s="35"/>
      <c r="G15" s="31"/>
      <c r="H15" s="35"/>
      <c r="I15" s="31"/>
      <c r="J15" s="35"/>
      <c r="K15" s="31"/>
      <c r="L15" s="35"/>
      <c r="M15" s="31"/>
      <c r="N15" s="35"/>
      <c r="O15" s="35"/>
      <c r="P15" s="31"/>
      <c r="Q15" s="35"/>
      <c r="R15" s="31"/>
      <c r="S15" s="36"/>
      <c r="T15" s="187">
        <f t="shared" si="6"/>
        <v>0</v>
      </c>
      <c r="U15" s="36">
        <v>0</v>
      </c>
      <c r="V15" s="37">
        <f t="shared" si="7"/>
        <v>0</v>
      </c>
      <c r="W15" s="32"/>
      <c r="Z15" s="168">
        <f t="shared" si="2"/>
        <v>0</v>
      </c>
      <c r="AB15" s="168">
        <f t="shared" si="3"/>
        <v>0</v>
      </c>
    </row>
    <row r="16" spans="1:28" ht="21" customHeight="1" thickBot="1" x14ac:dyDescent="0.35">
      <c r="A16" s="485" t="s">
        <v>236</v>
      </c>
      <c r="B16" s="503"/>
      <c r="C16" s="256"/>
      <c r="D16" s="38">
        <f>SUM(D9:D15)</f>
        <v>2982</v>
      </c>
      <c r="E16" s="39">
        <f t="shared" ref="E16:S16" si="8">SUM(E9:E15)</f>
        <v>2</v>
      </c>
      <c r="F16" s="38">
        <f t="shared" si="8"/>
        <v>1950</v>
      </c>
      <c r="G16" s="39">
        <f t="shared" si="8"/>
        <v>6</v>
      </c>
      <c r="H16" s="38">
        <f t="shared" si="8"/>
        <v>60</v>
      </c>
      <c r="I16" s="39">
        <f t="shared" si="8"/>
        <v>0</v>
      </c>
      <c r="J16" s="38">
        <f t="shared" si="8"/>
        <v>725</v>
      </c>
      <c r="K16" s="39">
        <f t="shared" si="8"/>
        <v>0</v>
      </c>
      <c r="L16" s="38">
        <f t="shared" si="8"/>
        <v>2041</v>
      </c>
      <c r="M16" s="39">
        <f t="shared" si="8"/>
        <v>0</v>
      </c>
      <c r="N16" s="38">
        <f>SUM(N9:N13)</f>
        <v>243</v>
      </c>
      <c r="O16" s="38">
        <f t="shared" si="8"/>
        <v>2579</v>
      </c>
      <c r="P16" s="39">
        <f t="shared" si="8"/>
        <v>0</v>
      </c>
      <c r="Q16" s="38">
        <f t="shared" si="8"/>
        <v>0</v>
      </c>
      <c r="R16" s="39">
        <f t="shared" si="8"/>
        <v>0</v>
      </c>
      <c r="S16" s="40">
        <f t="shared" si="8"/>
        <v>2220</v>
      </c>
      <c r="T16" s="189">
        <f>SUM(T9:T15)</f>
        <v>56477712</v>
      </c>
      <c r="U16" s="162">
        <f>SUM(U9:U15)</f>
        <v>758</v>
      </c>
      <c r="V16" s="41">
        <f>SUM(V9:V15)</f>
        <v>11820252</v>
      </c>
      <c r="W16" s="56"/>
      <c r="Z16" s="168">
        <f t="shared" si="2"/>
        <v>0</v>
      </c>
      <c r="AB16" s="168">
        <f t="shared" si="3"/>
        <v>0</v>
      </c>
    </row>
    <row r="17" spans="1:31" ht="22.2" customHeight="1" x14ac:dyDescent="0.3">
      <c r="A17" s="11">
        <v>11</v>
      </c>
      <c r="B17" s="12" t="s">
        <v>16</v>
      </c>
      <c r="C17" s="259" t="s">
        <v>260</v>
      </c>
      <c r="D17" s="206">
        <f>580+121</f>
        <v>701</v>
      </c>
      <c r="E17" s="16"/>
      <c r="F17" s="200">
        <v>400</v>
      </c>
      <c r="G17" s="213"/>
      <c r="H17" s="200">
        <v>0</v>
      </c>
      <c r="I17" s="16"/>
      <c r="J17" s="206">
        <f>300+692+453</f>
        <v>1445</v>
      </c>
      <c r="K17" s="16"/>
      <c r="L17" s="217">
        <f>187+334</f>
        <v>521</v>
      </c>
      <c r="M17" s="16"/>
      <c r="N17" s="200">
        <v>0</v>
      </c>
      <c r="O17" s="217">
        <v>500</v>
      </c>
      <c r="P17" s="16"/>
      <c r="Q17" s="15"/>
      <c r="R17" s="16"/>
      <c r="S17" s="200">
        <v>437</v>
      </c>
      <c r="T17" s="186">
        <f>Z17</f>
        <v>11284777</v>
      </c>
      <c r="U17" s="226">
        <v>0</v>
      </c>
      <c r="V17" s="18">
        <f t="shared" ref="V17:V18" si="9">AB17</f>
        <v>0</v>
      </c>
      <c r="W17" s="131"/>
      <c r="Y17" s="168">
        <f>13813463-384578</f>
        <v>13428885</v>
      </c>
      <c r="Z17" s="168">
        <f t="shared" si="2"/>
        <v>11284777</v>
      </c>
      <c r="AB17" s="168">
        <f t="shared" si="3"/>
        <v>0</v>
      </c>
    </row>
    <row r="18" spans="1:31" ht="24" customHeight="1" x14ac:dyDescent="0.3">
      <c r="A18" s="20">
        <v>12</v>
      </c>
      <c r="B18" s="21" t="s">
        <v>17</v>
      </c>
      <c r="C18" s="252" t="s">
        <v>260</v>
      </c>
      <c r="D18" s="217">
        <f>381+206</f>
        <v>587</v>
      </c>
      <c r="E18" s="23"/>
      <c r="F18" s="199">
        <f>571+256</f>
        <v>827</v>
      </c>
      <c r="G18" s="23"/>
      <c r="H18" s="200">
        <v>0</v>
      </c>
      <c r="I18" s="23"/>
      <c r="J18" s="199">
        <v>600</v>
      </c>
      <c r="K18" s="23"/>
      <c r="L18" s="200">
        <v>172</v>
      </c>
      <c r="M18" s="23"/>
      <c r="N18" s="200">
        <v>0</v>
      </c>
      <c r="O18" s="200">
        <f>197+63+13+187</f>
        <v>460</v>
      </c>
      <c r="P18" s="23"/>
      <c r="Q18" s="25"/>
      <c r="R18" s="23"/>
      <c r="S18" s="235">
        <v>605</v>
      </c>
      <c r="T18" s="186">
        <f t="shared" ref="T18:T20" si="10">Z18</f>
        <v>15818921</v>
      </c>
      <c r="U18" s="216">
        <v>0</v>
      </c>
      <c r="V18" s="27">
        <f t="shared" si="9"/>
        <v>0</v>
      </c>
      <c r="W18" s="128" t="s">
        <v>263</v>
      </c>
      <c r="Y18" s="168">
        <f>18899496-49990-24990</f>
        <v>18824516</v>
      </c>
      <c r="Z18" s="168">
        <f t="shared" si="2"/>
        <v>15818921</v>
      </c>
      <c r="AB18" s="168">
        <f t="shared" si="3"/>
        <v>0</v>
      </c>
    </row>
    <row r="19" spans="1:31" s="137" customFormat="1" ht="24" x14ac:dyDescent="0.3">
      <c r="A19" s="20">
        <v>13</v>
      </c>
      <c r="B19" s="21" t="s">
        <v>17</v>
      </c>
      <c r="C19" s="252" t="s">
        <v>260</v>
      </c>
      <c r="D19" s="217">
        <v>544</v>
      </c>
      <c r="E19" s="160"/>
      <c r="F19" s="200">
        <v>350</v>
      </c>
      <c r="G19" s="160"/>
      <c r="H19" s="200">
        <v>0</v>
      </c>
      <c r="I19" s="160"/>
      <c r="J19" s="200">
        <v>0</v>
      </c>
      <c r="K19" s="160"/>
      <c r="L19" s="199">
        <v>748</v>
      </c>
      <c r="M19" s="160"/>
      <c r="N19" s="200">
        <v>0</v>
      </c>
      <c r="O19" s="217">
        <v>506</v>
      </c>
      <c r="P19" s="160"/>
      <c r="Q19" s="159"/>
      <c r="R19" s="160"/>
      <c r="S19" s="200">
        <v>203</v>
      </c>
      <c r="T19" s="186">
        <f t="shared" si="10"/>
        <v>5126270</v>
      </c>
      <c r="U19" s="236">
        <v>0</v>
      </c>
      <c r="V19" s="237"/>
      <c r="W19" s="128" t="s">
        <v>264</v>
      </c>
      <c r="Y19" s="198">
        <v>6100261</v>
      </c>
      <c r="Z19" s="168">
        <f t="shared" si="2"/>
        <v>5126270</v>
      </c>
      <c r="AA19" s="184"/>
      <c r="AB19" s="168">
        <f t="shared" si="3"/>
        <v>0</v>
      </c>
      <c r="AD19" s="184"/>
      <c r="AE19" s="184"/>
    </row>
    <row r="20" spans="1:31" ht="19.8" customHeight="1" x14ac:dyDescent="0.3">
      <c r="A20" s="20">
        <v>14</v>
      </c>
      <c r="B20" s="21" t="s">
        <v>18</v>
      </c>
      <c r="C20" s="252" t="s">
        <v>260</v>
      </c>
      <c r="D20" s="217">
        <v>562</v>
      </c>
      <c r="E20" s="23"/>
      <c r="F20" s="200">
        <v>260</v>
      </c>
      <c r="G20" s="23"/>
      <c r="H20" s="200">
        <v>0</v>
      </c>
      <c r="I20" s="23"/>
      <c r="J20" s="200">
        <v>0</v>
      </c>
      <c r="K20" s="23"/>
      <c r="L20" s="199">
        <v>725</v>
      </c>
      <c r="M20" s="23"/>
      <c r="N20" s="200">
        <v>0</v>
      </c>
      <c r="O20" s="200">
        <v>402</v>
      </c>
      <c r="P20" s="23"/>
      <c r="Q20" s="25"/>
      <c r="R20" s="23"/>
      <c r="S20" s="200">
        <v>217</v>
      </c>
      <c r="T20" s="186">
        <f t="shared" si="10"/>
        <v>6067254</v>
      </c>
      <c r="U20" s="216">
        <v>49</v>
      </c>
      <c r="V20" s="27">
        <f t="shared" ref="V20:V23" si="11">AB20</f>
        <v>1004598</v>
      </c>
      <c r="W20" s="28"/>
      <c r="Y20" s="168">
        <f>7881459-(661427)</f>
        <v>7220032</v>
      </c>
      <c r="Z20" s="168">
        <f t="shared" si="2"/>
        <v>6067254</v>
      </c>
      <c r="AA20" s="168">
        <f>802929+392543</f>
        <v>1195472</v>
      </c>
      <c r="AB20" s="168">
        <f t="shared" si="3"/>
        <v>1004598</v>
      </c>
    </row>
    <row r="21" spans="1:31" s="137" customFormat="1" ht="15.6" customHeight="1" x14ac:dyDescent="0.3">
      <c r="A21" s="33">
        <v>15</v>
      </c>
      <c r="B21" s="34" t="s">
        <v>19</v>
      </c>
      <c r="C21" s="253" t="s">
        <v>261</v>
      </c>
      <c r="D21" s="35" t="s">
        <v>36</v>
      </c>
      <c r="E21" s="31" t="s">
        <v>36</v>
      </c>
      <c r="F21" s="35" t="s">
        <v>36</v>
      </c>
      <c r="G21" s="31" t="s">
        <v>36</v>
      </c>
      <c r="H21" s="35" t="s">
        <v>36</v>
      </c>
      <c r="I21" s="31" t="s">
        <v>36</v>
      </c>
      <c r="J21" s="35" t="s">
        <v>36</v>
      </c>
      <c r="K21" s="31" t="s">
        <v>36</v>
      </c>
      <c r="L21" s="35" t="s">
        <v>36</v>
      </c>
      <c r="M21" s="31" t="s">
        <v>36</v>
      </c>
      <c r="N21" s="35" t="s">
        <v>36</v>
      </c>
      <c r="O21" s="35" t="s">
        <v>36</v>
      </c>
      <c r="P21" s="31" t="s">
        <v>36</v>
      </c>
      <c r="Q21" s="35" t="s">
        <v>36</v>
      </c>
      <c r="R21" s="31" t="s">
        <v>36</v>
      </c>
      <c r="S21" s="59" t="s">
        <v>36</v>
      </c>
      <c r="T21" s="191" t="s">
        <v>36</v>
      </c>
      <c r="U21" s="59" t="s">
        <v>36</v>
      </c>
      <c r="V21" s="151" t="s">
        <v>36</v>
      </c>
      <c r="W21" s="180"/>
      <c r="Y21" s="198"/>
      <c r="Z21" s="168">
        <f t="shared" si="2"/>
        <v>0</v>
      </c>
      <c r="AA21" s="198"/>
      <c r="AB21" s="168">
        <f t="shared" si="3"/>
        <v>0</v>
      </c>
      <c r="AD21" s="184"/>
      <c r="AE21" s="184"/>
    </row>
    <row r="22" spans="1:31" ht="15.6" customHeight="1" x14ac:dyDescent="0.3">
      <c r="A22" s="33">
        <v>16</v>
      </c>
      <c r="B22" s="34" t="s">
        <v>20</v>
      </c>
      <c r="C22" s="253" t="s">
        <v>261</v>
      </c>
      <c r="D22" s="35"/>
      <c r="E22" s="31"/>
      <c r="F22" s="35"/>
      <c r="G22" s="31"/>
      <c r="H22" s="35"/>
      <c r="I22" s="31"/>
      <c r="J22" s="35"/>
      <c r="K22" s="31"/>
      <c r="L22" s="35"/>
      <c r="M22" s="31"/>
      <c r="N22" s="35"/>
      <c r="O22" s="35"/>
      <c r="P22" s="31"/>
      <c r="Q22" s="35"/>
      <c r="R22" s="31"/>
      <c r="S22" s="59"/>
      <c r="T22" s="188">
        <f t="shared" ref="T22:T23" si="12">Z22</f>
        <v>0</v>
      </c>
      <c r="U22" s="59">
        <v>0</v>
      </c>
      <c r="V22" s="37">
        <f t="shared" si="11"/>
        <v>0</v>
      </c>
      <c r="W22" s="128"/>
      <c r="Z22" s="168">
        <f t="shared" si="2"/>
        <v>0</v>
      </c>
      <c r="AB22" s="168">
        <f t="shared" si="3"/>
        <v>0</v>
      </c>
    </row>
    <row r="23" spans="1:31" ht="15.6" customHeight="1" x14ac:dyDescent="0.3">
      <c r="A23" s="44">
        <v>17</v>
      </c>
      <c r="B23" s="45" t="s">
        <v>21</v>
      </c>
      <c r="C23" s="255" t="s">
        <v>261</v>
      </c>
      <c r="D23" s="22"/>
      <c r="E23" s="24"/>
      <c r="F23" s="22"/>
      <c r="G23" s="24"/>
      <c r="H23" s="22"/>
      <c r="I23" s="24"/>
      <c r="J23" s="22"/>
      <c r="K23" s="24"/>
      <c r="L23" s="25"/>
      <c r="M23" s="23"/>
      <c r="N23" s="25"/>
      <c r="O23" s="25"/>
      <c r="P23" s="23"/>
      <c r="Q23" s="25"/>
      <c r="R23" s="23"/>
      <c r="S23" s="216"/>
      <c r="T23" s="187">
        <f t="shared" si="12"/>
        <v>0</v>
      </c>
      <c r="U23" s="216">
        <v>0</v>
      </c>
      <c r="V23" s="27">
        <f t="shared" si="11"/>
        <v>0</v>
      </c>
      <c r="W23" s="32"/>
      <c r="Z23" s="168">
        <f t="shared" si="2"/>
        <v>0</v>
      </c>
      <c r="AB23" s="168">
        <f t="shared" si="3"/>
        <v>0</v>
      </c>
    </row>
    <row r="24" spans="1:31" ht="20.399999999999999" customHeight="1" thickBot="1" x14ac:dyDescent="0.35">
      <c r="A24" s="485" t="s">
        <v>235</v>
      </c>
      <c r="B24" s="503"/>
      <c r="C24" s="256"/>
      <c r="D24" s="38">
        <f>SUM(D17:D23)</f>
        <v>2394</v>
      </c>
      <c r="E24" s="39">
        <f t="shared" ref="E24:S24" si="13">SUM(E17:E23)</f>
        <v>0</v>
      </c>
      <c r="F24" s="38">
        <f t="shared" si="13"/>
        <v>1837</v>
      </c>
      <c r="G24" s="39">
        <f t="shared" si="13"/>
        <v>0</v>
      </c>
      <c r="H24" s="38">
        <f t="shared" si="13"/>
        <v>0</v>
      </c>
      <c r="I24" s="39">
        <f t="shared" si="13"/>
        <v>0</v>
      </c>
      <c r="J24" s="38">
        <f t="shared" si="13"/>
        <v>2045</v>
      </c>
      <c r="K24" s="39">
        <f t="shared" si="13"/>
        <v>0</v>
      </c>
      <c r="L24" s="38">
        <f t="shared" si="13"/>
        <v>2166</v>
      </c>
      <c r="M24" s="39">
        <f t="shared" si="13"/>
        <v>0</v>
      </c>
      <c r="N24" s="38">
        <f>SUM(N17:N18,N20:N21)</f>
        <v>0</v>
      </c>
      <c r="O24" s="38">
        <f t="shared" si="13"/>
        <v>1868</v>
      </c>
      <c r="P24" s="39">
        <f t="shared" si="13"/>
        <v>0</v>
      </c>
      <c r="Q24" s="38">
        <f t="shared" si="13"/>
        <v>0</v>
      </c>
      <c r="R24" s="39">
        <f t="shared" si="13"/>
        <v>0</v>
      </c>
      <c r="S24" s="162">
        <f t="shared" si="13"/>
        <v>1462</v>
      </c>
      <c r="T24" s="189">
        <f>SUM(T17:T23)</f>
        <v>38297222</v>
      </c>
      <c r="U24" s="162">
        <f>SUM(U17:U23)</f>
        <v>49</v>
      </c>
      <c r="V24" s="41">
        <f>SUM(V17:V20)</f>
        <v>1004598</v>
      </c>
      <c r="W24" s="56"/>
      <c r="Z24" s="168">
        <f t="shared" si="2"/>
        <v>0</v>
      </c>
      <c r="AB24" s="168">
        <f t="shared" si="3"/>
        <v>0</v>
      </c>
    </row>
    <row r="25" spans="1:31" ht="36" x14ac:dyDescent="0.3">
      <c r="A25" s="11">
        <v>18</v>
      </c>
      <c r="B25" s="12" t="s">
        <v>16</v>
      </c>
      <c r="C25" s="259" t="s">
        <v>260</v>
      </c>
      <c r="D25" s="200">
        <v>0</v>
      </c>
      <c r="E25" s="213"/>
      <c r="F25" s="200">
        <v>291</v>
      </c>
      <c r="G25" s="213">
        <v>2</v>
      </c>
      <c r="H25" s="206">
        <v>701</v>
      </c>
      <c r="I25" s="213"/>
      <c r="J25" s="206">
        <v>933</v>
      </c>
      <c r="K25" s="213"/>
      <c r="L25" s="206">
        <v>610</v>
      </c>
      <c r="M25" s="213"/>
      <c r="N25" s="174"/>
      <c r="O25" s="200">
        <v>0</v>
      </c>
      <c r="P25" s="213"/>
      <c r="Q25" s="181"/>
      <c r="R25" s="213"/>
      <c r="S25" s="200">
        <v>334</v>
      </c>
      <c r="T25" s="186">
        <v>8514090</v>
      </c>
      <c r="U25" s="233"/>
      <c r="V25" s="18">
        <f t="shared" ref="V25:V31" si="14">AB25</f>
        <v>0</v>
      </c>
      <c r="W25" s="260" t="s">
        <v>265</v>
      </c>
      <c r="Z25" s="168">
        <f t="shared" si="2"/>
        <v>0</v>
      </c>
      <c r="AB25" s="168">
        <f t="shared" si="3"/>
        <v>0</v>
      </c>
    </row>
    <row r="26" spans="1:31" ht="19.8" customHeight="1" x14ac:dyDescent="0.3">
      <c r="A26" s="20">
        <v>19</v>
      </c>
      <c r="B26" s="21" t="s">
        <v>17</v>
      </c>
      <c r="C26" s="252" t="s">
        <v>260</v>
      </c>
      <c r="D26" s="206">
        <v>824</v>
      </c>
      <c r="E26" s="175"/>
      <c r="F26" s="200">
        <v>350</v>
      </c>
      <c r="G26" s="175"/>
      <c r="H26" s="200">
        <v>0</v>
      </c>
      <c r="I26" s="175"/>
      <c r="J26" s="200">
        <v>0</v>
      </c>
      <c r="K26" s="175"/>
      <c r="L26" s="200">
        <v>451</v>
      </c>
      <c r="M26" s="175">
        <v>4</v>
      </c>
      <c r="N26" s="174"/>
      <c r="O26" s="200">
        <v>320</v>
      </c>
      <c r="P26" s="175"/>
      <c r="Q26" s="174"/>
      <c r="R26" s="175"/>
      <c r="S26" s="200">
        <v>52</v>
      </c>
      <c r="T26" s="187">
        <v>600631</v>
      </c>
      <c r="U26" s="174"/>
      <c r="V26" s="27">
        <f t="shared" si="14"/>
        <v>0</v>
      </c>
      <c r="W26" s="132"/>
      <c r="Z26" s="168">
        <f t="shared" si="2"/>
        <v>0</v>
      </c>
      <c r="AB26" s="168">
        <f t="shared" si="3"/>
        <v>0</v>
      </c>
    </row>
    <row r="27" spans="1:31" s="177" customFormat="1" ht="18.600000000000001" customHeight="1" x14ac:dyDescent="0.3">
      <c r="A27" s="29">
        <v>20</v>
      </c>
      <c r="B27" s="30" t="s">
        <v>17</v>
      </c>
      <c r="C27" s="261" t="s">
        <v>260</v>
      </c>
      <c r="D27" s="200">
        <v>260</v>
      </c>
      <c r="E27" s="175"/>
      <c r="F27" s="200">
        <f>260+100</f>
        <v>360</v>
      </c>
      <c r="G27" s="175"/>
      <c r="H27" s="200">
        <v>0</v>
      </c>
      <c r="I27" s="175"/>
      <c r="J27" s="200">
        <v>0</v>
      </c>
      <c r="K27" s="175"/>
      <c r="L27" s="200">
        <v>451</v>
      </c>
      <c r="M27" s="175">
        <v>2</v>
      </c>
      <c r="N27" s="174"/>
      <c r="O27" s="217">
        <v>524</v>
      </c>
      <c r="P27" s="175"/>
      <c r="Q27" s="174"/>
      <c r="R27" s="175"/>
      <c r="S27" s="217">
        <v>583</v>
      </c>
      <c r="T27" s="187">
        <v>14793370</v>
      </c>
      <c r="U27" s="174"/>
      <c r="V27" s="27">
        <f t="shared" si="14"/>
        <v>0</v>
      </c>
      <c r="W27" s="176"/>
      <c r="Y27" s="198"/>
      <c r="Z27" s="168">
        <f t="shared" si="2"/>
        <v>0</v>
      </c>
      <c r="AA27" s="198"/>
      <c r="AB27" s="168">
        <f t="shared" si="3"/>
        <v>0</v>
      </c>
      <c r="AD27" s="198"/>
      <c r="AE27" s="198"/>
    </row>
    <row r="28" spans="1:31" ht="15.6" customHeight="1" x14ac:dyDescent="0.3">
      <c r="A28" s="20">
        <v>21</v>
      </c>
      <c r="B28" s="21" t="s">
        <v>18</v>
      </c>
      <c r="C28" s="252" t="s">
        <v>260</v>
      </c>
      <c r="D28" s="200">
        <v>236</v>
      </c>
      <c r="E28" s="175">
        <v>1</v>
      </c>
      <c r="F28" s="200">
        <v>351</v>
      </c>
      <c r="G28" s="175">
        <v>4</v>
      </c>
      <c r="H28" s="200">
        <v>0</v>
      </c>
      <c r="I28" s="23"/>
      <c r="J28" s="206">
        <v>1556</v>
      </c>
      <c r="K28" s="23"/>
      <c r="L28" s="200">
        <v>411</v>
      </c>
      <c r="M28" s="23"/>
      <c r="N28" s="174"/>
      <c r="O28" s="200">
        <v>365</v>
      </c>
      <c r="P28" s="23"/>
      <c r="Q28" s="25"/>
      <c r="R28" s="23"/>
      <c r="S28" s="200">
        <v>491</v>
      </c>
      <c r="T28" s="187">
        <v>12420010</v>
      </c>
      <c r="U28" s="216"/>
      <c r="V28" s="27">
        <f t="shared" si="14"/>
        <v>0</v>
      </c>
      <c r="W28" s="134"/>
      <c r="Z28" s="168">
        <f t="shared" si="2"/>
        <v>0</v>
      </c>
      <c r="AB28" s="168">
        <f t="shared" si="3"/>
        <v>0</v>
      </c>
    </row>
    <row r="29" spans="1:31" ht="15.6" customHeight="1" x14ac:dyDescent="0.3">
      <c r="A29" s="20">
        <v>22</v>
      </c>
      <c r="B29" s="21" t="s">
        <v>19</v>
      </c>
      <c r="C29" s="252" t="s">
        <v>260</v>
      </c>
      <c r="D29" s="206">
        <v>642</v>
      </c>
      <c r="E29" s="23"/>
      <c r="F29" s="200">
        <v>280</v>
      </c>
      <c r="G29" s="175"/>
      <c r="H29" s="200">
        <v>0</v>
      </c>
      <c r="I29" s="23"/>
      <c r="J29" s="206">
        <v>701</v>
      </c>
      <c r="K29" s="23"/>
      <c r="L29" s="199">
        <v>642</v>
      </c>
      <c r="M29" s="23"/>
      <c r="N29" s="174"/>
      <c r="O29" s="200">
        <v>378</v>
      </c>
      <c r="P29" s="23"/>
      <c r="Q29" s="25"/>
      <c r="R29" s="23"/>
      <c r="S29" s="200">
        <v>466</v>
      </c>
      <c r="T29" s="187">
        <v>11874114</v>
      </c>
      <c r="U29" s="216"/>
      <c r="V29" s="27">
        <f t="shared" si="14"/>
        <v>0</v>
      </c>
      <c r="W29" s="134"/>
      <c r="Z29" s="168">
        <f t="shared" si="2"/>
        <v>0</v>
      </c>
      <c r="AB29" s="168">
        <f t="shared" si="3"/>
        <v>0</v>
      </c>
    </row>
    <row r="30" spans="1:31" ht="15.6" customHeight="1" x14ac:dyDescent="0.3">
      <c r="A30" s="33">
        <v>23</v>
      </c>
      <c r="B30" s="34" t="s">
        <v>20</v>
      </c>
      <c r="C30" s="253" t="s">
        <v>261</v>
      </c>
      <c r="D30" s="35"/>
      <c r="E30" s="31"/>
      <c r="F30" s="35"/>
      <c r="G30" s="31"/>
      <c r="H30" s="35"/>
      <c r="I30" s="31"/>
      <c r="J30" s="35"/>
      <c r="K30" s="31"/>
      <c r="L30" s="199">
        <v>351</v>
      </c>
      <c r="M30" s="31"/>
      <c r="N30" s="35"/>
      <c r="O30" s="174"/>
      <c r="P30" s="31"/>
      <c r="Q30" s="35"/>
      <c r="R30" s="31"/>
      <c r="S30" s="59"/>
      <c r="T30" s="234">
        <f t="shared" ref="T30:T31" si="15">Z30</f>
        <v>0</v>
      </c>
      <c r="U30" s="59"/>
      <c r="V30" s="166">
        <f t="shared" si="14"/>
        <v>0</v>
      </c>
      <c r="W30" s="32"/>
      <c r="Z30" s="168">
        <f t="shared" si="2"/>
        <v>0</v>
      </c>
      <c r="AB30" s="168">
        <f t="shared" si="3"/>
        <v>0</v>
      </c>
    </row>
    <row r="31" spans="1:31" ht="15.6" customHeight="1" x14ac:dyDescent="0.3">
      <c r="A31" s="44">
        <v>24</v>
      </c>
      <c r="B31" s="45" t="s">
        <v>21</v>
      </c>
      <c r="C31" s="255" t="s">
        <v>261</v>
      </c>
      <c r="D31" s="22"/>
      <c r="E31" s="24"/>
      <c r="F31" s="22"/>
      <c r="G31" s="24"/>
      <c r="H31" s="22"/>
      <c r="I31" s="24"/>
      <c r="J31" s="22"/>
      <c r="K31" s="24"/>
      <c r="L31" s="25"/>
      <c r="M31" s="23"/>
      <c r="N31" s="25"/>
      <c r="O31" s="25"/>
      <c r="P31" s="23"/>
      <c r="Q31" s="25"/>
      <c r="R31" s="23"/>
      <c r="S31" s="216"/>
      <c r="T31" s="187">
        <f t="shared" si="15"/>
        <v>0</v>
      </c>
      <c r="U31" s="216"/>
      <c r="V31" s="27">
        <f t="shared" si="14"/>
        <v>0</v>
      </c>
      <c r="W31" s="32"/>
      <c r="Z31" s="168">
        <f t="shared" si="2"/>
        <v>0</v>
      </c>
      <c r="AB31" s="168">
        <f t="shared" si="3"/>
        <v>0</v>
      </c>
    </row>
    <row r="32" spans="1:31" ht="19.2" customHeight="1" thickBot="1" x14ac:dyDescent="0.35">
      <c r="A32" s="485" t="s">
        <v>234</v>
      </c>
      <c r="B32" s="503"/>
      <c r="C32" s="256"/>
      <c r="D32" s="38">
        <f t="shared" ref="D32:T32" si="16">SUM(D25:D31)</f>
        <v>1962</v>
      </c>
      <c r="E32" s="39">
        <f t="shared" si="16"/>
        <v>1</v>
      </c>
      <c r="F32" s="38">
        <f t="shared" si="16"/>
        <v>1632</v>
      </c>
      <c r="G32" s="39">
        <f t="shared" si="16"/>
        <v>6</v>
      </c>
      <c r="H32" s="38">
        <f t="shared" si="16"/>
        <v>701</v>
      </c>
      <c r="I32" s="39">
        <f t="shared" si="16"/>
        <v>0</v>
      </c>
      <c r="J32" s="38">
        <f t="shared" si="16"/>
        <v>3190</v>
      </c>
      <c r="K32" s="39">
        <f t="shared" si="16"/>
        <v>0</v>
      </c>
      <c r="L32" s="38">
        <f t="shared" si="16"/>
        <v>2916</v>
      </c>
      <c r="M32" s="39">
        <f t="shared" si="16"/>
        <v>6</v>
      </c>
      <c r="N32" s="38">
        <f>SUM(N25:N29)</f>
        <v>0</v>
      </c>
      <c r="O32" s="38">
        <f t="shared" si="16"/>
        <v>1587</v>
      </c>
      <c r="P32" s="39">
        <f t="shared" si="16"/>
        <v>0</v>
      </c>
      <c r="Q32" s="38">
        <f t="shared" si="16"/>
        <v>0</v>
      </c>
      <c r="R32" s="39">
        <f t="shared" si="16"/>
        <v>0</v>
      </c>
      <c r="S32" s="162">
        <f t="shared" si="16"/>
        <v>1926</v>
      </c>
      <c r="T32" s="189">
        <f t="shared" si="16"/>
        <v>48202215</v>
      </c>
      <c r="U32" s="162">
        <f>SUM(U25:U31)</f>
        <v>0</v>
      </c>
      <c r="V32" s="41">
        <f>SUM(V25:V31)</f>
        <v>0</v>
      </c>
      <c r="W32" s="64"/>
      <c r="Z32" s="168">
        <f t="shared" si="2"/>
        <v>0</v>
      </c>
      <c r="AB32" s="168">
        <f t="shared" si="3"/>
        <v>0</v>
      </c>
    </row>
    <row r="33" spans="1:31" ht="36" x14ac:dyDescent="0.3">
      <c r="A33" s="11">
        <v>25</v>
      </c>
      <c r="B33" s="12" t="s">
        <v>16</v>
      </c>
      <c r="C33" s="259" t="s">
        <v>260</v>
      </c>
      <c r="D33" s="200">
        <v>15</v>
      </c>
      <c r="E33" s="16"/>
      <c r="F33" s="200">
        <v>102</v>
      </c>
      <c r="G33" s="213">
        <v>2</v>
      </c>
      <c r="H33" s="200">
        <v>0</v>
      </c>
      <c r="I33" s="16"/>
      <c r="J33" s="200">
        <v>0</v>
      </c>
      <c r="K33" s="16"/>
      <c r="L33" s="199">
        <v>921</v>
      </c>
      <c r="M33" s="16"/>
      <c r="N33" s="174"/>
      <c r="O33" s="206">
        <v>630</v>
      </c>
      <c r="P33" s="16"/>
      <c r="Q33" s="15"/>
      <c r="R33" s="16"/>
      <c r="S33" s="200">
        <v>168</v>
      </c>
      <c r="T33" s="186">
        <v>4224243</v>
      </c>
      <c r="U33" s="233"/>
      <c r="V33" s="18">
        <f t="shared" ref="V33:V36" si="17">AB33</f>
        <v>0</v>
      </c>
      <c r="W33" s="260" t="s">
        <v>266</v>
      </c>
      <c r="Z33" s="168">
        <f t="shared" si="2"/>
        <v>0</v>
      </c>
      <c r="AB33" s="168">
        <f t="shared" si="3"/>
        <v>0</v>
      </c>
    </row>
    <row r="34" spans="1:31" ht="15.6" customHeight="1" x14ac:dyDescent="0.3">
      <c r="A34" s="20">
        <v>26</v>
      </c>
      <c r="B34" s="21" t="s">
        <v>17</v>
      </c>
      <c r="C34" s="252" t="s">
        <v>260</v>
      </c>
      <c r="D34" s="199">
        <v>629</v>
      </c>
      <c r="E34" s="175"/>
      <c r="F34" s="200">
        <v>412</v>
      </c>
      <c r="G34" s="16"/>
      <c r="H34" s="200">
        <v>0</v>
      </c>
      <c r="I34" s="23"/>
      <c r="J34" s="199">
        <v>1482</v>
      </c>
      <c r="K34" s="23"/>
      <c r="L34" s="199">
        <v>710</v>
      </c>
      <c r="M34" s="23"/>
      <c r="N34" s="174"/>
      <c r="O34" s="199">
        <v>671</v>
      </c>
      <c r="P34" s="23"/>
      <c r="Q34" s="25"/>
      <c r="R34" s="23"/>
      <c r="S34" s="240">
        <v>598</v>
      </c>
      <c r="T34" s="187">
        <v>15418231</v>
      </c>
      <c r="U34" s="174">
        <v>224</v>
      </c>
      <c r="V34" s="27">
        <v>16683996</v>
      </c>
      <c r="W34" s="132"/>
      <c r="Z34" s="168">
        <f t="shared" si="2"/>
        <v>0</v>
      </c>
      <c r="AB34" s="168">
        <f t="shared" si="3"/>
        <v>0</v>
      </c>
    </row>
    <row r="35" spans="1:31" s="177" customFormat="1" x14ac:dyDescent="0.3">
      <c r="A35" s="29">
        <v>27</v>
      </c>
      <c r="B35" s="30" t="s">
        <v>17</v>
      </c>
      <c r="C35" s="261" t="s">
        <v>260</v>
      </c>
      <c r="D35" s="199">
        <v>600</v>
      </c>
      <c r="E35" s="23"/>
      <c r="F35" s="200">
        <v>401</v>
      </c>
      <c r="G35" s="23">
        <v>4</v>
      </c>
      <c r="H35" s="200">
        <v>0</v>
      </c>
      <c r="I35" s="175"/>
      <c r="J35" s="200">
        <v>0</v>
      </c>
      <c r="K35" s="175"/>
      <c r="L35" s="199">
        <v>672</v>
      </c>
      <c r="M35" s="175"/>
      <c r="N35" s="174"/>
      <c r="O35" s="240">
        <v>525</v>
      </c>
      <c r="P35" s="175"/>
      <c r="Q35" s="174"/>
      <c r="R35" s="175"/>
      <c r="S35" s="200">
        <v>445</v>
      </c>
      <c r="T35" s="187">
        <v>11781051</v>
      </c>
      <c r="U35" s="174"/>
      <c r="V35" s="27">
        <f t="shared" si="17"/>
        <v>0</v>
      </c>
      <c r="W35" s="176"/>
      <c r="Y35" s="198"/>
      <c r="Z35" s="168">
        <f t="shared" si="2"/>
        <v>0</v>
      </c>
      <c r="AA35" s="198"/>
      <c r="AB35" s="168">
        <f t="shared" si="3"/>
        <v>0</v>
      </c>
      <c r="AD35" s="198"/>
      <c r="AE35" s="198"/>
    </row>
    <row r="36" spans="1:31" ht="15.6" customHeight="1" x14ac:dyDescent="0.3">
      <c r="A36" s="20">
        <v>28</v>
      </c>
      <c r="B36" s="21" t="s">
        <v>18</v>
      </c>
      <c r="C36" s="252" t="s">
        <v>260</v>
      </c>
      <c r="D36" s="199">
        <v>668</v>
      </c>
      <c r="E36" s="23"/>
      <c r="F36" s="200">
        <v>324</v>
      </c>
      <c r="G36" s="23"/>
      <c r="H36" s="200">
        <v>0</v>
      </c>
      <c r="I36" s="23"/>
      <c r="J36" s="200">
        <v>10</v>
      </c>
      <c r="K36" s="23"/>
      <c r="L36" s="240">
        <v>581</v>
      </c>
      <c r="M36" s="23"/>
      <c r="N36" s="174"/>
      <c r="O36" s="240">
        <v>586</v>
      </c>
      <c r="P36" s="23"/>
      <c r="Q36" s="25"/>
      <c r="R36" s="23"/>
      <c r="S36" s="200">
        <v>335</v>
      </c>
      <c r="T36" s="187">
        <v>8196949</v>
      </c>
      <c r="U36" s="216"/>
      <c r="V36" s="27">
        <f t="shared" si="17"/>
        <v>0</v>
      </c>
      <c r="W36" s="134"/>
      <c r="Z36" s="168">
        <f t="shared" si="2"/>
        <v>0</v>
      </c>
      <c r="AB36" s="168">
        <f t="shared" si="3"/>
        <v>0</v>
      </c>
    </row>
    <row r="37" spans="1:31" ht="15.6" customHeight="1" x14ac:dyDescent="0.3">
      <c r="A37" s="20">
        <v>29</v>
      </c>
      <c r="B37" s="21" t="s">
        <v>19</v>
      </c>
      <c r="C37" s="252" t="s">
        <v>260</v>
      </c>
      <c r="D37" s="200">
        <v>282</v>
      </c>
      <c r="E37" s="23"/>
      <c r="F37" s="200">
        <v>420</v>
      </c>
      <c r="G37" s="23"/>
      <c r="H37" s="200">
        <v>0</v>
      </c>
      <c r="I37" s="23"/>
      <c r="J37" s="200">
        <v>2</v>
      </c>
      <c r="K37" s="23"/>
      <c r="L37" s="200">
        <v>376</v>
      </c>
      <c r="M37" s="23"/>
      <c r="N37" s="174"/>
      <c r="O37" s="200">
        <v>323</v>
      </c>
      <c r="P37" s="23"/>
      <c r="Q37" s="25"/>
      <c r="R37" s="23"/>
      <c r="S37" s="235">
        <v>1067</v>
      </c>
      <c r="T37" s="187">
        <v>26999297</v>
      </c>
      <c r="U37" s="216"/>
      <c r="V37" s="27"/>
      <c r="W37" s="134"/>
    </row>
    <row r="38" spans="1:31" ht="36" x14ac:dyDescent="0.3">
      <c r="A38" s="44">
        <v>30</v>
      </c>
      <c r="B38" s="45" t="s">
        <v>20</v>
      </c>
      <c r="C38" s="255" t="s">
        <v>261</v>
      </c>
      <c r="D38" s="159">
        <v>282</v>
      </c>
      <c r="E38" s="24"/>
      <c r="F38" s="22"/>
      <c r="G38" s="24"/>
      <c r="H38" s="22"/>
      <c r="I38" s="24"/>
      <c r="J38" s="22"/>
      <c r="K38" s="24"/>
      <c r="L38" s="25"/>
      <c r="M38" s="23"/>
      <c r="N38" s="25"/>
      <c r="O38" s="174">
        <v>350</v>
      </c>
      <c r="P38" s="23"/>
      <c r="Q38" s="25"/>
      <c r="R38" s="23"/>
      <c r="S38" s="216"/>
      <c r="T38" s="187"/>
      <c r="U38" s="216"/>
      <c r="V38" s="27"/>
      <c r="W38" s="128" t="s">
        <v>267</v>
      </c>
    </row>
    <row r="39" spans="1:31" ht="15.6" customHeight="1" x14ac:dyDescent="0.3">
      <c r="A39" s="33">
        <v>31</v>
      </c>
      <c r="B39" s="34" t="s">
        <v>21</v>
      </c>
      <c r="C39" s="253" t="s">
        <v>261</v>
      </c>
      <c r="D39" s="35"/>
      <c r="E39" s="31"/>
      <c r="F39" s="35"/>
      <c r="G39" s="31"/>
      <c r="H39" s="35"/>
      <c r="I39" s="31"/>
      <c r="J39" s="35"/>
      <c r="K39" s="31"/>
      <c r="L39" s="174"/>
      <c r="M39" s="31"/>
      <c r="N39" s="35"/>
      <c r="O39" s="174"/>
      <c r="P39" s="31"/>
      <c r="Q39" s="35"/>
      <c r="R39" s="31"/>
      <c r="S39" s="59"/>
      <c r="T39" s="234"/>
      <c r="U39" s="59"/>
      <c r="V39" s="166"/>
      <c r="W39" s="32"/>
    </row>
    <row r="40" spans="1:31" ht="15.6" customHeight="1" thickBot="1" x14ac:dyDescent="0.35">
      <c r="A40" s="485" t="s">
        <v>237</v>
      </c>
      <c r="B40" s="503"/>
      <c r="C40" s="256"/>
      <c r="D40" s="38">
        <f>SUM(D33:D39)</f>
        <v>2476</v>
      </c>
      <c r="E40" s="39">
        <f ca="1">SUM(E33:E40)</f>
        <v>0</v>
      </c>
      <c r="F40" s="38">
        <f t="shared" ref="F40:V40" si="18">SUM(F33:F39)</f>
        <v>1659</v>
      </c>
      <c r="G40" s="39">
        <f t="shared" si="18"/>
        <v>6</v>
      </c>
      <c r="H40" s="38">
        <f t="shared" si="18"/>
        <v>0</v>
      </c>
      <c r="I40" s="39">
        <f t="shared" si="18"/>
        <v>0</v>
      </c>
      <c r="J40" s="38">
        <f t="shared" si="18"/>
        <v>1494</v>
      </c>
      <c r="K40" s="39">
        <f t="shared" si="18"/>
        <v>0</v>
      </c>
      <c r="L40" s="38">
        <f t="shared" si="18"/>
        <v>3260</v>
      </c>
      <c r="M40" s="39">
        <f t="shared" si="18"/>
        <v>0</v>
      </c>
      <c r="N40" s="38">
        <f t="shared" si="18"/>
        <v>0</v>
      </c>
      <c r="O40" s="38">
        <f t="shared" si="18"/>
        <v>3085</v>
      </c>
      <c r="P40" s="39">
        <f t="shared" si="18"/>
        <v>0</v>
      </c>
      <c r="Q40" s="38">
        <f t="shared" si="18"/>
        <v>0</v>
      </c>
      <c r="R40" s="39">
        <f t="shared" si="18"/>
        <v>0</v>
      </c>
      <c r="S40" s="162">
        <f t="shared" si="18"/>
        <v>2613</v>
      </c>
      <c r="T40" s="189">
        <f t="shared" si="18"/>
        <v>66619771</v>
      </c>
      <c r="U40" s="162">
        <f t="shared" si="18"/>
        <v>224</v>
      </c>
      <c r="V40" s="41">
        <f t="shared" si="18"/>
        <v>16683996</v>
      </c>
      <c r="W40" s="64"/>
      <c r="Z40" s="168">
        <f t="shared" si="2"/>
        <v>0</v>
      </c>
      <c r="AB40" s="168">
        <f t="shared" si="3"/>
        <v>0</v>
      </c>
    </row>
    <row r="41" spans="1:31" ht="19.8" customHeight="1" x14ac:dyDescent="0.3">
      <c r="A41" s="501" t="s">
        <v>243</v>
      </c>
      <c r="B41" s="502"/>
      <c r="C41" s="248"/>
      <c r="D41" s="65">
        <f t="shared" ref="D41:M41" si="19">D8+D16+D24+D32+D40</f>
        <v>10626</v>
      </c>
      <c r="E41" s="66">
        <f t="shared" ca="1" si="19"/>
        <v>5</v>
      </c>
      <c r="F41" s="65">
        <f t="shared" si="19"/>
        <v>7378</v>
      </c>
      <c r="G41" s="66">
        <f t="shared" si="19"/>
        <v>18</v>
      </c>
      <c r="H41" s="65">
        <f t="shared" si="19"/>
        <v>761</v>
      </c>
      <c r="I41" s="66">
        <f t="shared" si="19"/>
        <v>0</v>
      </c>
      <c r="J41" s="65">
        <f t="shared" si="19"/>
        <v>7474</v>
      </c>
      <c r="K41" s="66">
        <f t="shared" si="19"/>
        <v>0</v>
      </c>
      <c r="L41" s="65">
        <f t="shared" si="19"/>
        <v>10892</v>
      </c>
      <c r="M41" s="66">
        <f t="shared" si="19"/>
        <v>6</v>
      </c>
      <c r="N41" s="65">
        <f>SUM(,N8,N16,N24,N32,N40)</f>
        <v>243</v>
      </c>
      <c r="O41" s="65">
        <f>+O8+O16+O24+O32+O40</f>
        <v>9236</v>
      </c>
      <c r="P41" s="66">
        <f>P8+P16+P24+P32+P40</f>
        <v>0</v>
      </c>
      <c r="Q41" s="65">
        <f>Q8+Q16+Q24+Q32+Q40</f>
        <v>0</v>
      </c>
      <c r="R41" s="66">
        <f>R8+R16+R24+R32+R40</f>
        <v>0</v>
      </c>
      <c r="S41" s="67">
        <f>S8+S16+S24+S32+S40</f>
        <v>8287</v>
      </c>
      <c r="T41" s="192">
        <f>T8+T16+T24+T32+T40</f>
        <v>211282260</v>
      </c>
      <c r="U41" s="220">
        <f>SUM(U8,U16,U24,U32,U40)</f>
        <v>1031</v>
      </c>
      <c r="V41" s="68">
        <f>SUM(V8+V16+V24)</f>
        <v>12824850</v>
      </c>
      <c r="W41" s="69" t="s">
        <v>29</v>
      </c>
    </row>
    <row r="42" spans="1:31" ht="18" customHeight="1" x14ac:dyDescent="0.3">
      <c r="A42" s="457" t="s">
        <v>30</v>
      </c>
      <c r="B42" s="488"/>
      <c r="C42" s="249"/>
      <c r="D42" s="70">
        <v>10000</v>
      </c>
      <c r="E42" s="71"/>
      <c r="F42" s="70">
        <v>6500</v>
      </c>
      <c r="G42" s="71"/>
      <c r="H42" s="70">
        <v>3500</v>
      </c>
      <c r="I42" s="71"/>
      <c r="J42" s="70">
        <v>10000</v>
      </c>
      <c r="K42" s="71"/>
      <c r="L42" s="70">
        <v>10000</v>
      </c>
      <c r="M42" s="71"/>
      <c r="N42" s="70"/>
      <c r="O42" s="70">
        <v>10000</v>
      </c>
      <c r="P42" s="71"/>
      <c r="Q42" s="70"/>
      <c r="R42" s="71">
        <v>0</v>
      </c>
      <c r="S42" s="70">
        <v>10000</v>
      </c>
      <c r="T42" s="193">
        <v>260000000</v>
      </c>
      <c r="U42" s="221"/>
      <c r="V42" s="72"/>
      <c r="W42" s="130">
        <v>4</v>
      </c>
    </row>
    <row r="43" spans="1:31" ht="15.6" customHeight="1" thickBot="1" x14ac:dyDescent="0.35">
      <c r="A43" s="497" t="s">
        <v>31</v>
      </c>
      <c r="B43" s="498"/>
      <c r="C43" s="250"/>
      <c r="D43" s="74">
        <f>D41-D42</f>
        <v>626</v>
      </c>
      <c r="E43" s="75"/>
      <c r="F43" s="74">
        <f>F41-F42</f>
        <v>878</v>
      </c>
      <c r="G43" s="75"/>
      <c r="H43" s="74">
        <f>H41-H42</f>
        <v>-2739</v>
      </c>
      <c r="I43" s="75"/>
      <c r="J43" s="74">
        <f>J41-J42</f>
        <v>-2526</v>
      </c>
      <c r="K43" s="75"/>
      <c r="L43" s="74">
        <f>L41-L42</f>
        <v>892</v>
      </c>
      <c r="M43" s="75"/>
      <c r="N43" s="74"/>
      <c r="O43" s="74">
        <f>O41-O42</f>
        <v>-764</v>
      </c>
      <c r="P43" s="75"/>
      <c r="Q43" s="74"/>
      <c r="R43" s="75">
        <f>R41-R42</f>
        <v>0</v>
      </c>
      <c r="S43" s="76">
        <f>S41-S42</f>
        <v>-1713</v>
      </c>
      <c r="T43" s="194">
        <f>T41-T42</f>
        <v>-48717740</v>
      </c>
      <c r="U43" s="222"/>
      <c r="V43" s="77"/>
      <c r="W43" s="78" t="s">
        <v>32</v>
      </c>
    </row>
    <row r="44" spans="1:31" ht="15" thickBot="1" x14ac:dyDescent="0.35">
      <c r="A44" s="499" t="s">
        <v>244</v>
      </c>
      <c r="B44" s="500"/>
      <c r="C44" s="251"/>
      <c r="D44" s="156" t="e">
        <f>ROUND(D43/V1,0)</f>
        <v>#DIV/0!</v>
      </c>
      <c r="E44" s="157" t="e">
        <f>ROUND(E43/V1,0)</f>
        <v>#DIV/0!</v>
      </c>
      <c r="F44" s="156" t="e">
        <f>ROUND((F43/V1),0)</f>
        <v>#DIV/0!</v>
      </c>
      <c r="G44" s="157"/>
      <c r="H44" s="156" t="e">
        <f>ROUND(H43/V1,0)</f>
        <v>#DIV/0!</v>
      </c>
      <c r="I44" s="157"/>
      <c r="J44" s="156" t="e">
        <f>ROUND(J43/V1,0)</f>
        <v>#DIV/0!</v>
      </c>
      <c r="K44" s="157"/>
      <c r="L44" s="156" t="e">
        <f>ROUND(L43/V1,0)</f>
        <v>#DIV/0!</v>
      </c>
      <c r="M44" s="157"/>
      <c r="N44" s="156"/>
      <c r="O44" s="156" t="e">
        <f>ROUND(O43/V1,0)</f>
        <v>#DIV/0!</v>
      </c>
      <c r="P44" s="157"/>
      <c r="Q44" s="156"/>
      <c r="R44" s="157"/>
      <c r="S44" s="158" t="e">
        <f>ROUND(S43/V1,0)</f>
        <v>#DIV/0!</v>
      </c>
      <c r="T44" s="195" t="e">
        <f>T43/V1</f>
        <v>#DIV/0!</v>
      </c>
      <c r="U44" s="223"/>
      <c r="V44" s="82"/>
      <c r="W44" s="83" t="s">
        <v>268</v>
      </c>
      <c r="AD44" s="207"/>
      <c r="AE44" s="207"/>
    </row>
    <row r="46" spans="1:31" s="112" customFormat="1" x14ac:dyDescent="0.3">
      <c r="D46" s="208" t="s">
        <v>239</v>
      </c>
      <c r="F46" s="208" t="s">
        <v>238</v>
      </c>
      <c r="J46" s="208" t="s">
        <v>239</v>
      </c>
      <c r="L46" s="208" t="s">
        <v>239</v>
      </c>
      <c r="N46" s="208" t="s">
        <v>240</v>
      </c>
      <c r="O46" s="208" t="s">
        <v>239</v>
      </c>
      <c r="S46" s="208" t="s">
        <v>239</v>
      </c>
      <c r="Y46" s="209"/>
      <c r="Z46" s="209"/>
      <c r="AA46" s="209"/>
      <c r="AB46" s="209"/>
      <c r="AD46" s="209"/>
      <c r="AE46" s="209"/>
    </row>
    <row r="47" spans="1:31" s="112" customFormat="1" x14ac:dyDescent="0.3">
      <c r="D47" s="210" t="s">
        <v>245</v>
      </c>
      <c r="F47" s="210" t="s">
        <v>248</v>
      </c>
      <c r="J47" s="210" t="s">
        <v>245</v>
      </c>
      <c r="L47" s="210" t="s">
        <v>245</v>
      </c>
      <c r="N47" s="210" t="s">
        <v>249</v>
      </c>
      <c r="O47" s="210" t="s">
        <v>245</v>
      </c>
      <c r="S47" s="210" t="s">
        <v>245</v>
      </c>
      <c r="T47" s="209"/>
      <c r="U47" s="209"/>
      <c r="V47" s="209"/>
      <c r="Y47" s="209"/>
      <c r="Z47" s="209"/>
      <c r="AA47" s="209"/>
      <c r="AB47" s="209"/>
      <c r="AD47" s="209"/>
      <c r="AE47" s="209"/>
    </row>
    <row r="48" spans="1:31" s="112" customFormat="1" x14ac:dyDescent="0.3">
      <c r="D48" s="211" t="s">
        <v>246</v>
      </c>
      <c r="F48" s="211" t="s">
        <v>247</v>
      </c>
      <c r="J48" s="211" t="s">
        <v>246</v>
      </c>
      <c r="L48" s="211" t="s">
        <v>246</v>
      </c>
      <c r="N48" s="211" t="s">
        <v>250</v>
      </c>
      <c r="O48" s="211" t="s">
        <v>246</v>
      </c>
      <c r="S48" s="211" t="s">
        <v>246</v>
      </c>
      <c r="Y48" s="209"/>
      <c r="Z48" s="209"/>
      <c r="AA48" s="209"/>
      <c r="AB48" s="209"/>
      <c r="AD48" s="209"/>
      <c r="AE48" s="209"/>
    </row>
  </sheetData>
  <mergeCells count="27">
    <mergeCell ref="A40:B40"/>
    <mergeCell ref="A41:B41"/>
    <mergeCell ref="A42:B42"/>
    <mergeCell ref="A43:B43"/>
    <mergeCell ref="A44:B44"/>
    <mergeCell ref="Y4:Z4"/>
    <mergeCell ref="AA4:AB4"/>
    <mergeCell ref="A8:B8"/>
    <mergeCell ref="A16:B16"/>
    <mergeCell ref="A24:B24"/>
    <mergeCell ref="A32:B32"/>
    <mergeCell ref="S2:V2"/>
    <mergeCell ref="W2:W4"/>
    <mergeCell ref="A3:B3"/>
    <mergeCell ref="T3:T4"/>
    <mergeCell ref="V3:V4"/>
    <mergeCell ref="A4:B4"/>
    <mergeCell ref="A1:M1"/>
    <mergeCell ref="O1:T1"/>
    <mergeCell ref="A2:B2"/>
    <mergeCell ref="D2:E2"/>
    <mergeCell ref="F2:G2"/>
    <mergeCell ref="H2:I2"/>
    <mergeCell ref="J2:K2"/>
    <mergeCell ref="L2:M2"/>
    <mergeCell ref="O2:P2"/>
    <mergeCell ref="Q2:R2"/>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19FC7-0B39-4C5A-835E-46440DDB1490}">
  <dimension ref="A1:AA47"/>
  <sheetViews>
    <sheetView workbookViewId="0">
      <pane xSplit="3" ySplit="4" topLeftCell="D25" activePane="bottomRight" state="frozen"/>
      <selection pane="topRight" activeCell="D1" sqref="D1"/>
      <selection pane="bottomLeft" activeCell="A5" sqref="A5"/>
      <selection pane="bottomRight" sqref="A1:XFD1048576"/>
    </sheetView>
  </sheetViews>
  <sheetFormatPr baseColWidth="10" defaultRowHeight="14.4" x14ac:dyDescent="0.3"/>
  <cols>
    <col min="1" max="1" width="4" customWidth="1"/>
    <col min="2" max="2" width="8.6640625" customWidth="1"/>
    <col min="3" max="3" width="3.77734375" bestFit="1" customWidth="1"/>
    <col min="4" max="4" width="7.5546875" customWidth="1"/>
    <col min="5" max="5" width="7.88671875" bestFit="1" customWidth="1"/>
    <col min="6" max="13" width="7.5546875" customWidth="1"/>
    <col min="14" max="14" width="9.88671875" bestFit="1" customWidth="1"/>
    <col min="15" max="15" width="8.77734375" customWidth="1"/>
    <col min="16" max="18" width="7.5546875" customWidth="1"/>
    <col min="19" max="19" width="8.6640625" customWidth="1"/>
    <col min="20" max="20" width="15" customWidth="1"/>
    <col min="21" max="21" width="6.33203125" customWidth="1"/>
    <col min="22" max="22" width="12.109375" customWidth="1"/>
    <col min="23" max="23" width="64" customWidth="1"/>
    <col min="24" max="24" width="2.5546875" customWidth="1"/>
    <col min="26" max="27" width="11.5546875" style="168"/>
  </cols>
  <sheetData>
    <row r="1" spans="1:24" ht="34.200000000000003" customHeight="1" thickBot="1" x14ac:dyDescent="0.35">
      <c r="A1" s="461" t="s">
        <v>278</v>
      </c>
      <c r="B1" s="461"/>
      <c r="C1" s="461"/>
      <c r="D1" s="461"/>
      <c r="E1" s="461"/>
      <c r="F1" s="461"/>
      <c r="G1" s="461"/>
      <c r="H1" s="461"/>
      <c r="I1" s="461"/>
      <c r="J1" s="461"/>
      <c r="K1" s="461"/>
      <c r="L1" s="461"/>
      <c r="M1" s="461"/>
      <c r="N1" s="169"/>
      <c r="O1" s="473" t="s">
        <v>215</v>
      </c>
      <c r="P1" s="474"/>
      <c r="Q1" s="474"/>
      <c r="R1" s="474"/>
      <c r="S1" s="474"/>
      <c r="T1" s="474"/>
      <c r="U1" s="218"/>
      <c r="V1" s="185">
        <v>0</v>
      </c>
      <c r="W1" s="2"/>
    </row>
    <row r="2" spans="1:24" ht="14.4" customHeight="1" x14ac:dyDescent="0.3">
      <c r="A2" s="476" t="s">
        <v>1</v>
      </c>
      <c r="B2" s="467"/>
      <c r="C2" s="244"/>
      <c r="D2" s="466" t="s">
        <v>2</v>
      </c>
      <c r="E2" s="467"/>
      <c r="F2" s="466" t="s">
        <v>262</v>
      </c>
      <c r="G2" s="467"/>
      <c r="H2" s="466" t="s">
        <v>4</v>
      </c>
      <c r="I2" s="467"/>
      <c r="J2" s="466" t="s">
        <v>5</v>
      </c>
      <c r="K2" s="467"/>
      <c r="L2" s="466" t="s">
        <v>6</v>
      </c>
      <c r="M2" s="467"/>
      <c r="N2" s="171" t="s">
        <v>219</v>
      </c>
      <c r="O2" s="466" t="s">
        <v>7</v>
      </c>
      <c r="P2" s="467"/>
      <c r="Q2" s="466" t="s">
        <v>8</v>
      </c>
      <c r="R2" s="467"/>
      <c r="S2" s="466" t="s">
        <v>251</v>
      </c>
      <c r="T2" s="490"/>
      <c r="U2" s="490"/>
      <c r="V2" s="468"/>
      <c r="W2" s="443" t="s">
        <v>10</v>
      </c>
    </row>
    <row r="3" spans="1:24" ht="15" customHeight="1" thickBot="1" x14ac:dyDescent="0.35">
      <c r="A3" s="481" t="s">
        <v>11</v>
      </c>
      <c r="B3" s="482"/>
      <c r="C3" s="246"/>
      <c r="D3" s="3" t="s">
        <v>13</v>
      </c>
      <c r="E3" s="4" t="s">
        <v>12</v>
      </c>
      <c r="F3" s="3" t="s">
        <v>13</v>
      </c>
      <c r="G3" s="4" t="s">
        <v>12</v>
      </c>
      <c r="H3" s="3" t="s">
        <v>13</v>
      </c>
      <c r="I3" s="4" t="s">
        <v>12</v>
      </c>
      <c r="J3" s="3" t="s">
        <v>13</v>
      </c>
      <c r="K3" s="4" t="s">
        <v>12</v>
      </c>
      <c r="L3" s="3" t="s">
        <v>13</v>
      </c>
      <c r="M3" s="4" t="s">
        <v>12</v>
      </c>
      <c r="N3" s="170" t="s">
        <v>220</v>
      </c>
      <c r="O3" s="3" t="s">
        <v>13</v>
      </c>
      <c r="P3" s="4" t="s">
        <v>12</v>
      </c>
      <c r="Q3" s="3" t="s">
        <v>13</v>
      </c>
      <c r="R3" s="4" t="s">
        <v>12</v>
      </c>
      <c r="S3" s="5" t="s">
        <v>252</v>
      </c>
      <c r="T3" s="491" t="s">
        <v>227</v>
      </c>
      <c r="U3" s="5" t="s">
        <v>253</v>
      </c>
      <c r="V3" s="493" t="s">
        <v>228</v>
      </c>
      <c r="W3" s="444"/>
    </row>
    <row r="4" spans="1:24" ht="14.4" customHeight="1" thickBot="1" x14ac:dyDescent="0.35">
      <c r="A4" s="483" t="s">
        <v>242</v>
      </c>
      <c r="B4" s="484"/>
      <c r="C4" s="247" t="s">
        <v>259</v>
      </c>
      <c r="D4" s="7">
        <v>600</v>
      </c>
      <c r="E4" s="8">
        <v>0</v>
      </c>
      <c r="F4" s="263">
        <v>400</v>
      </c>
      <c r="G4" s="8">
        <v>0</v>
      </c>
      <c r="H4" s="9">
        <v>250</v>
      </c>
      <c r="I4" s="8">
        <v>0</v>
      </c>
      <c r="J4" s="9">
        <v>600</v>
      </c>
      <c r="K4" s="8">
        <v>0</v>
      </c>
      <c r="L4" s="9">
        <v>600</v>
      </c>
      <c r="M4" s="8">
        <v>0</v>
      </c>
      <c r="N4" s="9">
        <v>20</v>
      </c>
      <c r="O4" s="9">
        <v>600</v>
      </c>
      <c r="P4" s="8">
        <v>0</v>
      </c>
      <c r="Q4" s="9">
        <v>0</v>
      </c>
      <c r="R4" s="8">
        <v>0</v>
      </c>
      <c r="S4" s="7">
        <v>600</v>
      </c>
      <c r="T4" s="492"/>
      <c r="U4" s="7">
        <v>0</v>
      </c>
      <c r="V4" s="494"/>
      <c r="W4" s="469"/>
    </row>
    <row r="5" spans="1:24" x14ac:dyDescent="0.3">
      <c r="A5" s="47">
        <v>1</v>
      </c>
      <c r="B5" s="48" t="s">
        <v>16</v>
      </c>
      <c r="C5" s="257" t="s">
        <v>260</v>
      </c>
      <c r="D5" s="203">
        <v>234</v>
      </c>
      <c r="E5" s="258">
        <v>1</v>
      </c>
      <c r="F5" s="204">
        <v>217</v>
      </c>
      <c r="G5" s="51">
        <v>2</v>
      </c>
      <c r="H5" s="254">
        <v>860</v>
      </c>
      <c r="I5" s="51"/>
      <c r="J5" s="262">
        <v>0</v>
      </c>
      <c r="K5" s="51"/>
      <c r="L5" s="254">
        <v>610</v>
      </c>
      <c r="M5" s="51"/>
      <c r="N5" s="200">
        <v>0</v>
      </c>
      <c r="O5" s="254">
        <v>625</v>
      </c>
      <c r="P5" s="51"/>
      <c r="Q5" s="52"/>
      <c r="R5" s="51"/>
      <c r="S5" s="241">
        <v>1041</v>
      </c>
      <c r="T5" s="190">
        <v>26370788</v>
      </c>
      <c r="U5" s="232">
        <v>0</v>
      </c>
      <c r="V5" s="87">
        <v>0</v>
      </c>
      <c r="W5" s="172"/>
    </row>
    <row r="6" spans="1:24" x14ac:dyDescent="0.3">
      <c r="A6" s="20">
        <v>2</v>
      </c>
      <c r="B6" s="21" t="s">
        <v>17</v>
      </c>
      <c r="C6" s="252" t="s">
        <v>260</v>
      </c>
      <c r="D6" s="217">
        <v>510</v>
      </c>
      <c r="E6" s="175">
        <v>7</v>
      </c>
      <c r="F6" s="200">
        <v>251</v>
      </c>
      <c r="G6" s="23">
        <v>1</v>
      </c>
      <c r="H6" s="200">
        <v>0</v>
      </c>
      <c r="I6" s="23"/>
      <c r="J6" s="174">
        <v>0</v>
      </c>
      <c r="K6" s="175"/>
      <c r="L6" s="200">
        <v>350</v>
      </c>
      <c r="M6" s="23"/>
      <c r="N6" s="200">
        <v>0</v>
      </c>
      <c r="O6" s="199">
        <v>635</v>
      </c>
      <c r="P6" s="23"/>
      <c r="Q6" s="25"/>
      <c r="R6" s="23"/>
      <c r="S6" s="228">
        <v>154</v>
      </c>
      <c r="T6" s="187">
        <v>3991460</v>
      </c>
      <c r="U6" s="229">
        <v>0</v>
      </c>
      <c r="V6" s="27">
        <v>0</v>
      </c>
      <c r="W6" s="128"/>
    </row>
    <row r="7" spans="1:24" ht="52.2" customHeight="1" x14ac:dyDescent="0.3">
      <c r="A7" s="29">
        <v>3</v>
      </c>
      <c r="B7" s="21" t="s">
        <v>17</v>
      </c>
      <c r="C7" s="252" t="s">
        <v>260</v>
      </c>
      <c r="D7" s="217">
        <v>508</v>
      </c>
      <c r="E7" s="175"/>
      <c r="F7" s="199">
        <v>422</v>
      </c>
      <c r="G7" s="23"/>
      <c r="H7" s="199">
        <v>571</v>
      </c>
      <c r="I7" s="23"/>
      <c r="J7" s="199">
        <v>562</v>
      </c>
      <c r="K7" s="23"/>
      <c r="L7" s="200">
        <v>33</v>
      </c>
      <c r="M7" s="23"/>
      <c r="N7" s="200">
        <v>0</v>
      </c>
      <c r="O7" s="199">
        <v>1142</v>
      </c>
      <c r="P7" s="23"/>
      <c r="Q7" s="25"/>
      <c r="R7" s="23"/>
      <c r="S7" s="228">
        <v>399</v>
      </c>
      <c r="T7" s="186">
        <v>10448576</v>
      </c>
      <c r="U7" s="229">
        <v>379</v>
      </c>
      <c r="V7" s="27">
        <v>5832126</v>
      </c>
      <c r="W7" s="126" t="s">
        <v>269</v>
      </c>
    </row>
    <row r="8" spans="1:24" x14ac:dyDescent="0.3">
      <c r="A8" s="29">
        <v>4</v>
      </c>
      <c r="B8" s="21" t="s">
        <v>18</v>
      </c>
      <c r="C8" s="252" t="s">
        <v>260</v>
      </c>
      <c r="D8" s="200">
        <v>416</v>
      </c>
      <c r="E8" s="175"/>
      <c r="F8" s="217">
        <v>300</v>
      </c>
      <c r="G8" s="23"/>
      <c r="H8" s="200">
        <v>0</v>
      </c>
      <c r="I8" s="23"/>
      <c r="J8" s="200">
        <v>350</v>
      </c>
      <c r="K8" s="23"/>
      <c r="L8" s="199">
        <v>655</v>
      </c>
      <c r="M8" s="23"/>
      <c r="N8" s="200">
        <v>0</v>
      </c>
      <c r="O8" s="200">
        <v>441</v>
      </c>
      <c r="P8" s="23"/>
      <c r="Q8" s="25"/>
      <c r="R8" s="23"/>
      <c r="S8" s="228">
        <v>342</v>
      </c>
      <c r="T8" s="186">
        <v>9016729</v>
      </c>
      <c r="U8" s="229">
        <v>0</v>
      </c>
      <c r="V8" s="27">
        <v>0</v>
      </c>
      <c r="W8" s="126"/>
    </row>
    <row r="9" spans="1:24" ht="24" x14ac:dyDescent="0.3">
      <c r="A9" s="29">
        <v>5</v>
      </c>
      <c r="B9" s="21" t="s">
        <v>19</v>
      </c>
      <c r="C9" s="252" t="s">
        <v>260</v>
      </c>
      <c r="D9" s="265">
        <v>114</v>
      </c>
      <c r="E9" s="175"/>
      <c r="F9" s="200">
        <v>234</v>
      </c>
      <c r="G9" s="23">
        <v>2</v>
      </c>
      <c r="H9" s="200">
        <v>0</v>
      </c>
      <c r="I9" s="23"/>
      <c r="J9" s="200">
        <v>0</v>
      </c>
      <c r="K9" s="23"/>
      <c r="L9" s="199">
        <v>729</v>
      </c>
      <c r="M9" s="175">
        <v>5</v>
      </c>
      <c r="N9" s="205">
        <v>0</v>
      </c>
      <c r="O9" s="205">
        <v>328</v>
      </c>
      <c r="P9" s="23"/>
      <c r="Q9" s="25"/>
      <c r="R9" s="23"/>
      <c r="S9" s="264">
        <v>568</v>
      </c>
      <c r="T9" s="186">
        <v>14584861</v>
      </c>
      <c r="U9" s="229">
        <v>0</v>
      </c>
      <c r="V9" s="18">
        <v>0</v>
      </c>
      <c r="W9" s="126" t="s">
        <v>274</v>
      </c>
    </row>
    <row r="10" spans="1:24" x14ac:dyDescent="0.3">
      <c r="A10" s="33">
        <v>6</v>
      </c>
      <c r="B10" s="34" t="s">
        <v>20</v>
      </c>
      <c r="C10" s="253" t="s">
        <v>261</v>
      </c>
      <c r="D10" s="181"/>
      <c r="E10" s="31"/>
      <c r="F10" s="35"/>
      <c r="G10" s="31"/>
      <c r="H10" s="35"/>
      <c r="I10" s="31"/>
      <c r="J10" s="35"/>
      <c r="K10" s="31"/>
      <c r="L10" s="25"/>
      <c r="M10" s="31"/>
      <c r="N10" s="35"/>
      <c r="O10" s="35"/>
      <c r="P10" s="31"/>
      <c r="Q10" s="35"/>
      <c r="R10" s="31"/>
      <c r="S10" s="36"/>
      <c r="T10" s="186"/>
      <c r="U10" s="36">
        <v>0</v>
      </c>
      <c r="V10" s="18">
        <v>0</v>
      </c>
      <c r="W10" s="128"/>
    </row>
    <row r="11" spans="1:24" x14ac:dyDescent="0.3">
      <c r="A11" s="44">
        <v>7</v>
      </c>
      <c r="B11" s="45" t="s">
        <v>21</v>
      </c>
      <c r="C11" s="255" t="s">
        <v>261</v>
      </c>
      <c r="D11" s="22"/>
      <c r="E11" s="31"/>
      <c r="F11" s="22"/>
      <c r="G11" s="31"/>
      <c r="H11" s="22"/>
      <c r="I11" s="31"/>
      <c r="J11" s="22"/>
      <c r="K11" s="31"/>
      <c r="L11" s="25"/>
      <c r="M11" s="31"/>
      <c r="N11" s="174"/>
      <c r="O11" s="174"/>
      <c r="P11" s="31"/>
      <c r="Q11" s="25"/>
      <c r="R11" s="31"/>
      <c r="S11" s="229"/>
      <c r="T11" s="186"/>
      <c r="U11" s="36">
        <v>0</v>
      </c>
      <c r="V11" s="18">
        <v>0</v>
      </c>
      <c r="W11" s="28"/>
    </row>
    <row r="12" spans="1:24" ht="15.6" customHeight="1" thickBot="1" x14ac:dyDescent="0.35">
      <c r="A12" s="485" t="s">
        <v>233</v>
      </c>
      <c r="B12" s="503"/>
      <c r="C12" s="256"/>
      <c r="D12" s="38">
        <f t="shared" ref="D12:M12" si="0">SUM(D5:D11)</f>
        <v>1782</v>
      </c>
      <c r="E12" s="39">
        <f t="shared" si="0"/>
        <v>8</v>
      </c>
      <c r="F12" s="38">
        <f t="shared" si="0"/>
        <v>1424</v>
      </c>
      <c r="G12" s="39">
        <f t="shared" si="0"/>
        <v>5</v>
      </c>
      <c r="H12" s="38">
        <f t="shared" si="0"/>
        <v>1431</v>
      </c>
      <c r="I12" s="39">
        <f t="shared" si="0"/>
        <v>0</v>
      </c>
      <c r="J12" s="38">
        <f t="shared" si="0"/>
        <v>912</v>
      </c>
      <c r="K12" s="39">
        <f t="shared" si="0"/>
        <v>0</v>
      </c>
      <c r="L12" s="38">
        <f t="shared" si="0"/>
        <v>2377</v>
      </c>
      <c r="M12" s="39">
        <f t="shared" si="0"/>
        <v>5</v>
      </c>
      <c r="N12" s="38">
        <f>SUM(N5:N9)</f>
        <v>0</v>
      </c>
      <c r="O12" s="38">
        <f t="shared" ref="O12:V12" si="1">SUM(O5:O11)</f>
        <v>3171</v>
      </c>
      <c r="P12" s="39">
        <f t="shared" si="1"/>
        <v>0</v>
      </c>
      <c r="Q12" s="38">
        <f t="shared" si="1"/>
        <v>0</v>
      </c>
      <c r="R12" s="39">
        <f t="shared" si="1"/>
        <v>0</v>
      </c>
      <c r="S12" s="40">
        <f t="shared" si="1"/>
        <v>2504</v>
      </c>
      <c r="T12" s="189">
        <f t="shared" si="1"/>
        <v>64412414</v>
      </c>
      <c r="U12" s="162">
        <f t="shared" si="1"/>
        <v>379</v>
      </c>
      <c r="V12" s="41">
        <f t="shared" si="1"/>
        <v>5832126</v>
      </c>
      <c r="W12" s="46"/>
    </row>
    <row r="13" spans="1:24" x14ac:dyDescent="0.3">
      <c r="A13" s="47">
        <v>8</v>
      </c>
      <c r="B13" s="48" t="s">
        <v>16</v>
      </c>
      <c r="C13" s="257" t="s">
        <v>260</v>
      </c>
      <c r="D13" s="254">
        <v>1172</v>
      </c>
      <c r="E13" s="258"/>
      <c r="F13" s="199">
        <v>631</v>
      </c>
      <c r="G13" s="51"/>
      <c r="H13" s="203">
        <v>0</v>
      </c>
      <c r="I13" s="51"/>
      <c r="J13" s="254">
        <v>1754</v>
      </c>
      <c r="K13" s="51"/>
      <c r="L13" s="203">
        <v>166</v>
      </c>
      <c r="M13" s="51"/>
      <c r="N13" s="262"/>
      <c r="O13" s="203">
        <v>458</v>
      </c>
      <c r="P13" s="51"/>
      <c r="Q13" s="52"/>
      <c r="R13" s="51"/>
      <c r="S13" s="230">
        <v>477</v>
      </c>
      <c r="T13" s="266">
        <v>10606190</v>
      </c>
      <c r="U13" s="232">
        <v>0</v>
      </c>
      <c r="V13" s="87">
        <v>0</v>
      </c>
      <c r="W13" s="172"/>
    </row>
    <row r="14" spans="1:24" x14ac:dyDescent="0.3">
      <c r="A14" s="20">
        <v>9</v>
      </c>
      <c r="B14" s="21" t="s">
        <v>17</v>
      </c>
      <c r="C14" s="252" t="s">
        <v>260</v>
      </c>
      <c r="D14" s="200">
        <v>488</v>
      </c>
      <c r="E14" s="175">
        <v>1</v>
      </c>
      <c r="F14" s="217">
        <v>315</v>
      </c>
      <c r="G14" s="23">
        <v>1</v>
      </c>
      <c r="H14" s="200">
        <v>0</v>
      </c>
      <c r="I14" s="23"/>
      <c r="J14" s="200">
        <v>0</v>
      </c>
      <c r="K14" s="175"/>
      <c r="L14" s="200">
        <v>316</v>
      </c>
      <c r="M14" s="175">
        <v>5</v>
      </c>
      <c r="N14" s="174"/>
      <c r="O14" s="200">
        <v>304</v>
      </c>
      <c r="P14" s="23"/>
      <c r="Q14" s="25"/>
      <c r="R14" s="23"/>
      <c r="S14" s="228">
        <v>340</v>
      </c>
      <c r="T14" s="267">
        <v>8581909</v>
      </c>
      <c r="U14" s="229">
        <v>31</v>
      </c>
      <c r="V14" s="27">
        <v>485214</v>
      </c>
      <c r="W14" s="128"/>
    </row>
    <row r="15" spans="1:24" x14ac:dyDescent="0.3">
      <c r="A15" s="20">
        <v>10</v>
      </c>
      <c r="B15" s="21" t="s">
        <v>17</v>
      </c>
      <c r="C15" s="252" t="s">
        <v>260</v>
      </c>
      <c r="D15" s="199">
        <v>650</v>
      </c>
      <c r="E15" s="23">
        <v>1</v>
      </c>
      <c r="F15" s="217">
        <v>316</v>
      </c>
      <c r="G15" s="23"/>
      <c r="H15" s="200">
        <v>206</v>
      </c>
      <c r="I15" s="23"/>
      <c r="J15" s="200">
        <v>0</v>
      </c>
      <c r="K15" s="23"/>
      <c r="L15" s="200">
        <v>479</v>
      </c>
      <c r="M15" s="23"/>
      <c r="N15" s="174"/>
      <c r="O15" s="199">
        <v>859</v>
      </c>
      <c r="P15" s="23"/>
      <c r="Q15" s="25"/>
      <c r="R15" s="23"/>
      <c r="S15" s="243">
        <v>821</v>
      </c>
      <c r="T15" s="267">
        <v>21270790</v>
      </c>
      <c r="U15" s="229"/>
      <c r="V15" s="27"/>
      <c r="W15" s="128"/>
    </row>
    <row r="16" spans="1:24" x14ac:dyDescent="0.3">
      <c r="A16" s="20">
        <v>11</v>
      </c>
      <c r="B16" s="21" t="s">
        <v>18</v>
      </c>
      <c r="C16" s="252" t="s">
        <v>260</v>
      </c>
      <c r="D16" s="200">
        <v>141</v>
      </c>
      <c r="E16" s="23">
        <v>3</v>
      </c>
      <c r="F16" s="200">
        <v>241</v>
      </c>
      <c r="G16" s="23">
        <v>5</v>
      </c>
      <c r="H16" s="201">
        <v>0</v>
      </c>
      <c r="I16" s="23"/>
      <c r="J16" s="200">
        <v>497</v>
      </c>
      <c r="K16" s="23"/>
      <c r="L16" s="200">
        <v>473</v>
      </c>
      <c r="M16" s="23"/>
      <c r="N16" s="174"/>
      <c r="O16" s="200">
        <v>458</v>
      </c>
      <c r="P16" s="23"/>
      <c r="Q16" s="25"/>
      <c r="R16" s="23"/>
      <c r="S16" s="200">
        <v>444</v>
      </c>
      <c r="T16" s="187">
        <v>11631864</v>
      </c>
      <c r="U16" s="229">
        <v>136</v>
      </c>
      <c r="V16" s="27">
        <v>2090184</v>
      </c>
      <c r="W16" s="128"/>
      <c r="X16" s="55"/>
    </row>
    <row r="17" spans="1:27" x14ac:dyDescent="0.3">
      <c r="A17" s="20">
        <v>12</v>
      </c>
      <c r="B17" s="21" t="s">
        <v>19</v>
      </c>
      <c r="C17" s="252" t="s">
        <v>260</v>
      </c>
      <c r="D17" s="199">
        <v>656</v>
      </c>
      <c r="E17" s="23"/>
      <c r="F17" s="200">
        <v>0</v>
      </c>
      <c r="G17" s="23">
        <v>1</v>
      </c>
      <c r="H17" s="201">
        <v>0</v>
      </c>
      <c r="I17" s="23"/>
      <c r="J17" s="217">
        <v>570</v>
      </c>
      <c r="K17" s="23"/>
      <c r="L17" s="200">
        <v>121</v>
      </c>
      <c r="M17" s="23"/>
      <c r="N17" s="174"/>
      <c r="O17" s="200">
        <v>350</v>
      </c>
      <c r="P17" s="23"/>
      <c r="Q17" s="25"/>
      <c r="R17" s="23"/>
      <c r="S17" s="200">
        <v>323</v>
      </c>
      <c r="T17" s="187">
        <v>8196338</v>
      </c>
      <c r="U17" s="229">
        <v>38</v>
      </c>
      <c r="V17" s="27">
        <v>588972</v>
      </c>
      <c r="W17" s="126"/>
    </row>
    <row r="18" spans="1:27" x14ac:dyDescent="0.3">
      <c r="A18" s="33">
        <v>13</v>
      </c>
      <c r="B18" s="34" t="s">
        <v>20</v>
      </c>
      <c r="C18" s="253" t="s">
        <v>261</v>
      </c>
      <c r="D18" s="174"/>
      <c r="E18" s="23">
        <v>1</v>
      </c>
      <c r="F18" s="199">
        <v>656</v>
      </c>
      <c r="G18" s="175"/>
      <c r="H18" s="174">
        <v>0</v>
      </c>
      <c r="I18" s="31"/>
      <c r="J18" s="200">
        <v>432</v>
      </c>
      <c r="K18" s="31"/>
      <c r="L18" s="269">
        <v>397</v>
      </c>
      <c r="M18" s="31"/>
      <c r="N18" s="35"/>
      <c r="O18" s="200">
        <v>479</v>
      </c>
      <c r="P18" s="31"/>
      <c r="Q18" s="35"/>
      <c r="R18" s="31"/>
      <c r="S18" s="268">
        <v>107</v>
      </c>
      <c r="T18" s="187">
        <v>2184583</v>
      </c>
      <c r="U18" s="36">
        <v>0</v>
      </c>
      <c r="V18" s="37">
        <v>0</v>
      </c>
      <c r="W18" s="32"/>
    </row>
    <row r="19" spans="1:27" x14ac:dyDescent="0.3">
      <c r="A19" s="44">
        <v>14</v>
      </c>
      <c r="B19" s="45" t="s">
        <v>21</v>
      </c>
      <c r="C19" s="255" t="s">
        <v>261</v>
      </c>
      <c r="D19" s="22"/>
      <c r="E19" s="31"/>
      <c r="F19" s="35"/>
      <c r="G19" s="31"/>
      <c r="H19" s="35"/>
      <c r="I19" s="31"/>
      <c r="J19" s="35"/>
      <c r="K19" s="31"/>
      <c r="L19" s="35"/>
      <c r="M19" s="31"/>
      <c r="N19" s="35"/>
      <c r="O19" s="35"/>
      <c r="P19" s="31"/>
      <c r="Q19" s="35"/>
      <c r="R19" s="31"/>
      <c r="S19" s="36"/>
      <c r="T19" s="187"/>
      <c r="U19" s="36">
        <v>0</v>
      </c>
      <c r="V19" s="37">
        <v>0</v>
      </c>
      <c r="W19" s="32"/>
    </row>
    <row r="20" spans="1:27" ht="21" customHeight="1" thickBot="1" x14ac:dyDescent="0.35">
      <c r="A20" s="485" t="s">
        <v>236</v>
      </c>
      <c r="B20" s="503"/>
      <c r="C20" s="256"/>
      <c r="D20" s="38">
        <f>SUM(D13:D19)</f>
        <v>3107</v>
      </c>
      <c r="E20" s="39">
        <f t="shared" ref="E20:S20" si="2">SUM(E13:E19)</f>
        <v>6</v>
      </c>
      <c r="F20" s="38">
        <f t="shared" si="2"/>
        <v>2159</v>
      </c>
      <c r="G20" s="39">
        <f t="shared" si="2"/>
        <v>7</v>
      </c>
      <c r="H20" s="38">
        <f t="shared" si="2"/>
        <v>206</v>
      </c>
      <c r="I20" s="39">
        <f t="shared" si="2"/>
        <v>0</v>
      </c>
      <c r="J20" s="38">
        <f t="shared" si="2"/>
        <v>3253</v>
      </c>
      <c r="K20" s="39">
        <f t="shared" si="2"/>
        <v>0</v>
      </c>
      <c r="L20" s="38">
        <f t="shared" si="2"/>
        <v>1952</v>
      </c>
      <c r="M20" s="39">
        <f t="shared" si="2"/>
        <v>5</v>
      </c>
      <c r="N20" s="38">
        <f>SUM(N13:N17)</f>
        <v>0</v>
      </c>
      <c r="O20" s="38">
        <f t="shared" si="2"/>
        <v>2908</v>
      </c>
      <c r="P20" s="39">
        <f t="shared" si="2"/>
        <v>0</v>
      </c>
      <c r="Q20" s="38">
        <f t="shared" si="2"/>
        <v>0</v>
      </c>
      <c r="R20" s="39">
        <f t="shared" si="2"/>
        <v>0</v>
      </c>
      <c r="S20" s="40">
        <f t="shared" si="2"/>
        <v>2512</v>
      </c>
      <c r="T20" s="189">
        <f>SUM(T13:T19)</f>
        <v>62471674</v>
      </c>
      <c r="U20" s="162">
        <f>SUM(U13:U19)</f>
        <v>205</v>
      </c>
      <c r="V20" s="41">
        <f>SUM(V13:V19)</f>
        <v>3164370</v>
      </c>
      <c r="W20" s="56"/>
    </row>
    <row r="21" spans="1:27" x14ac:dyDescent="0.3">
      <c r="A21" s="11">
        <v>15</v>
      </c>
      <c r="B21" s="12" t="s">
        <v>16</v>
      </c>
      <c r="C21" s="259" t="s">
        <v>260</v>
      </c>
      <c r="D21" s="204">
        <v>462</v>
      </c>
      <c r="E21" s="16"/>
      <c r="F21" s="200">
        <v>333</v>
      </c>
      <c r="G21" s="16">
        <v>1</v>
      </c>
      <c r="H21" s="174"/>
      <c r="I21" s="16"/>
      <c r="J21" s="206">
        <v>628</v>
      </c>
      <c r="K21" s="16"/>
      <c r="L21" s="217">
        <v>564</v>
      </c>
      <c r="M21" s="16"/>
      <c r="N21" s="174"/>
      <c r="O21" s="200">
        <v>251</v>
      </c>
      <c r="P21" s="16"/>
      <c r="Q21" s="15"/>
      <c r="R21" s="16"/>
      <c r="S21" s="199">
        <v>640</v>
      </c>
      <c r="T21" s="186">
        <v>16139308</v>
      </c>
      <c r="U21" s="226">
        <v>0</v>
      </c>
      <c r="V21" s="18">
        <v>0</v>
      </c>
      <c r="W21" s="131"/>
    </row>
    <row r="22" spans="1:27" x14ac:dyDescent="0.3">
      <c r="A22" s="20">
        <v>16</v>
      </c>
      <c r="B22" s="21" t="s">
        <v>17</v>
      </c>
      <c r="C22" s="252" t="s">
        <v>260</v>
      </c>
      <c r="D22" s="200">
        <v>4</v>
      </c>
      <c r="E22" s="23"/>
      <c r="F22" s="200">
        <v>268</v>
      </c>
      <c r="G22" s="23">
        <v>5</v>
      </c>
      <c r="H22" s="174"/>
      <c r="I22" s="23"/>
      <c r="J22" s="174">
        <v>0</v>
      </c>
      <c r="K22" s="23"/>
      <c r="L22" s="199">
        <v>635</v>
      </c>
      <c r="M22" s="23"/>
      <c r="N22" s="174"/>
      <c r="O22" s="200">
        <v>386</v>
      </c>
      <c r="P22" s="23"/>
      <c r="Q22" s="25"/>
      <c r="R22" s="23"/>
      <c r="S22" s="215">
        <v>389</v>
      </c>
      <c r="T22" s="186">
        <v>9908110</v>
      </c>
      <c r="U22" s="216">
        <v>114</v>
      </c>
      <c r="V22" s="27">
        <v>2810860</v>
      </c>
      <c r="W22" s="128"/>
    </row>
    <row r="23" spans="1:27" s="137" customFormat="1" x14ac:dyDescent="0.3">
      <c r="A23" s="20">
        <v>17</v>
      </c>
      <c r="B23" s="21" t="s">
        <v>17</v>
      </c>
      <c r="C23" s="252" t="s">
        <v>260</v>
      </c>
      <c r="D23" s="200">
        <v>358</v>
      </c>
      <c r="E23" s="160"/>
      <c r="F23" s="200">
        <v>250</v>
      </c>
      <c r="G23" s="160"/>
      <c r="H23" s="174"/>
      <c r="I23" s="160"/>
      <c r="J23" s="217">
        <v>564</v>
      </c>
      <c r="K23" s="160"/>
      <c r="L23" s="200">
        <v>432</v>
      </c>
      <c r="M23" s="160"/>
      <c r="N23" s="174"/>
      <c r="O23" s="200">
        <v>0</v>
      </c>
      <c r="P23" s="160"/>
      <c r="Q23" s="159"/>
      <c r="R23" s="160"/>
      <c r="S23" s="200">
        <v>0</v>
      </c>
      <c r="T23" s="186">
        <v>0</v>
      </c>
      <c r="U23" s="236">
        <v>0</v>
      </c>
      <c r="V23" s="27">
        <v>0</v>
      </c>
      <c r="W23" s="128"/>
      <c r="Z23" s="184"/>
      <c r="AA23" s="184"/>
    </row>
    <row r="24" spans="1:27" s="137" customFormat="1" ht="15.6" customHeight="1" x14ac:dyDescent="0.3">
      <c r="A24" s="33">
        <v>18</v>
      </c>
      <c r="B24" s="34" t="s">
        <v>18</v>
      </c>
      <c r="C24" s="253" t="s">
        <v>260</v>
      </c>
      <c r="D24" s="35" t="s">
        <v>36</v>
      </c>
      <c r="E24" s="31" t="s">
        <v>36</v>
      </c>
      <c r="F24" s="35" t="s">
        <v>36</v>
      </c>
      <c r="G24" s="31" t="s">
        <v>36</v>
      </c>
      <c r="H24" s="35" t="s">
        <v>36</v>
      </c>
      <c r="I24" s="31" t="s">
        <v>36</v>
      </c>
      <c r="J24" s="35" t="s">
        <v>36</v>
      </c>
      <c r="K24" s="31" t="s">
        <v>36</v>
      </c>
      <c r="L24" s="35" t="s">
        <v>36</v>
      </c>
      <c r="M24" s="31" t="s">
        <v>36</v>
      </c>
      <c r="N24" s="35" t="s">
        <v>36</v>
      </c>
      <c r="O24" s="35" t="s">
        <v>36</v>
      </c>
      <c r="P24" s="31" t="s">
        <v>36</v>
      </c>
      <c r="Q24" s="35" t="s">
        <v>36</v>
      </c>
      <c r="R24" s="31" t="s">
        <v>36</v>
      </c>
      <c r="S24" s="59" t="s">
        <v>36</v>
      </c>
      <c r="T24" s="191" t="s">
        <v>36</v>
      </c>
      <c r="U24" s="59" t="s">
        <v>36</v>
      </c>
      <c r="V24" s="151" t="s">
        <v>36</v>
      </c>
      <c r="W24" s="180"/>
      <c r="Z24" s="184"/>
      <c r="AA24" s="184"/>
    </row>
    <row r="25" spans="1:27" s="137" customFormat="1" x14ac:dyDescent="0.3">
      <c r="A25" s="33">
        <v>19</v>
      </c>
      <c r="B25" s="34" t="s">
        <v>19</v>
      </c>
      <c r="C25" s="253" t="s">
        <v>261</v>
      </c>
      <c r="D25" s="35" t="s">
        <v>36</v>
      </c>
      <c r="E25" s="31" t="s">
        <v>36</v>
      </c>
      <c r="F25" s="35" t="s">
        <v>36</v>
      </c>
      <c r="G25" s="31" t="s">
        <v>36</v>
      </c>
      <c r="H25" s="35" t="s">
        <v>36</v>
      </c>
      <c r="I25" s="31" t="s">
        <v>36</v>
      </c>
      <c r="J25" s="35" t="s">
        <v>36</v>
      </c>
      <c r="K25" s="31" t="s">
        <v>36</v>
      </c>
      <c r="L25" s="35" t="s">
        <v>36</v>
      </c>
      <c r="M25" s="31" t="s">
        <v>36</v>
      </c>
      <c r="N25" s="35" t="s">
        <v>36</v>
      </c>
      <c r="O25" s="35" t="s">
        <v>36</v>
      </c>
      <c r="P25" s="31" t="s">
        <v>36</v>
      </c>
      <c r="Q25" s="35" t="s">
        <v>36</v>
      </c>
      <c r="R25" s="31" t="s">
        <v>36</v>
      </c>
      <c r="S25" s="59" t="s">
        <v>36</v>
      </c>
      <c r="T25" s="191" t="s">
        <v>36</v>
      </c>
      <c r="U25" s="59" t="s">
        <v>36</v>
      </c>
      <c r="V25" s="151" t="s">
        <v>36</v>
      </c>
      <c r="W25" s="180"/>
      <c r="Z25" s="184"/>
      <c r="AA25" s="184"/>
    </row>
    <row r="26" spans="1:27" x14ac:dyDescent="0.3">
      <c r="A26" s="33">
        <v>20</v>
      </c>
      <c r="B26" s="34" t="s">
        <v>20</v>
      </c>
      <c r="C26" s="253" t="s">
        <v>261</v>
      </c>
      <c r="D26" s="35"/>
      <c r="E26" s="31"/>
      <c r="F26" s="35"/>
      <c r="G26" s="31"/>
      <c r="H26" s="35"/>
      <c r="I26" s="31"/>
      <c r="J26" s="35"/>
      <c r="K26" s="31"/>
      <c r="L26" s="35"/>
      <c r="M26" s="31"/>
      <c r="N26" s="35"/>
      <c r="O26" s="35"/>
      <c r="P26" s="31"/>
      <c r="Q26" s="35"/>
      <c r="R26" s="31"/>
      <c r="S26" s="59"/>
      <c r="T26" s="188">
        <v>0</v>
      </c>
      <c r="U26" s="59">
        <v>0</v>
      </c>
      <c r="V26" s="37">
        <v>0</v>
      </c>
      <c r="W26" s="128"/>
    </row>
    <row r="27" spans="1:27" ht="15.6" customHeight="1" x14ac:dyDescent="0.3">
      <c r="A27" s="44">
        <v>21</v>
      </c>
      <c r="B27" s="45" t="s">
        <v>21</v>
      </c>
      <c r="C27" s="255" t="s">
        <v>261</v>
      </c>
      <c r="D27" s="22"/>
      <c r="E27" s="24"/>
      <c r="F27" s="22"/>
      <c r="G27" s="24"/>
      <c r="H27" s="22"/>
      <c r="I27" s="24"/>
      <c r="J27" s="22"/>
      <c r="K27" s="24"/>
      <c r="L27" s="25"/>
      <c r="M27" s="23"/>
      <c r="N27" s="25"/>
      <c r="O27" s="25"/>
      <c r="P27" s="23"/>
      <c r="Q27" s="25"/>
      <c r="R27" s="23"/>
      <c r="S27" s="216"/>
      <c r="T27" s="187">
        <v>0</v>
      </c>
      <c r="U27" s="216">
        <v>0</v>
      </c>
      <c r="V27" s="27">
        <v>0</v>
      </c>
      <c r="W27" s="32"/>
    </row>
    <row r="28" spans="1:27" ht="20.399999999999999" customHeight="1" thickBot="1" x14ac:dyDescent="0.35">
      <c r="A28" s="485" t="s">
        <v>235</v>
      </c>
      <c r="B28" s="503"/>
      <c r="C28" s="256"/>
      <c r="D28" s="38">
        <f t="shared" ref="D28:M28" si="3">SUM(D21:D27)</f>
        <v>824</v>
      </c>
      <c r="E28" s="39">
        <f t="shared" si="3"/>
        <v>0</v>
      </c>
      <c r="F28" s="38">
        <f t="shared" si="3"/>
        <v>851</v>
      </c>
      <c r="G28" s="39">
        <f t="shared" si="3"/>
        <v>6</v>
      </c>
      <c r="H28" s="38">
        <f t="shared" si="3"/>
        <v>0</v>
      </c>
      <c r="I28" s="39">
        <f t="shared" si="3"/>
        <v>0</v>
      </c>
      <c r="J28" s="38">
        <f t="shared" si="3"/>
        <v>1192</v>
      </c>
      <c r="K28" s="39">
        <f t="shared" si="3"/>
        <v>0</v>
      </c>
      <c r="L28" s="38">
        <f t="shared" si="3"/>
        <v>1631</v>
      </c>
      <c r="M28" s="39">
        <f t="shared" si="3"/>
        <v>0</v>
      </c>
      <c r="N28" s="38">
        <f>SUM(N21:N22,N24:N25)</f>
        <v>0</v>
      </c>
      <c r="O28" s="38">
        <f t="shared" ref="O28:U28" si="4">SUM(O21:O27)</f>
        <v>637</v>
      </c>
      <c r="P28" s="39">
        <f t="shared" si="4"/>
        <v>0</v>
      </c>
      <c r="Q28" s="38">
        <f t="shared" si="4"/>
        <v>0</v>
      </c>
      <c r="R28" s="39">
        <f t="shared" si="4"/>
        <v>0</v>
      </c>
      <c r="S28" s="162">
        <f t="shared" si="4"/>
        <v>1029</v>
      </c>
      <c r="T28" s="189">
        <f t="shared" si="4"/>
        <v>26047418</v>
      </c>
      <c r="U28" s="162">
        <f t="shared" si="4"/>
        <v>114</v>
      </c>
      <c r="V28" s="41">
        <f>SUM(V21:V24)</f>
        <v>2810860</v>
      </c>
      <c r="W28" s="56"/>
    </row>
    <row r="29" spans="1:27" x14ac:dyDescent="0.3">
      <c r="A29" s="11">
        <v>22</v>
      </c>
      <c r="B29" s="12" t="s">
        <v>16</v>
      </c>
      <c r="C29" s="259" t="s">
        <v>260</v>
      </c>
      <c r="D29" s="200">
        <v>234</v>
      </c>
      <c r="E29" s="213"/>
      <c r="F29" s="200">
        <v>310</v>
      </c>
      <c r="G29" s="213"/>
      <c r="H29" s="181"/>
      <c r="I29" s="213"/>
      <c r="J29" s="206">
        <v>663</v>
      </c>
      <c r="K29" s="213"/>
      <c r="L29" s="204">
        <v>499</v>
      </c>
      <c r="M29" s="213"/>
      <c r="N29" s="174"/>
      <c r="O29" s="200">
        <v>416</v>
      </c>
      <c r="P29" s="213"/>
      <c r="Q29" s="181"/>
      <c r="R29" s="213"/>
      <c r="S29" s="200">
        <v>417</v>
      </c>
      <c r="T29" s="186">
        <v>10322185</v>
      </c>
      <c r="U29" s="233"/>
      <c r="V29" s="18">
        <v>0</v>
      </c>
      <c r="W29" s="260"/>
    </row>
    <row r="30" spans="1:27" x14ac:dyDescent="0.3">
      <c r="A30" s="20">
        <v>23</v>
      </c>
      <c r="B30" s="21" t="s">
        <v>17</v>
      </c>
      <c r="C30" s="252" t="s">
        <v>260</v>
      </c>
      <c r="D30" s="204">
        <v>0</v>
      </c>
      <c r="E30" s="175">
        <v>17</v>
      </c>
      <c r="F30" s="200">
        <v>400</v>
      </c>
      <c r="G30" s="175">
        <v>1</v>
      </c>
      <c r="H30" s="174"/>
      <c r="I30" s="175"/>
      <c r="J30" s="200">
        <v>257</v>
      </c>
      <c r="K30" s="175"/>
      <c r="L30" s="199">
        <v>626</v>
      </c>
      <c r="M30" s="175"/>
      <c r="N30" s="174"/>
      <c r="O30" s="200">
        <v>259</v>
      </c>
      <c r="P30" s="175"/>
      <c r="Q30" s="174"/>
      <c r="R30" s="175"/>
      <c r="S30" s="200">
        <v>-8</v>
      </c>
      <c r="T30" s="187">
        <v>-19997</v>
      </c>
      <c r="U30" s="174">
        <v>420</v>
      </c>
      <c r="V30" s="27">
        <v>10942800</v>
      </c>
      <c r="W30" s="132" t="s">
        <v>275</v>
      </c>
    </row>
    <row r="31" spans="1:27" s="177" customFormat="1" x14ac:dyDescent="0.3">
      <c r="A31" s="29">
        <v>24</v>
      </c>
      <c r="B31" s="30" t="s">
        <v>17</v>
      </c>
      <c r="C31" s="261" t="s">
        <v>260</v>
      </c>
      <c r="D31" s="199">
        <v>600</v>
      </c>
      <c r="E31" s="175">
        <v>1</v>
      </c>
      <c r="F31" s="200">
        <f>364+105</f>
        <v>469</v>
      </c>
      <c r="G31" s="175">
        <v>1</v>
      </c>
      <c r="H31" s="174"/>
      <c r="I31" s="175"/>
      <c r="J31" s="174">
        <v>0</v>
      </c>
      <c r="K31" s="175"/>
      <c r="L31" s="217">
        <v>529</v>
      </c>
      <c r="M31" s="175">
        <v>7</v>
      </c>
      <c r="N31" s="174"/>
      <c r="O31" s="200">
        <v>371</v>
      </c>
      <c r="P31" s="175"/>
      <c r="Q31" s="174"/>
      <c r="R31" s="175"/>
      <c r="S31" s="200">
        <v>354</v>
      </c>
      <c r="T31" s="187">
        <v>9165526</v>
      </c>
      <c r="U31" s="174">
        <v>128</v>
      </c>
      <c r="V31" s="27">
        <v>3303720</v>
      </c>
      <c r="W31" s="176"/>
      <c r="Z31" s="198"/>
      <c r="AA31" s="198"/>
    </row>
    <row r="32" spans="1:27" x14ac:dyDescent="0.3">
      <c r="A32" s="20">
        <v>25</v>
      </c>
      <c r="B32" s="21" t="s">
        <v>18</v>
      </c>
      <c r="C32" s="252" t="s">
        <v>260</v>
      </c>
      <c r="D32" s="199">
        <v>600</v>
      </c>
      <c r="E32" s="175"/>
      <c r="F32" s="200">
        <v>404</v>
      </c>
      <c r="G32" s="175">
        <v>3</v>
      </c>
      <c r="H32" s="174"/>
      <c r="I32" s="23"/>
      <c r="J32" s="206">
        <v>738</v>
      </c>
      <c r="K32" s="23"/>
      <c r="L32" s="199">
        <v>902</v>
      </c>
      <c r="M32" s="23"/>
      <c r="N32" s="174"/>
      <c r="O32" s="217">
        <v>519</v>
      </c>
      <c r="P32" s="23">
        <v>8</v>
      </c>
      <c r="Q32" s="25"/>
      <c r="R32" s="23"/>
      <c r="S32" s="200">
        <v>332</v>
      </c>
      <c r="T32" s="187">
        <v>8155108</v>
      </c>
      <c r="U32" s="216">
        <v>75</v>
      </c>
      <c r="V32" s="27">
        <v>1799250</v>
      </c>
      <c r="W32" s="134"/>
    </row>
    <row r="33" spans="1:27" x14ac:dyDescent="0.3">
      <c r="A33" s="20">
        <v>26</v>
      </c>
      <c r="B33" s="21" t="s">
        <v>19</v>
      </c>
      <c r="C33" s="252" t="s">
        <v>260</v>
      </c>
      <c r="D33" s="204">
        <v>202</v>
      </c>
      <c r="E33" s="23"/>
      <c r="F33" s="200">
        <v>350</v>
      </c>
      <c r="G33" s="175">
        <v>21</v>
      </c>
      <c r="H33" s="174"/>
      <c r="I33" s="23"/>
      <c r="J33" s="181">
        <v>1</v>
      </c>
      <c r="K33" s="23"/>
      <c r="L33" s="217">
        <v>593</v>
      </c>
      <c r="M33" s="23"/>
      <c r="N33" s="174"/>
      <c r="O33" s="199">
        <v>757</v>
      </c>
      <c r="P33" s="23"/>
      <c r="Q33" s="25"/>
      <c r="R33" s="23"/>
      <c r="S33" s="200">
        <v>228</v>
      </c>
      <c r="T33" s="187">
        <v>5783433</v>
      </c>
      <c r="U33" s="216">
        <v>75</v>
      </c>
      <c r="V33" s="27">
        <v>1874250</v>
      </c>
      <c r="W33" s="134" t="s">
        <v>276</v>
      </c>
    </row>
    <row r="34" spans="1:27" x14ac:dyDescent="0.3">
      <c r="A34" s="33">
        <v>27</v>
      </c>
      <c r="B34" s="34" t="s">
        <v>20</v>
      </c>
      <c r="C34" s="253" t="s">
        <v>261</v>
      </c>
      <c r="D34" s="35"/>
      <c r="E34" s="31"/>
      <c r="F34" s="35"/>
      <c r="G34" s="31"/>
      <c r="H34" s="35"/>
      <c r="I34" s="31"/>
      <c r="J34" s="35"/>
      <c r="K34" s="31"/>
      <c r="L34" s="174"/>
      <c r="M34" s="31"/>
      <c r="N34" s="35"/>
      <c r="O34" s="174"/>
      <c r="P34" s="31"/>
      <c r="Q34" s="35"/>
      <c r="R34" s="31"/>
      <c r="S34" s="59"/>
      <c r="T34" s="234"/>
      <c r="U34" s="59"/>
      <c r="V34" s="166">
        <v>0</v>
      </c>
      <c r="W34" s="32"/>
    </row>
    <row r="35" spans="1:27" x14ac:dyDescent="0.3">
      <c r="A35" s="44">
        <v>28</v>
      </c>
      <c r="B35" s="45" t="s">
        <v>21</v>
      </c>
      <c r="C35" s="255" t="s">
        <v>261</v>
      </c>
      <c r="D35" s="22"/>
      <c r="E35" s="24"/>
      <c r="F35" s="22"/>
      <c r="G35" s="24"/>
      <c r="H35" s="22"/>
      <c r="I35" s="24"/>
      <c r="J35" s="22"/>
      <c r="K35" s="24"/>
      <c r="L35" s="25"/>
      <c r="M35" s="23"/>
      <c r="N35" s="25"/>
      <c r="O35" s="25"/>
      <c r="P35" s="23"/>
      <c r="Q35" s="25"/>
      <c r="R35" s="23"/>
      <c r="S35" s="216"/>
      <c r="T35" s="187"/>
      <c r="U35" s="216"/>
      <c r="V35" s="27">
        <v>0</v>
      </c>
      <c r="W35" s="32"/>
    </row>
    <row r="36" spans="1:27" ht="19.2" customHeight="1" thickBot="1" x14ac:dyDescent="0.35">
      <c r="A36" s="485" t="s">
        <v>234</v>
      </c>
      <c r="B36" s="503"/>
      <c r="C36" s="256"/>
      <c r="D36" s="38">
        <f t="shared" ref="D36:T36" si="5">SUM(D29:D35)</f>
        <v>1636</v>
      </c>
      <c r="E36" s="39">
        <f t="shared" si="5"/>
        <v>18</v>
      </c>
      <c r="F36" s="38">
        <f t="shared" si="5"/>
        <v>1933</v>
      </c>
      <c r="G36" s="39">
        <f t="shared" si="5"/>
        <v>26</v>
      </c>
      <c r="H36" s="38">
        <f t="shared" si="5"/>
        <v>0</v>
      </c>
      <c r="I36" s="39">
        <f t="shared" si="5"/>
        <v>0</v>
      </c>
      <c r="J36" s="38">
        <f t="shared" si="5"/>
        <v>1659</v>
      </c>
      <c r="K36" s="39">
        <f t="shared" si="5"/>
        <v>0</v>
      </c>
      <c r="L36" s="38">
        <f t="shared" si="5"/>
        <v>3149</v>
      </c>
      <c r="M36" s="39">
        <f t="shared" si="5"/>
        <v>7</v>
      </c>
      <c r="N36" s="38">
        <f>SUM(N29:N33)</f>
        <v>0</v>
      </c>
      <c r="O36" s="38">
        <f t="shared" si="5"/>
        <v>2322</v>
      </c>
      <c r="P36" s="39">
        <f t="shared" si="5"/>
        <v>8</v>
      </c>
      <c r="Q36" s="38">
        <f t="shared" si="5"/>
        <v>0</v>
      </c>
      <c r="R36" s="39">
        <f t="shared" si="5"/>
        <v>0</v>
      </c>
      <c r="S36" s="162">
        <f t="shared" si="5"/>
        <v>1323</v>
      </c>
      <c r="T36" s="189">
        <f t="shared" si="5"/>
        <v>33406255</v>
      </c>
      <c r="U36" s="162">
        <f>SUM(U29:U35)</f>
        <v>698</v>
      </c>
      <c r="V36" s="41">
        <f>SUM(V29:V35)</f>
        <v>17920020</v>
      </c>
      <c r="W36" s="64"/>
    </row>
    <row r="37" spans="1:27" x14ac:dyDescent="0.3">
      <c r="A37" s="11">
        <v>29</v>
      </c>
      <c r="B37" s="12" t="s">
        <v>16</v>
      </c>
      <c r="C37" s="259" t="s">
        <v>260</v>
      </c>
      <c r="D37" s="200">
        <v>422</v>
      </c>
      <c r="E37" s="213">
        <v>23</v>
      </c>
      <c r="F37" s="200">
        <v>428</v>
      </c>
      <c r="G37" s="213"/>
      <c r="H37" s="174"/>
      <c r="I37" s="16"/>
      <c r="J37" s="199">
        <v>1154</v>
      </c>
      <c r="K37" s="16"/>
      <c r="L37" s="200">
        <v>176</v>
      </c>
      <c r="M37" s="16"/>
      <c r="N37" s="174"/>
      <c r="O37" s="204">
        <v>444</v>
      </c>
      <c r="P37" s="16"/>
      <c r="Q37" s="15"/>
      <c r="R37" s="16"/>
      <c r="S37" s="200">
        <v>75</v>
      </c>
      <c r="T37" s="186">
        <v>1961850</v>
      </c>
      <c r="U37" s="233"/>
      <c r="V37" s="18">
        <v>0</v>
      </c>
      <c r="W37" s="260" t="s">
        <v>277</v>
      </c>
    </row>
    <row r="38" spans="1:27" ht="24" x14ac:dyDescent="0.3">
      <c r="A38" s="20">
        <v>30</v>
      </c>
      <c r="B38" s="21" t="s">
        <v>17</v>
      </c>
      <c r="C38" s="252" t="s">
        <v>260</v>
      </c>
      <c r="D38" s="200">
        <v>299</v>
      </c>
      <c r="E38" s="175"/>
      <c r="F38" s="200">
        <v>484</v>
      </c>
      <c r="G38" s="213">
        <v>10</v>
      </c>
      <c r="H38" s="174"/>
      <c r="I38" s="23"/>
      <c r="J38" s="217">
        <v>510</v>
      </c>
      <c r="K38" s="23"/>
      <c r="L38" s="200">
        <v>412</v>
      </c>
      <c r="M38" s="23"/>
      <c r="N38" s="174">
        <v>54</v>
      </c>
      <c r="O38" s="217">
        <v>506</v>
      </c>
      <c r="P38" s="23"/>
      <c r="Q38" s="25"/>
      <c r="R38" s="23"/>
      <c r="S38" s="235">
        <v>620</v>
      </c>
      <c r="T38" s="187">
        <v>16297148</v>
      </c>
      <c r="U38" s="174"/>
      <c r="V38" s="27">
        <v>0</v>
      </c>
      <c r="W38" s="132" t="s">
        <v>279</v>
      </c>
    </row>
    <row r="39" spans="1:27" ht="15.6" customHeight="1" thickBot="1" x14ac:dyDescent="0.35">
      <c r="A39" s="485" t="s">
        <v>237</v>
      </c>
      <c r="B39" s="503"/>
      <c r="C39" s="256"/>
      <c r="D39" s="38">
        <f>SUM(D37:D38)</f>
        <v>721</v>
      </c>
      <c r="E39" s="39">
        <f ca="1">SUM(E37:E39)</f>
        <v>23</v>
      </c>
      <c r="F39" s="38">
        <f t="shared" ref="F39:V39" si="6">SUM(F37:F38)</f>
        <v>912</v>
      </c>
      <c r="G39" s="39">
        <f t="shared" si="6"/>
        <v>10</v>
      </c>
      <c r="H39" s="38">
        <f t="shared" si="6"/>
        <v>0</v>
      </c>
      <c r="I39" s="39">
        <f t="shared" si="6"/>
        <v>0</v>
      </c>
      <c r="J39" s="38">
        <f t="shared" si="6"/>
        <v>1664</v>
      </c>
      <c r="K39" s="39">
        <f t="shared" si="6"/>
        <v>0</v>
      </c>
      <c r="L39" s="38">
        <f t="shared" si="6"/>
        <v>588</v>
      </c>
      <c r="M39" s="39">
        <f t="shared" si="6"/>
        <v>0</v>
      </c>
      <c r="N39" s="38">
        <f t="shared" si="6"/>
        <v>54</v>
      </c>
      <c r="O39" s="38">
        <f t="shared" si="6"/>
        <v>950</v>
      </c>
      <c r="P39" s="39">
        <f t="shared" si="6"/>
        <v>0</v>
      </c>
      <c r="Q39" s="38">
        <f t="shared" si="6"/>
        <v>0</v>
      </c>
      <c r="R39" s="39">
        <f t="shared" si="6"/>
        <v>0</v>
      </c>
      <c r="S39" s="162">
        <f t="shared" si="6"/>
        <v>695</v>
      </c>
      <c r="T39" s="189">
        <f t="shared" si="6"/>
        <v>18258998</v>
      </c>
      <c r="U39" s="162">
        <f t="shared" si="6"/>
        <v>0</v>
      </c>
      <c r="V39" s="41">
        <f t="shared" si="6"/>
        <v>0</v>
      </c>
      <c r="W39" s="64"/>
    </row>
    <row r="40" spans="1:27" ht="19.8" customHeight="1" x14ac:dyDescent="0.3">
      <c r="A40" s="501" t="s">
        <v>243</v>
      </c>
      <c r="B40" s="502"/>
      <c r="C40" s="248"/>
      <c r="D40" s="65">
        <f t="shared" ref="D40:M40" si="7">D12+D20+D28+D36+D39</f>
        <v>8070</v>
      </c>
      <c r="E40" s="66">
        <f t="shared" ca="1" si="7"/>
        <v>55</v>
      </c>
      <c r="F40" s="65">
        <f t="shared" si="7"/>
        <v>7279</v>
      </c>
      <c r="G40" s="66">
        <f t="shared" si="7"/>
        <v>54</v>
      </c>
      <c r="H40" s="65">
        <f t="shared" si="7"/>
        <v>1637</v>
      </c>
      <c r="I40" s="66">
        <f t="shared" si="7"/>
        <v>0</v>
      </c>
      <c r="J40" s="65">
        <f t="shared" si="7"/>
        <v>8680</v>
      </c>
      <c r="K40" s="66">
        <f t="shared" si="7"/>
        <v>0</v>
      </c>
      <c r="L40" s="65">
        <f t="shared" si="7"/>
        <v>9697</v>
      </c>
      <c r="M40" s="66">
        <f t="shared" si="7"/>
        <v>17</v>
      </c>
      <c r="N40" s="65">
        <f>SUM(,N12,N20,N28,N36,N39)</f>
        <v>54</v>
      </c>
      <c r="O40" s="65">
        <f>+O12+O20+O28+O36+O39</f>
        <v>9988</v>
      </c>
      <c r="P40" s="66">
        <f>P12+P20+P28+P36+P39</f>
        <v>8</v>
      </c>
      <c r="Q40" s="65">
        <f>Q12+Q20+Q28+Q36+Q39</f>
        <v>0</v>
      </c>
      <c r="R40" s="66">
        <f>R12+R20+R28+R36+R39</f>
        <v>0</v>
      </c>
      <c r="S40" s="67">
        <f>S12+S20+S28+S36+S39</f>
        <v>8063</v>
      </c>
      <c r="T40" s="192">
        <f>T12+T20+T28+T36+T39</f>
        <v>204596759</v>
      </c>
      <c r="U40" s="220">
        <f>SUM(U12,U20,U28,U36,U39)</f>
        <v>1396</v>
      </c>
      <c r="V40" s="68">
        <f>SUM(V12+V20+V28)</f>
        <v>11807356</v>
      </c>
      <c r="W40" s="69" t="s">
        <v>29</v>
      </c>
    </row>
    <row r="41" spans="1:27" ht="18" customHeight="1" x14ac:dyDescent="0.3">
      <c r="A41" s="457" t="s">
        <v>30</v>
      </c>
      <c r="B41" s="488"/>
      <c r="C41" s="249"/>
      <c r="D41" s="70">
        <v>12000</v>
      </c>
      <c r="E41" s="71"/>
      <c r="F41" s="70">
        <v>8000</v>
      </c>
      <c r="G41" s="71"/>
      <c r="H41" s="70">
        <v>5000</v>
      </c>
      <c r="I41" s="71"/>
      <c r="J41" s="70">
        <v>12000</v>
      </c>
      <c r="K41" s="71"/>
      <c r="L41" s="70">
        <v>12000</v>
      </c>
      <c r="M41" s="71"/>
      <c r="N41" s="70"/>
      <c r="O41" s="70">
        <v>12000</v>
      </c>
      <c r="P41" s="71"/>
      <c r="Q41" s="70"/>
      <c r="R41" s="71">
        <v>0</v>
      </c>
      <c r="S41" s="70">
        <v>12000</v>
      </c>
      <c r="T41" s="193">
        <v>260000000</v>
      </c>
      <c r="U41" s="221"/>
      <c r="V41" s="72"/>
      <c r="W41" s="130">
        <v>1</v>
      </c>
    </row>
    <row r="42" spans="1:27" ht="15.6" customHeight="1" thickBot="1" x14ac:dyDescent="0.35">
      <c r="A42" s="497" t="s">
        <v>31</v>
      </c>
      <c r="B42" s="498"/>
      <c r="C42" s="250"/>
      <c r="D42" s="74">
        <f>D40-D41</f>
        <v>-3930</v>
      </c>
      <c r="E42" s="75"/>
      <c r="F42" s="74">
        <f>F40-F41</f>
        <v>-721</v>
      </c>
      <c r="G42" s="75"/>
      <c r="H42" s="74">
        <f>H40-H41</f>
        <v>-3363</v>
      </c>
      <c r="I42" s="75"/>
      <c r="J42" s="74">
        <f>J40-J41</f>
        <v>-3320</v>
      </c>
      <c r="K42" s="75"/>
      <c r="L42" s="74">
        <f>L40-L41</f>
        <v>-2303</v>
      </c>
      <c r="M42" s="75"/>
      <c r="N42" s="74"/>
      <c r="O42" s="74">
        <f>O40-O41</f>
        <v>-2012</v>
      </c>
      <c r="P42" s="75"/>
      <c r="Q42" s="74"/>
      <c r="R42" s="75">
        <f>R40-R41</f>
        <v>0</v>
      </c>
      <c r="S42" s="76">
        <f>S40-S41</f>
        <v>-3937</v>
      </c>
      <c r="T42" s="194">
        <f>T40-T41</f>
        <v>-55403241</v>
      </c>
      <c r="U42" s="222"/>
      <c r="V42" s="77"/>
      <c r="W42" s="78" t="s">
        <v>32</v>
      </c>
    </row>
    <row r="43" spans="1:27" ht="15" thickBot="1" x14ac:dyDescent="0.35">
      <c r="A43" s="499" t="s">
        <v>244</v>
      </c>
      <c r="B43" s="500"/>
      <c r="C43" s="251"/>
      <c r="D43" s="156" t="e">
        <f>ROUND(D42/V1,0)</f>
        <v>#DIV/0!</v>
      </c>
      <c r="E43" s="157" t="e">
        <f>ROUND(E42/V1,0)</f>
        <v>#DIV/0!</v>
      </c>
      <c r="F43" s="156" t="e">
        <f>ROUND((F42/V1),0)</f>
        <v>#DIV/0!</v>
      </c>
      <c r="G43" s="157"/>
      <c r="H43" s="156" t="e">
        <f>ROUND(H42/V1,0)</f>
        <v>#DIV/0!</v>
      </c>
      <c r="I43" s="157"/>
      <c r="J43" s="156" t="e">
        <f>ROUND(J42/V1,0)</f>
        <v>#DIV/0!</v>
      </c>
      <c r="K43" s="157"/>
      <c r="L43" s="156" t="e">
        <f>ROUND(L42/V1,0)</f>
        <v>#DIV/0!</v>
      </c>
      <c r="M43" s="157"/>
      <c r="N43" s="156"/>
      <c r="O43" s="156" t="e">
        <f>ROUND(O42/V1,0)</f>
        <v>#DIV/0!</v>
      </c>
      <c r="P43" s="157"/>
      <c r="Q43" s="156"/>
      <c r="R43" s="157"/>
      <c r="S43" s="158" t="e">
        <f>ROUND(S42/V1,0)</f>
        <v>#DIV/0!</v>
      </c>
      <c r="T43" s="195" t="e">
        <f>T42/V1</f>
        <v>#DIV/0!</v>
      </c>
      <c r="U43" s="223"/>
      <c r="V43" s="82"/>
      <c r="W43" s="83" t="s">
        <v>268</v>
      </c>
      <c r="Z43" s="207"/>
      <c r="AA43" s="207"/>
    </row>
    <row r="45" spans="1:27" s="112" customFormat="1" x14ac:dyDescent="0.3">
      <c r="D45" s="208" t="s">
        <v>239</v>
      </c>
      <c r="F45" s="208" t="s">
        <v>238</v>
      </c>
      <c r="J45" s="208" t="s">
        <v>239</v>
      </c>
      <c r="L45" s="208" t="s">
        <v>239</v>
      </c>
      <c r="N45" s="208" t="s">
        <v>240</v>
      </c>
      <c r="O45" s="208" t="s">
        <v>239</v>
      </c>
      <c r="S45" s="208" t="s">
        <v>239</v>
      </c>
      <c r="Z45" s="209"/>
      <c r="AA45" s="209"/>
    </row>
    <row r="46" spans="1:27" s="112" customFormat="1" x14ac:dyDescent="0.3">
      <c r="D46" s="210" t="s">
        <v>245</v>
      </c>
      <c r="F46" s="210" t="s">
        <v>248</v>
      </c>
      <c r="J46" s="210" t="s">
        <v>245</v>
      </c>
      <c r="L46" s="210" t="s">
        <v>245</v>
      </c>
      <c r="N46" s="210" t="s">
        <v>249</v>
      </c>
      <c r="O46" s="210" t="s">
        <v>245</v>
      </c>
      <c r="S46" s="210" t="s">
        <v>245</v>
      </c>
      <c r="T46" s="209"/>
      <c r="U46" s="209"/>
      <c r="V46" s="209"/>
      <c r="Z46" s="209"/>
      <c r="AA46" s="209"/>
    </row>
    <row r="47" spans="1:27" s="112" customFormat="1" x14ac:dyDescent="0.3">
      <c r="D47" s="211" t="s">
        <v>273</v>
      </c>
      <c r="F47" s="211" t="s">
        <v>272</v>
      </c>
      <c r="J47" s="211" t="s">
        <v>246</v>
      </c>
      <c r="L47" s="211" t="s">
        <v>246</v>
      </c>
      <c r="N47" s="211" t="s">
        <v>250</v>
      </c>
      <c r="O47" s="211" t="s">
        <v>246</v>
      </c>
      <c r="S47" s="211" t="s">
        <v>246</v>
      </c>
      <c r="Z47" s="209"/>
      <c r="AA47" s="209"/>
    </row>
  </sheetData>
  <mergeCells count="25">
    <mergeCell ref="A39:B39"/>
    <mergeCell ref="A40:B40"/>
    <mergeCell ref="A41:B41"/>
    <mergeCell ref="A42:B42"/>
    <mergeCell ref="A43:B43"/>
    <mergeCell ref="A12:B12"/>
    <mergeCell ref="A20:B20"/>
    <mergeCell ref="A28:B28"/>
    <mergeCell ref="A36:B36"/>
    <mergeCell ref="S2:V2"/>
    <mergeCell ref="W2:W4"/>
    <mergeCell ref="A3:B3"/>
    <mergeCell ref="T3:T4"/>
    <mergeCell ref="V3:V4"/>
    <mergeCell ref="A4:B4"/>
    <mergeCell ref="A1:M1"/>
    <mergeCell ref="O1:T1"/>
    <mergeCell ref="A2:B2"/>
    <mergeCell ref="D2:E2"/>
    <mergeCell ref="F2:G2"/>
    <mergeCell ref="H2:I2"/>
    <mergeCell ref="J2:K2"/>
    <mergeCell ref="L2:M2"/>
    <mergeCell ref="O2:P2"/>
    <mergeCell ref="Q2:R2"/>
  </mergeCells>
  <pageMargins left="0.7" right="0.7" top="0.75" bottom="0.75" header="0.3" footer="0.3"/>
  <ignoredErrors>
    <ignoredError sqref="E39" formula="1"/>
  </ignoredErrors>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9C2A9-9FF0-486E-9F49-B6EF5D05432B}">
  <dimension ref="A1:AA48"/>
  <sheetViews>
    <sheetView workbookViewId="0">
      <pane xSplit="3" ySplit="4" topLeftCell="D25" activePane="bottomRight" state="frozen"/>
      <selection pane="topRight" activeCell="D1" sqref="D1"/>
      <selection pane="bottomLeft" activeCell="A5" sqref="A5"/>
      <selection pane="bottomRight" activeCell="A29" sqref="A29"/>
    </sheetView>
  </sheetViews>
  <sheetFormatPr baseColWidth="10" defaultRowHeight="14.4" x14ac:dyDescent="0.3"/>
  <cols>
    <col min="1" max="1" width="4" customWidth="1"/>
    <col min="2" max="2" width="10.5546875" customWidth="1"/>
    <col min="3" max="3" width="3.77734375" bestFit="1" customWidth="1"/>
    <col min="4" max="4" width="7.5546875" customWidth="1"/>
    <col min="5" max="5" width="7.88671875" bestFit="1" customWidth="1"/>
    <col min="6" max="13" width="7.5546875" customWidth="1"/>
    <col min="14" max="14" width="15.5546875" customWidth="1"/>
    <col min="15" max="15" width="8.77734375" customWidth="1"/>
    <col min="16" max="18" width="7.5546875" customWidth="1"/>
    <col min="19" max="19" width="8.6640625" customWidth="1"/>
    <col min="20" max="20" width="15" customWidth="1"/>
    <col min="21" max="21" width="6.33203125" customWidth="1"/>
    <col min="22" max="22" width="12.109375" customWidth="1"/>
    <col min="23" max="23" width="64.6640625" customWidth="1"/>
    <col min="24" max="24" width="2.5546875" customWidth="1"/>
    <col min="26" max="27" width="11.5546875" style="168"/>
  </cols>
  <sheetData>
    <row r="1" spans="1:24" ht="34.200000000000003" customHeight="1" thickBot="1" x14ac:dyDescent="0.35">
      <c r="A1" s="461" t="s">
        <v>282</v>
      </c>
      <c r="B1" s="461"/>
      <c r="C1" s="461"/>
      <c r="D1" s="461"/>
      <c r="E1" s="461"/>
      <c r="F1" s="461"/>
      <c r="G1" s="461"/>
      <c r="H1" s="461"/>
      <c r="I1" s="461"/>
      <c r="J1" s="461"/>
      <c r="K1" s="461"/>
      <c r="L1" s="461"/>
      <c r="M1" s="461"/>
      <c r="N1" s="169"/>
      <c r="O1" s="473" t="s">
        <v>230</v>
      </c>
      <c r="P1" s="474"/>
      <c r="Q1" s="474"/>
      <c r="R1" s="474"/>
      <c r="S1" s="474"/>
      <c r="T1" s="474"/>
      <c r="U1" s="218"/>
      <c r="V1" s="185">
        <v>0</v>
      </c>
      <c r="W1" s="2"/>
    </row>
    <row r="2" spans="1:24" ht="14.4" customHeight="1" thickBot="1" x14ac:dyDescent="0.35">
      <c r="A2" s="476" t="s">
        <v>1</v>
      </c>
      <c r="B2" s="467"/>
      <c r="C2" s="244"/>
      <c r="D2" s="466" t="s">
        <v>2</v>
      </c>
      <c r="E2" s="467"/>
      <c r="F2" s="466" t="s">
        <v>262</v>
      </c>
      <c r="G2" s="467"/>
      <c r="H2" s="466" t="s">
        <v>4</v>
      </c>
      <c r="I2" s="467"/>
      <c r="J2" s="466" t="s">
        <v>5</v>
      </c>
      <c r="K2" s="467"/>
      <c r="L2" s="466" t="s">
        <v>6</v>
      </c>
      <c r="M2" s="467"/>
      <c r="N2" s="286" t="s">
        <v>285</v>
      </c>
      <c r="O2" s="466" t="s">
        <v>7</v>
      </c>
      <c r="P2" s="467"/>
      <c r="Q2" s="466" t="s">
        <v>8</v>
      </c>
      <c r="R2" s="467"/>
      <c r="S2" s="466" t="s">
        <v>251</v>
      </c>
      <c r="T2" s="490"/>
      <c r="U2" s="490"/>
      <c r="V2" s="468"/>
      <c r="W2" s="443" t="s">
        <v>10</v>
      </c>
    </row>
    <row r="3" spans="1:24" ht="15" customHeight="1" thickBot="1" x14ac:dyDescent="0.35">
      <c r="A3" s="481" t="s">
        <v>11</v>
      </c>
      <c r="B3" s="482"/>
      <c r="C3" s="246"/>
      <c r="D3" s="3" t="s">
        <v>13</v>
      </c>
      <c r="E3" s="4" t="s">
        <v>12</v>
      </c>
      <c r="F3" s="3" t="s">
        <v>13</v>
      </c>
      <c r="G3" s="4" t="s">
        <v>12</v>
      </c>
      <c r="H3" s="3" t="s">
        <v>13</v>
      </c>
      <c r="I3" s="4" t="s">
        <v>12</v>
      </c>
      <c r="J3" s="3" t="s">
        <v>13</v>
      </c>
      <c r="K3" s="4" t="s">
        <v>12</v>
      </c>
      <c r="L3" s="3" t="s">
        <v>13</v>
      </c>
      <c r="M3" s="4" t="s">
        <v>12</v>
      </c>
      <c r="N3" s="286" t="s">
        <v>284</v>
      </c>
      <c r="O3" s="3" t="s">
        <v>13</v>
      </c>
      <c r="P3" s="4" t="s">
        <v>12</v>
      </c>
      <c r="Q3" s="3" t="s">
        <v>13</v>
      </c>
      <c r="R3" s="4" t="s">
        <v>12</v>
      </c>
      <c r="S3" s="5" t="s">
        <v>252</v>
      </c>
      <c r="T3" s="491" t="s">
        <v>227</v>
      </c>
      <c r="U3" s="5" t="s">
        <v>253</v>
      </c>
      <c r="V3" s="493" t="s">
        <v>228</v>
      </c>
      <c r="W3" s="444"/>
    </row>
    <row r="4" spans="1:24" ht="14.4" customHeight="1" thickBot="1" x14ac:dyDescent="0.35">
      <c r="A4" s="483" t="s">
        <v>242</v>
      </c>
      <c r="B4" s="484"/>
      <c r="C4" s="247" t="s">
        <v>259</v>
      </c>
      <c r="D4" s="7">
        <v>600</v>
      </c>
      <c r="E4" s="8">
        <v>0</v>
      </c>
      <c r="F4" s="263">
        <v>400</v>
      </c>
      <c r="G4" s="8">
        <v>0</v>
      </c>
      <c r="H4" s="9">
        <v>250</v>
      </c>
      <c r="I4" s="8">
        <v>0</v>
      </c>
      <c r="J4" s="9">
        <v>600</v>
      </c>
      <c r="K4" s="8">
        <v>0</v>
      </c>
      <c r="L4" s="9">
        <v>600</v>
      </c>
      <c r="M4" s="8">
        <v>0</v>
      </c>
      <c r="N4" s="9">
        <v>20</v>
      </c>
      <c r="O4" s="9">
        <v>600</v>
      </c>
      <c r="P4" s="8">
        <v>0</v>
      </c>
      <c r="Q4" s="9">
        <v>0</v>
      </c>
      <c r="R4" s="8">
        <v>0</v>
      </c>
      <c r="S4" s="7">
        <v>600</v>
      </c>
      <c r="T4" s="492"/>
      <c r="U4" s="7">
        <v>0</v>
      </c>
      <c r="V4" s="494"/>
      <c r="W4" s="469"/>
    </row>
    <row r="5" spans="1:24" ht="28.2" customHeight="1" x14ac:dyDescent="0.3">
      <c r="A5" s="29">
        <v>1</v>
      </c>
      <c r="B5" s="21" t="s">
        <v>17</v>
      </c>
      <c r="C5" s="252" t="s">
        <v>260</v>
      </c>
      <c r="D5" s="200">
        <v>280</v>
      </c>
      <c r="E5" s="175">
        <v>1</v>
      </c>
      <c r="F5" s="200">
        <v>150</v>
      </c>
      <c r="G5" s="23"/>
      <c r="H5" s="174"/>
      <c r="I5" s="23"/>
      <c r="J5" s="174"/>
      <c r="K5" s="23"/>
      <c r="L5" s="199">
        <v>642</v>
      </c>
      <c r="M5" s="23"/>
      <c r="N5" s="174"/>
      <c r="O5" s="217">
        <v>532</v>
      </c>
      <c r="P5" s="23"/>
      <c r="Q5" s="25"/>
      <c r="R5" s="23"/>
      <c r="S5" s="229">
        <v>559</v>
      </c>
      <c r="T5" s="186">
        <v>14191905</v>
      </c>
      <c r="U5" s="229">
        <v>418</v>
      </c>
      <c r="V5" s="27">
        <v>10863820</v>
      </c>
      <c r="W5" s="126" t="s">
        <v>296</v>
      </c>
    </row>
    <row r="6" spans="1:24" ht="24" x14ac:dyDescent="0.3">
      <c r="A6" s="29">
        <v>2</v>
      </c>
      <c r="B6" s="21" t="s">
        <v>18</v>
      </c>
      <c r="C6" s="252" t="s">
        <v>260</v>
      </c>
      <c r="D6" s="217">
        <v>597</v>
      </c>
      <c r="E6" s="175"/>
      <c r="F6" s="200">
        <v>208</v>
      </c>
      <c r="G6" s="23"/>
      <c r="H6" s="174"/>
      <c r="I6" s="23"/>
      <c r="J6" s="174"/>
      <c r="K6" s="23"/>
      <c r="L6" s="200">
        <v>0</v>
      </c>
      <c r="M6" s="23"/>
      <c r="N6" s="174"/>
      <c r="O6" s="200">
        <v>60</v>
      </c>
      <c r="P6" s="23"/>
      <c r="Q6" s="25"/>
      <c r="R6" s="23"/>
      <c r="S6" s="228">
        <v>0</v>
      </c>
      <c r="T6" s="186">
        <v>0</v>
      </c>
      <c r="U6" s="229"/>
      <c r="V6" s="27"/>
      <c r="W6" s="126" t="s">
        <v>297</v>
      </c>
    </row>
    <row r="7" spans="1:24" ht="24" x14ac:dyDescent="0.3">
      <c r="A7" s="29">
        <v>3</v>
      </c>
      <c r="B7" s="21" t="s">
        <v>19</v>
      </c>
      <c r="C7" s="252" t="s">
        <v>260</v>
      </c>
      <c r="D7" s="265">
        <v>114</v>
      </c>
      <c r="E7" s="175">
        <v>6</v>
      </c>
      <c r="F7" s="200">
        <v>300</v>
      </c>
      <c r="G7" s="23"/>
      <c r="H7" s="174"/>
      <c r="I7" s="23"/>
      <c r="J7" s="199">
        <v>1531</v>
      </c>
      <c r="K7" s="23"/>
      <c r="L7" s="174"/>
      <c r="M7" s="175"/>
      <c r="N7" s="275"/>
      <c r="O7" s="205">
        <v>424</v>
      </c>
      <c r="P7" s="23"/>
      <c r="Q7" s="25"/>
      <c r="R7" s="23"/>
      <c r="S7" s="228">
        <v>428</v>
      </c>
      <c r="T7" s="186">
        <v>10844807</v>
      </c>
      <c r="U7" s="229"/>
      <c r="V7" s="18"/>
      <c r="W7" s="126" t="s">
        <v>298</v>
      </c>
    </row>
    <row r="8" spans="1:24" x14ac:dyDescent="0.3">
      <c r="A8" s="33">
        <v>4</v>
      </c>
      <c r="B8" s="34" t="s">
        <v>20</v>
      </c>
      <c r="C8" s="253" t="s">
        <v>261</v>
      </c>
      <c r="D8" s="181"/>
      <c r="E8" s="31"/>
      <c r="F8" s="35"/>
      <c r="G8" s="31"/>
      <c r="H8" s="35"/>
      <c r="I8" s="31"/>
      <c r="J8" s="35"/>
      <c r="K8" s="31"/>
      <c r="L8" s="25"/>
      <c r="M8" s="31"/>
      <c r="N8" s="35"/>
      <c r="O8" s="35"/>
      <c r="P8" s="31"/>
      <c r="Q8" s="35"/>
      <c r="R8" s="31"/>
      <c r="S8" s="36"/>
      <c r="T8" s="186"/>
      <c r="U8" s="36"/>
      <c r="V8" s="18"/>
      <c r="W8" s="128"/>
    </row>
    <row r="9" spans="1:24" x14ac:dyDescent="0.3">
      <c r="A9" s="44">
        <v>5</v>
      </c>
      <c r="B9" s="45" t="s">
        <v>21</v>
      </c>
      <c r="C9" s="255" t="s">
        <v>261</v>
      </c>
      <c r="D9" s="22"/>
      <c r="E9" s="31"/>
      <c r="F9" s="22"/>
      <c r="G9" s="31"/>
      <c r="H9" s="22"/>
      <c r="I9" s="31"/>
      <c r="J9" s="22"/>
      <c r="K9" s="31"/>
      <c r="L9" s="25"/>
      <c r="M9" s="31"/>
      <c r="N9" s="174"/>
      <c r="O9" s="174"/>
      <c r="P9" s="31"/>
      <c r="Q9" s="25"/>
      <c r="R9" s="31"/>
      <c r="S9" s="229"/>
      <c r="T9" s="186"/>
      <c r="U9" s="36"/>
      <c r="V9" s="18"/>
      <c r="W9" s="28"/>
    </row>
    <row r="10" spans="1:24" ht="15.6" customHeight="1" thickBot="1" x14ac:dyDescent="0.35">
      <c r="A10" s="485" t="s">
        <v>233</v>
      </c>
      <c r="B10" s="503"/>
      <c r="C10" s="256"/>
      <c r="D10" s="38">
        <f t="shared" ref="D10:M10" si="0">SUM(D5:D9)</f>
        <v>991</v>
      </c>
      <c r="E10" s="39">
        <f t="shared" si="0"/>
        <v>7</v>
      </c>
      <c r="F10" s="38">
        <f t="shared" si="0"/>
        <v>658</v>
      </c>
      <c r="G10" s="39">
        <f t="shared" si="0"/>
        <v>0</v>
      </c>
      <c r="H10" s="38">
        <f t="shared" si="0"/>
        <v>0</v>
      </c>
      <c r="I10" s="39">
        <f t="shared" si="0"/>
        <v>0</v>
      </c>
      <c r="J10" s="38">
        <f t="shared" si="0"/>
        <v>1531</v>
      </c>
      <c r="K10" s="39">
        <f t="shared" si="0"/>
        <v>0</v>
      </c>
      <c r="L10" s="38">
        <f t="shared" si="0"/>
        <v>642</v>
      </c>
      <c r="M10" s="39">
        <f t="shared" si="0"/>
        <v>0</v>
      </c>
      <c r="N10" s="38">
        <f>SUM(N5:N7)</f>
        <v>0</v>
      </c>
      <c r="O10" s="38">
        <f t="shared" ref="O10:V10" si="1">SUM(O5:O9)</f>
        <v>1016</v>
      </c>
      <c r="P10" s="39">
        <f t="shared" si="1"/>
        <v>0</v>
      </c>
      <c r="Q10" s="38">
        <f t="shared" si="1"/>
        <v>0</v>
      </c>
      <c r="R10" s="39">
        <f t="shared" si="1"/>
        <v>0</v>
      </c>
      <c r="S10" s="40">
        <f t="shared" si="1"/>
        <v>987</v>
      </c>
      <c r="T10" s="189">
        <f t="shared" si="1"/>
        <v>25036712</v>
      </c>
      <c r="U10" s="162">
        <f t="shared" si="1"/>
        <v>418</v>
      </c>
      <c r="V10" s="41">
        <f t="shared" si="1"/>
        <v>10863820</v>
      </c>
      <c r="W10" s="46"/>
    </row>
    <row r="11" spans="1:24" x14ac:dyDescent="0.3">
      <c r="A11" s="47">
        <v>6</v>
      </c>
      <c r="B11" s="48" t="s">
        <v>16</v>
      </c>
      <c r="C11" s="257" t="s">
        <v>260</v>
      </c>
      <c r="D11" s="203">
        <v>152</v>
      </c>
      <c r="E11" s="258">
        <v>7</v>
      </c>
      <c r="F11" s="200">
        <v>122</v>
      </c>
      <c r="G11" s="51">
        <v>8</v>
      </c>
      <c r="H11" s="262"/>
      <c r="I11" s="51">
        <v>8</v>
      </c>
      <c r="J11" s="202">
        <v>509</v>
      </c>
      <c r="K11" s="51"/>
      <c r="L11" s="254">
        <v>1032</v>
      </c>
      <c r="M11" s="51"/>
      <c r="N11" s="262"/>
      <c r="O11" s="203">
        <v>56</v>
      </c>
      <c r="P11" s="51"/>
      <c r="Q11" s="52"/>
      <c r="R11" s="51"/>
      <c r="S11" s="241">
        <v>838</v>
      </c>
      <c r="T11" s="190">
        <v>21195114</v>
      </c>
      <c r="U11" s="232">
        <v>593</v>
      </c>
      <c r="V11" s="87">
        <v>8560578</v>
      </c>
      <c r="W11" s="172"/>
    </row>
    <row r="12" spans="1:24" ht="15" thickBot="1" x14ac:dyDescent="0.35">
      <c r="A12" s="20">
        <v>7</v>
      </c>
      <c r="B12" s="21" t="s">
        <v>17</v>
      </c>
      <c r="C12" s="252" t="s">
        <v>260</v>
      </c>
      <c r="D12" s="217">
        <v>516</v>
      </c>
      <c r="E12" s="175">
        <v>2</v>
      </c>
      <c r="F12" s="265">
        <v>299</v>
      </c>
      <c r="G12" s="23"/>
      <c r="H12" s="174"/>
      <c r="I12" s="23"/>
      <c r="J12" s="200">
        <v>253</v>
      </c>
      <c r="K12" s="175"/>
      <c r="L12" s="200">
        <v>484</v>
      </c>
      <c r="M12" s="175"/>
      <c r="N12" s="174"/>
      <c r="O12" s="200">
        <v>242</v>
      </c>
      <c r="P12" s="23"/>
      <c r="Q12" s="25"/>
      <c r="R12" s="23"/>
      <c r="S12" s="228">
        <v>129</v>
      </c>
      <c r="T12" s="187">
        <v>3593335</v>
      </c>
      <c r="U12" s="229"/>
      <c r="V12" s="27"/>
      <c r="W12" s="128" t="s">
        <v>280</v>
      </c>
    </row>
    <row r="13" spans="1:24" ht="15.6" customHeight="1" thickTop="1" x14ac:dyDescent="0.3">
      <c r="A13" s="20">
        <v>8</v>
      </c>
      <c r="B13" s="21" t="s">
        <v>17</v>
      </c>
      <c r="C13" s="252" t="s">
        <v>260</v>
      </c>
      <c r="D13" s="200">
        <v>150</v>
      </c>
      <c r="E13" s="289"/>
      <c r="F13" s="291">
        <v>302</v>
      </c>
      <c r="G13" s="290"/>
      <c r="H13" s="174"/>
      <c r="I13" s="23"/>
      <c r="J13" s="200">
        <v>0</v>
      </c>
      <c r="K13" s="23"/>
      <c r="L13" s="217">
        <v>536</v>
      </c>
      <c r="M13" s="23"/>
      <c r="N13" s="174"/>
      <c r="O13" s="200">
        <v>435</v>
      </c>
      <c r="P13" s="23"/>
      <c r="Q13" s="25"/>
      <c r="R13" s="23"/>
      <c r="S13" s="228">
        <v>284</v>
      </c>
      <c r="T13" s="187">
        <v>6793551</v>
      </c>
      <c r="U13" s="229"/>
      <c r="V13" s="27"/>
      <c r="W13" s="128" t="s">
        <v>281</v>
      </c>
    </row>
    <row r="14" spans="1:24" ht="15" thickBot="1" x14ac:dyDescent="0.35">
      <c r="A14" s="20">
        <v>9</v>
      </c>
      <c r="B14" s="21" t="s">
        <v>18</v>
      </c>
      <c r="C14" s="252" t="s">
        <v>260</v>
      </c>
      <c r="D14" s="199">
        <v>602</v>
      </c>
      <c r="E14" s="289"/>
      <c r="F14" s="292">
        <v>180</v>
      </c>
      <c r="G14" s="290"/>
      <c r="H14" s="25"/>
      <c r="I14" s="23"/>
      <c r="J14" s="200"/>
      <c r="K14" s="23"/>
      <c r="L14" s="200">
        <v>244</v>
      </c>
      <c r="M14" s="23"/>
      <c r="N14" s="174"/>
      <c r="O14" s="217">
        <v>504</v>
      </c>
      <c r="P14" s="23"/>
      <c r="Q14" s="25"/>
      <c r="R14" s="23"/>
      <c r="S14" s="200">
        <v>-24</v>
      </c>
      <c r="T14" s="187">
        <v>-445661</v>
      </c>
      <c r="U14" s="229">
        <v>252</v>
      </c>
      <c r="V14" s="27">
        <v>3987888</v>
      </c>
      <c r="W14" s="128" t="s">
        <v>283</v>
      </c>
      <c r="X14" s="55"/>
    </row>
    <row r="15" spans="1:24" ht="36.6" thickTop="1" x14ac:dyDescent="0.3">
      <c r="A15" s="20">
        <v>10</v>
      </c>
      <c r="B15" s="21" t="s">
        <v>19</v>
      </c>
      <c r="C15" s="252" t="s">
        <v>260</v>
      </c>
      <c r="D15" s="200">
        <v>344</v>
      </c>
      <c r="E15" s="23"/>
      <c r="F15" s="204">
        <v>152</v>
      </c>
      <c r="G15" s="23"/>
      <c r="H15" s="25"/>
      <c r="I15" s="23"/>
      <c r="J15" s="174"/>
      <c r="K15" s="23"/>
      <c r="L15" s="200">
        <v>368</v>
      </c>
      <c r="M15" s="23"/>
      <c r="N15" s="200">
        <v>71</v>
      </c>
      <c r="O15" s="200">
        <v>72</v>
      </c>
      <c r="P15" s="23"/>
      <c r="Q15" s="25"/>
      <c r="R15" s="23"/>
      <c r="S15" s="200">
        <v>168</v>
      </c>
      <c r="T15" s="187">
        <v>4417320</v>
      </c>
      <c r="U15" s="229"/>
      <c r="V15" s="27"/>
      <c r="W15" s="126" t="s">
        <v>286</v>
      </c>
    </row>
    <row r="16" spans="1:24" x14ac:dyDescent="0.3">
      <c r="A16" s="33">
        <v>11</v>
      </c>
      <c r="B16" s="34" t="s">
        <v>20</v>
      </c>
      <c r="C16" s="253" t="s">
        <v>261</v>
      </c>
      <c r="D16" s="174"/>
      <c r="E16" s="23"/>
      <c r="F16" s="174"/>
      <c r="G16" s="175"/>
      <c r="H16" s="174"/>
      <c r="I16" s="31"/>
      <c r="J16" s="174"/>
      <c r="K16" s="31"/>
      <c r="L16" s="159"/>
      <c r="M16" s="31"/>
      <c r="N16" s="35"/>
      <c r="O16" s="174"/>
      <c r="P16" s="31"/>
      <c r="Q16" s="35"/>
      <c r="R16" s="31"/>
      <c r="S16" s="268"/>
      <c r="T16" s="187"/>
      <c r="U16" s="36"/>
      <c r="V16" s="37"/>
      <c r="W16" s="32"/>
    </row>
    <row r="17" spans="1:27" x14ac:dyDescent="0.3">
      <c r="A17" s="44">
        <v>12</v>
      </c>
      <c r="B17" s="45" t="s">
        <v>21</v>
      </c>
      <c r="C17" s="255" t="s">
        <v>261</v>
      </c>
      <c r="D17" s="22"/>
      <c r="E17" s="31"/>
      <c r="F17" s="35"/>
      <c r="G17" s="31"/>
      <c r="H17" s="35"/>
      <c r="I17" s="31"/>
      <c r="J17" s="35"/>
      <c r="K17" s="31"/>
      <c r="L17" s="35"/>
      <c r="M17" s="31"/>
      <c r="N17" s="35"/>
      <c r="O17" s="35"/>
      <c r="P17" s="31"/>
      <c r="Q17" s="35"/>
      <c r="R17" s="31"/>
      <c r="S17" s="36"/>
      <c r="T17" s="187"/>
      <c r="U17" s="36"/>
      <c r="V17" s="37"/>
      <c r="W17" s="32"/>
    </row>
    <row r="18" spans="1:27" ht="21" customHeight="1" thickBot="1" x14ac:dyDescent="0.35">
      <c r="A18" s="485" t="s">
        <v>236</v>
      </c>
      <c r="B18" s="503"/>
      <c r="C18" s="256"/>
      <c r="D18" s="38">
        <f>SUM(D11:D17)</f>
        <v>1764</v>
      </c>
      <c r="E18" s="39">
        <f t="shared" ref="E18:S18" si="2">SUM(E11:E17)</f>
        <v>9</v>
      </c>
      <c r="F18" s="38">
        <f t="shared" si="2"/>
        <v>1055</v>
      </c>
      <c r="G18" s="39">
        <f t="shared" si="2"/>
        <v>8</v>
      </c>
      <c r="H18" s="38">
        <f t="shared" si="2"/>
        <v>0</v>
      </c>
      <c r="I18" s="39">
        <f t="shared" si="2"/>
        <v>8</v>
      </c>
      <c r="J18" s="38">
        <f t="shared" si="2"/>
        <v>762</v>
      </c>
      <c r="K18" s="39">
        <f t="shared" si="2"/>
        <v>0</v>
      </c>
      <c r="L18" s="38">
        <f t="shared" si="2"/>
        <v>2664</v>
      </c>
      <c r="M18" s="39">
        <f t="shared" si="2"/>
        <v>0</v>
      </c>
      <c r="N18" s="38">
        <f>SUM(N11:N15)</f>
        <v>71</v>
      </c>
      <c r="O18" s="38">
        <f t="shared" si="2"/>
        <v>1309</v>
      </c>
      <c r="P18" s="39">
        <f t="shared" si="2"/>
        <v>0</v>
      </c>
      <c r="Q18" s="38">
        <f t="shared" si="2"/>
        <v>0</v>
      </c>
      <c r="R18" s="39">
        <f t="shared" si="2"/>
        <v>0</v>
      </c>
      <c r="S18" s="40">
        <f t="shared" si="2"/>
        <v>1395</v>
      </c>
      <c r="T18" s="189">
        <f>SUM(T11:T17)</f>
        <v>35553659</v>
      </c>
      <c r="U18" s="162">
        <f>SUM(U11:U17)</f>
        <v>845</v>
      </c>
      <c r="V18" s="41">
        <f>SUM(V11:V17)</f>
        <v>12548466</v>
      </c>
      <c r="W18" s="56"/>
    </row>
    <row r="19" spans="1:27" x14ac:dyDescent="0.3">
      <c r="A19" s="11">
        <v>13</v>
      </c>
      <c r="B19" s="12" t="s">
        <v>16</v>
      </c>
      <c r="C19" s="277" t="s">
        <v>260</v>
      </c>
      <c r="D19" s="204">
        <v>298</v>
      </c>
      <c r="E19" s="16"/>
      <c r="F19" s="200">
        <v>250</v>
      </c>
      <c r="G19" s="16"/>
      <c r="H19" s="174"/>
      <c r="I19" s="16"/>
      <c r="J19" s="204">
        <v>439</v>
      </c>
      <c r="K19" s="16"/>
      <c r="L19" s="200">
        <v>0</v>
      </c>
      <c r="M19" s="16"/>
      <c r="N19" s="174"/>
      <c r="O19" s="200">
        <v>178</v>
      </c>
      <c r="P19" s="16"/>
      <c r="Q19" s="15"/>
      <c r="R19" s="16"/>
      <c r="S19" s="200">
        <v>78</v>
      </c>
      <c r="T19" s="186">
        <v>1893958</v>
      </c>
      <c r="U19" s="226">
        <v>223</v>
      </c>
      <c r="V19" s="18">
        <v>3610062</v>
      </c>
      <c r="W19" s="131" t="s">
        <v>287</v>
      </c>
    </row>
    <row r="20" spans="1:27" x14ac:dyDescent="0.3">
      <c r="A20" s="20">
        <v>14</v>
      </c>
      <c r="B20" s="21" t="s">
        <v>17</v>
      </c>
      <c r="C20" s="261" t="s">
        <v>260</v>
      </c>
      <c r="D20" s="199">
        <v>602</v>
      </c>
      <c r="E20" s="23"/>
      <c r="F20" s="200">
        <v>347</v>
      </c>
      <c r="G20" s="23"/>
      <c r="H20" s="174"/>
      <c r="I20" s="23"/>
      <c r="J20" s="200">
        <v>413</v>
      </c>
      <c r="K20" s="23"/>
      <c r="L20" s="217">
        <v>519</v>
      </c>
      <c r="M20" s="23"/>
      <c r="N20" s="174"/>
      <c r="O20" s="217">
        <v>510</v>
      </c>
      <c r="P20" s="23"/>
      <c r="Q20" s="25"/>
      <c r="R20" s="23"/>
      <c r="S20" s="240">
        <v>570</v>
      </c>
      <c r="T20" s="186">
        <v>14626811</v>
      </c>
      <c r="U20" s="216">
        <v>145</v>
      </c>
      <c r="V20" s="27">
        <v>2276093</v>
      </c>
      <c r="W20" s="128"/>
    </row>
    <row r="21" spans="1:27" s="137" customFormat="1" x14ac:dyDescent="0.3">
      <c r="A21" s="20">
        <v>15</v>
      </c>
      <c r="B21" s="21" t="s">
        <v>17</v>
      </c>
      <c r="C21" s="261" t="s">
        <v>260</v>
      </c>
      <c r="D21" s="217">
        <v>500</v>
      </c>
      <c r="E21" s="175"/>
      <c r="F21" s="200">
        <v>264</v>
      </c>
      <c r="G21" s="175"/>
      <c r="H21" s="174"/>
      <c r="I21" s="175"/>
      <c r="J21" s="200">
        <v>0</v>
      </c>
      <c r="K21" s="175"/>
      <c r="L21" s="200">
        <v>343</v>
      </c>
      <c r="M21" s="175"/>
      <c r="N21" s="174"/>
      <c r="O21" s="200">
        <v>213</v>
      </c>
      <c r="P21" s="175"/>
      <c r="Q21" s="174"/>
      <c r="R21" s="175"/>
      <c r="S21" s="200">
        <v>196</v>
      </c>
      <c r="T21" s="186">
        <v>4785452</v>
      </c>
      <c r="U21" s="216">
        <v>156</v>
      </c>
      <c r="V21" s="27">
        <v>2298264</v>
      </c>
      <c r="W21" s="128"/>
      <c r="Z21" s="184"/>
      <c r="AA21" s="184"/>
    </row>
    <row r="22" spans="1:27" s="137" customFormat="1" ht="36" x14ac:dyDescent="0.3">
      <c r="A22" s="29">
        <v>16</v>
      </c>
      <c r="B22" s="30" t="s">
        <v>18</v>
      </c>
      <c r="C22" s="261" t="s">
        <v>260</v>
      </c>
      <c r="D22" s="200">
        <v>400</v>
      </c>
      <c r="E22" s="175"/>
      <c r="F22" s="200">
        <v>290</v>
      </c>
      <c r="G22" s="175"/>
      <c r="H22" s="174"/>
      <c r="I22" s="175"/>
      <c r="J22" s="217">
        <v>501</v>
      </c>
      <c r="K22" s="175"/>
      <c r="L22" s="200">
        <v>0</v>
      </c>
      <c r="M22" s="175"/>
      <c r="N22" s="174"/>
      <c r="O22" s="217">
        <v>514</v>
      </c>
      <c r="P22" s="175"/>
      <c r="Q22" s="174"/>
      <c r="R22" s="175"/>
      <c r="S22" s="215">
        <v>162</v>
      </c>
      <c r="T22" s="186">
        <v>3255284</v>
      </c>
      <c r="U22" s="216">
        <v>407</v>
      </c>
      <c r="V22" s="287">
        <v>6852402</v>
      </c>
      <c r="W22" s="126" t="s">
        <v>288</v>
      </c>
      <c r="Z22" s="184"/>
      <c r="AA22" s="184"/>
    </row>
    <row r="23" spans="1:27" s="137" customFormat="1" ht="24" x14ac:dyDescent="0.3">
      <c r="A23" s="29">
        <v>17</v>
      </c>
      <c r="B23" s="30" t="s">
        <v>19</v>
      </c>
      <c r="C23" s="261" t="s">
        <v>260</v>
      </c>
      <c r="D23" s="200">
        <v>100</v>
      </c>
      <c r="E23" s="175"/>
      <c r="F23" s="200">
        <v>0</v>
      </c>
      <c r="G23" s="175">
        <v>5</v>
      </c>
      <c r="H23" s="174"/>
      <c r="I23" s="175"/>
      <c r="J23" s="174"/>
      <c r="K23" s="175"/>
      <c r="L23" s="200">
        <v>110</v>
      </c>
      <c r="M23" s="175"/>
      <c r="N23" s="174"/>
      <c r="O23" s="200">
        <v>267</v>
      </c>
      <c r="P23" s="175"/>
      <c r="Q23" s="174"/>
      <c r="R23" s="175"/>
      <c r="S23" s="215">
        <v>189</v>
      </c>
      <c r="T23" s="186">
        <v>4664995</v>
      </c>
      <c r="U23" s="216">
        <v>198</v>
      </c>
      <c r="V23" s="278">
        <v>3158412</v>
      </c>
      <c r="W23" s="126" t="s">
        <v>289</v>
      </c>
      <c r="Z23" s="184"/>
      <c r="AA23" s="184"/>
    </row>
    <row r="24" spans="1:27" x14ac:dyDescent="0.3">
      <c r="A24" s="33">
        <v>18</v>
      </c>
      <c r="B24" s="34" t="s">
        <v>20</v>
      </c>
      <c r="C24" s="253" t="s">
        <v>261</v>
      </c>
      <c r="D24" s="35"/>
      <c r="E24" s="31"/>
      <c r="F24" s="35"/>
      <c r="G24" s="31"/>
      <c r="H24" s="35"/>
      <c r="I24" s="31"/>
      <c r="J24" s="35"/>
      <c r="K24" s="31"/>
      <c r="L24" s="35"/>
      <c r="M24" s="31"/>
      <c r="N24" s="35"/>
      <c r="O24" s="35"/>
      <c r="P24" s="31"/>
      <c r="Q24" s="35"/>
      <c r="R24" s="31"/>
      <c r="S24" s="59"/>
      <c r="T24" s="188">
        <v>0</v>
      </c>
      <c r="U24" s="59">
        <v>0</v>
      </c>
      <c r="V24" s="37">
        <v>0</v>
      </c>
      <c r="W24" s="128"/>
    </row>
    <row r="25" spans="1:27" ht="15.6" customHeight="1" x14ac:dyDescent="0.3">
      <c r="A25" s="44">
        <v>19</v>
      </c>
      <c r="B25" s="45" t="s">
        <v>21</v>
      </c>
      <c r="C25" s="255" t="s">
        <v>261</v>
      </c>
      <c r="D25" s="22"/>
      <c r="E25" s="24"/>
      <c r="F25" s="22"/>
      <c r="G25" s="24"/>
      <c r="H25" s="22"/>
      <c r="I25" s="24"/>
      <c r="J25" s="22"/>
      <c r="K25" s="24"/>
      <c r="L25" s="25"/>
      <c r="M25" s="23"/>
      <c r="N25" s="25"/>
      <c r="O25" s="25"/>
      <c r="P25" s="23"/>
      <c r="Q25" s="25"/>
      <c r="R25" s="23"/>
      <c r="S25" s="216"/>
      <c r="T25" s="187">
        <v>0</v>
      </c>
      <c r="U25" s="216">
        <v>0</v>
      </c>
      <c r="V25" s="27">
        <v>0</v>
      </c>
      <c r="W25" s="32"/>
    </row>
    <row r="26" spans="1:27" ht="20.399999999999999" customHeight="1" thickBot="1" x14ac:dyDescent="0.35">
      <c r="A26" s="485" t="s">
        <v>235</v>
      </c>
      <c r="B26" s="503"/>
      <c r="C26" s="256"/>
      <c r="D26" s="38">
        <f t="shared" ref="D26:M26" si="3">SUM(D19:D25)</f>
        <v>1900</v>
      </c>
      <c r="E26" s="39">
        <f t="shared" si="3"/>
        <v>0</v>
      </c>
      <c r="F26" s="38">
        <f t="shared" si="3"/>
        <v>1151</v>
      </c>
      <c r="G26" s="39">
        <f t="shared" si="3"/>
        <v>5</v>
      </c>
      <c r="H26" s="38">
        <f t="shared" si="3"/>
        <v>0</v>
      </c>
      <c r="I26" s="39">
        <f t="shared" si="3"/>
        <v>0</v>
      </c>
      <c r="J26" s="38">
        <f t="shared" si="3"/>
        <v>1353</v>
      </c>
      <c r="K26" s="39">
        <f t="shared" si="3"/>
        <v>0</v>
      </c>
      <c r="L26" s="38">
        <f t="shared" si="3"/>
        <v>972</v>
      </c>
      <c r="M26" s="39">
        <f t="shared" si="3"/>
        <v>0</v>
      </c>
      <c r="N26" s="38">
        <f>SUM(N19:N20,N22:N23)</f>
        <v>0</v>
      </c>
      <c r="O26" s="38">
        <f t="shared" ref="O26:U26" si="4">SUM(O19:O25)</f>
        <v>1682</v>
      </c>
      <c r="P26" s="39">
        <f t="shared" si="4"/>
        <v>0</v>
      </c>
      <c r="Q26" s="38">
        <f t="shared" si="4"/>
        <v>0</v>
      </c>
      <c r="R26" s="39">
        <f t="shared" si="4"/>
        <v>0</v>
      </c>
      <c r="S26" s="162">
        <f t="shared" si="4"/>
        <v>1195</v>
      </c>
      <c r="T26" s="189">
        <f t="shared" si="4"/>
        <v>29226500</v>
      </c>
      <c r="U26" s="162">
        <f t="shared" si="4"/>
        <v>1129</v>
      </c>
      <c r="V26" s="41">
        <f>SUM(V19:V22)</f>
        <v>15036821</v>
      </c>
      <c r="W26" s="56"/>
    </row>
    <row r="27" spans="1:27" x14ac:dyDescent="0.3">
      <c r="A27" s="11">
        <v>20</v>
      </c>
      <c r="B27" s="12" t="s">
        <v>16</v>
      </c>
      <c r="C27" s="259" t="s">
        <v>260</v>
      </c>
      <c r="D27" s="217">
        <v>500</v>
      </c>
      <c r="E27" s="213"/>
      <c r="F27" s="200">
        <v>154</v>
      </c>
      <c r="G27" s="213"/>
      <c r="H27" s="181"/>
      <c r="I27" s="213"/>
      <c r="J27" s="206">
        <v>1222</v>
      </c>
      <c r="K27" s="213"/>
      <c r="L27" s="204">
        <v>202</v>
      </c>
      <c r="M27" s="213"/>
      <c r="N27" s="174"/>
      <c r="O27" s="200">
        <v>289</v>
      </c>
      <c r="P27" s="213"/>
      <c r="Q27" s="181"/>
      <c r="R27" s="213"/>
      <c r="S27" s="200">
        <v>26</v>
      </c>
      <c r="T27" s="186">
        <v>666463</v>
      </c>
      <c r="U27" s="233">
        <v>66</v>
      </c>
      <c r="V27" s="18">
        <v>1376664</v>
      </c>
      <c r="W27" s="260"/>
    </row>
    <row r="28" spans="1:27" x14ac:dyDescent="0.3">
      <c r="A28" s="20">
        <v>21</v>
      </c>
      <c r="B28" s="21" t="s">
        <v>17</v>
      </c>
      <c r="C28" s="252" t="s">
        <v>260</v>
      </c>
      <c r="D28" s="204">
        <v>102</v>
      </c>
      <c r="E28" s="175"/>
      <c r="F28" s="200">
        <v>300</v>
      </c>
      <c r="G28" s="175"/>
      <c r="H28" s="174"/>
      <c r="I28" s="175"/>
      <c r="J28" s="200">
        <v>0</v>
      </c>
      <c r="K28" s="175"/>
      <c r="L28" s="200">
        <v>280</v>
      </c>
      <c r="M28" s="175"/>
      <c r="N28" s="174"/>
      <c r="O28" s="217">
        <v>593</v>
      </c>
      <c r="P28" s="175"/>
      <c r="Q28" s="174"/>
      <c r="R28" s="175"/>
      <c r="S28" s="200">
        <v>229</v>
      </c>
      <c r="T28" s="187">
        <v>6504564</v>
      </c>
      <c r="U28" s="174">
        <v>110</v>
      </c>
      <c r="V28" s="27">
        <v>1649340</v>
      </c>
      <c r="W28" s="132"/>
    </row>
    <row r="29" spans="1:27" s="177" customFormat="1" x14ac:dyDescent="0.3">
      <c r="A29" s="29">
        <v>22</v>
      </c>
      <c r="B29" s="30" t="s">
        <v>17</v>
      </c>
      <c r="C29" s="261" t="s">
        <v>260</v>
      </c>
      <c r="D29" s="200">
        <v>300</v>
      </c>
      <c r="E29" s="175"/>
      <c r="F29" s="200">
        <f>202+100</f>
        <v>302</v>
      </c>
      <c r="G29" s="175"/>
      <c r="H29" s="199">
        <v>1434</v>
      </c>
      <c r="I29" s="175"/>
      <c r="J29" s="174"/>
      <c r="K29" s="175"/>
      <c r="L29" s="295">
        <v>739</v>
      </c>
      <c r="M29" s="175">
        <v>29</v>
      </c>
      <c r="N29" s="174"/>
      <c r="O29" s="200">
        <v>170</v>
      </c>
      <c r="P29" s="175"/>
      <c r="Q29" s="174"/>
      <c r="R29" s="175"/>
      <c r="S29" s="200">
        <v>248</v>
      </c>
      <c r="T29" s="187">
        <v>6300337</v>
      </c>
      <c r="U29" s="174"/>
      <c r="V29" s="27"/>
      <c r="W29" s="288" t="s">
        <v>299</v>
      </c>
      <c r="Z29" s="198"/>
      <c r="AA29" s="198"/>
    </row>
    <row r="30" spans="1:27" x14ac:dyDescent="0.3">
      <c r="A30" s="20">
        <v>23</v>
      </c>
      <c r="B30" s="21" t="s">
        <v>18</v>
      </c>
      <c r="C30" s="252" t="s">
        <v>260</v>
      </c>
      <c r="D30" s="200">
        <v>138</v>
      </c>
      <c r="E30" s="175"/>
      <c r="F30" s="200">
        <v>300</v>
      </c>
      <c r="G30" s="175"/>
      <c r="H30" s="174"/>
      <c r="I30" s="23"/>
      <c r="J30" s="181"/>
      <c r="K30" s="23"/>
      <c r="L30" s="217">
        <v>511</v>
      </c>
      <c r="M30" s="23"/>
      <c r="N30" s="174"/>
      <c r="O30" s="174"/>
      <c r="P30" s="23"/>
      <c r="Q30" s="25"/>
      <c r="R30" s="23"/>
      <c r="S30" s="199">
        <v>645</v>
      </c>
      <c r="T30" s="187">
        <v>16858335</v>
      </c>
      <c r="U30" s="216"/>
      <c r="V30" s="27"/>
      <c r="W30" s="134" t="s">
        <v>290</v>
      </c>
    </row>
    <row r="31" spans="1:27" ht="24" x14ac:dyDescent="0.3">
      <c r="A31" s="20">
        <v>24</v>
      </c>
      <c r="B31" s="21" t="s">
        <v>19</v>
      </c>
      <c r="C31" s="252" t="s">
        <v>260</v>
      </c>
      <c r="D31" s="293">
        <v>602</v>
      </c>
      <c r="E31" s="23"/>
      <c r="F31" s="204">
        <v>300</v>
      </c>
      <c r="G31" s="175"/>
      <c r="H31" s="174"/>
      <c r="I31" s="23"/>
      <c r="J31" s="181"/>
      <c r="K31" s="23"/>
      <c r="L31" s="200">
        <v>328</v>
      </c>
      <c r="M31" s="23"/>
      <c r="N31" s="174"/>
      <c r="O31" s="174"/>
      <c r="P31" s="23"/>
      <c r="Q31" s="25"/>
      <c r="R31" s="23"/>
      <c r="S31" s="200">
        <v>75</v>
      </c>
      <c r="T31" s="187">
        <v>2699250</v>
      </c>
      <c r="U31" s="216">
        <v>55</v>
      </c>
      <c r="V31" s="27">
        <v>903870</v>
      </c>
      <c r="W31" s="132" t="s">
        <v>300</v>
      </c>
    </row>
    <row r="32" spans="1:27" x14ac:dyDescent="0.3">
      <c r="A32" s="33">
        <v>25</v>
      </c>
      <c r="B32" s="34" t="s">
        <v>20</v>
      </c>
      <c r="C32" s="253" t="s">
        <v>261</v>
      </c>
      <c r="D32" s="294">
        <v>452</v>
      </c>
      <c r="E32" s="31"/>
      <c r="F32" s="35"/>
      <c r="G32" s="31"/>
      <c r="H32" s="35"/>
      <c r="I32" s="31"/>
      <c r="J32" s="35"/>
      <c r="K32" s="31"/>
      <c r="L32" s="174"/>
      <c r="M32" s="31"/>
      <c r="N32" s="35"/>
      <c r="O32" s="174"/>
      <c r="P32" s="31"/>
      <c r="Q32" s="35"/>
      <c r="R32" s="31"/>
      <c r="S32" s="59"/>
      <c r="T32" s="234"/>
      <c r="U32" s="59"/>
      <c r="V32" s="166"/>
      <c r="W32" s="32"/>
    </row>
    <row r="33" spans="1:27" x14ac:dyDescent="0.3">
      <c r="A33" s="44">
        <v>26</v>
      </c>
      <c r="B33" s="45" t="s">
        <v>21</v>
      </c>
      <c r="C33" s="255" t="s">
        <v>261</v>
      </c>
      <c r="D33" s="22"/>
      <c r="E33" s="24"/>
      <c r="F33" s="22"/>
      <c r="G33" s="24"/>
      <c r="H33" s="22"/>
      <c r="I33" s="24"/>
      <c r="J33" s="22"/>
      <c r="K33" s="24"/>
      <c r="L33" s="25"/>
      <c r="M33" s="23"/>
      <c r="N33" s="25"/>
      <c r="O33" s="25"/>
      <c r="P33" s="23"/>
      <c r="Q33" s="25"/>
      <c r="R33" s="23"/>
      <c r="S33" s="216"/>
      <c r="T33" s="187"/>
      <c r="U33" s="216"/>
      <c r="V33" s="27"/>
      <c r="W33" s="32"/>
    </row>
    <row r="34" spans="1:27" ht="19.2" customHeight="1" thickBot="1" x14ac:dyDescent="0.35">
      <c r="A34" s="485" t="s">
        <v>234</v>
      </c>
      <c r="B34" s="503"/>
      <c r="C34" s="256"/>
      <c r="D34" s="38">
        <f t="shared" ref="D34:T34" si="5">SUM(D27:D33)</f>
        <v>2094</v>
      </c>
      <c r="E34" s="39">
        <f t="shared" si="5"/>
        <v>0</v>
      </c>
      <c r="F34" s="38">
        <f t="shared" si="5"/>
        <v>1356</v>
      </c>
      <c r="G34" s="39">
        <f t="shared" si="5"/>
        <v>0</v>
      </c>
      <c r="H34" s="38">
        <f t="shared" si="5"/>
        <v>1434</v>
      </c>
      <c r="I34" s="39">
        <f t="shared" si="5"/>
        <v>0</v>
      </c>
      <c r="J34" s="38">
        <f t="shared" si="5"/>
        <v>1222</v>
      </c>
      <c r="K34" s="39">
        <f t="shared" si="5"/>
        <v>0</v>
      </c>
      <c r="L34" s="38">
        <f t="shared" si="5"/>
        <v>2060</v>
      </c>
      <c r="M34" s="39">
        <f t="shared" si="5"/>
        <v>29</v>
      </c>
      <c r="N34" s="38">
        <f>SUM(N27:N31)</f>
        <v>0</v>
      </c>
      <c r="O34" s="38">
        <f t="shared" si="5"/>
        <v>1052</v>
      </c>
      <c r="P34" s="39">
        <f t="shared" si="5"/>
        <v>0</v>
      </c>
      <c r="Q34" s="38">
        <f t="shared" si="5"/>
        <v>0</v>
      </c>
      <c r="R34" s="39">
        <f t="shared" si="5"/>
        <v>0</v>
      </c>
      <c r="S34" s="162">
        <f t="shared" si="5"/>
        <v>1223</v>
      </c>
      <c r="T34" s="189">
        <f t="shared" si="5"/>
        <v>33028949</v>
      </c>
      <c r="U34" s="162">
        <f>SUM(U27:U33)</f>
        <v>231</v>
      </c>
      <c r="V34" s="41">
        <f>SUM(V27:V33)</f>
        <v>3929874</v>
      </c>
      <c r="W34" s="64"/>
    </row>
    <row r="35" spans="1:27" x14ac:dyDescent="0.3">
      <c r="A35" s="11">
        <v>27</v>
      </c>
      <c r="B35" s="12" t="s">
        <v>16</v>
      </c>
      <c r="C35" s="259" t="s">
        <v>260</v>
      </c>
      <c r="D35" s="200">
        <v>140</v>
      </c>
      <c r="E35" s="213"/>
      <c r="F35" s="200">
        <v>300</v>
      </c>
      <c r="G35" s="213"/>
      <c r="H35" s="200">
        <v>114</v>
      </c>
      <c r="I35" s="16"/>
      <c r="J35" s="199">
        <v>1789</v>
      </c>
      <c r="K35" s="16"/>
      <c r="L35" s="200">
        <v>349</v>
      </c>
      <c r="M35" s="16"/>
      <c r="N35" s="174"/>
      <c r="O35" s="204">
        <v>256</v>
      </c>
      <c r="P35" s="16"/>
      <c r="Q35" s="15"/>
      <c r="R35" s="16"/>
      <c r="S35" s="200">
        <v>116</v>
      </c>
      <c r="T35" s="186">
        <v>3035840</v>
      </c>
      <c r="U35" s="233">
        <v>19</v>
      </c>
      <c r="V35" s="18">
        <v>474810</v>
      </c>
      <c r="W35" s="260" t="s">
        <v>291</v>
      </c>
    </row>
    <row r="36" spans="1:27" x14ac:dyDescent="0.3">
      <c r="A36" s="20">
        <v>28</v>
      </c>
      <c r="B36" s="21" t="s">
        <v>17</v>
      </c>
      <c r="C36" s="252" t="s">
        <v>260</v>
      </c>
      <c r="D36" s="200">
        <v>462</v>
      </c>
      <c r="E36" s="175"/>
      <c r="F36" s="200">
        <v>450</v>
      </c>
      <c r="G36" s="213"/>
      <c r="H36" s="174"/>
      <c r="I36" s="23"/>
      <c r="J36" s="199">
        <v>656</v>
      </c>
      <c r="K36" s="23"/>
      <c r="L36" s="199">
        <v>915</v>
      </c>
      <c r="M36" s="23"/>
      <c r="N36" s="174"/>
      <c r="O36" s="200">
        <v>187</v>
      </c>
      <c r="P36" s="23"/>
      <c r="Q36" s="25"/>
      <c r="R36" s="23"/>
      <c r="S36" s="215">
        <v>179</v>
      </c>
      <c r="T36" s="187">
        <v>4615210</v>
      </c>
      <c r="U36" s="174">
        <v>64</v>
      </c>
      <c r="V36" s="27">
        <v>12986616</v>
      </c>
      <c r="W36" s="132" t="s">
        <v>292</v>
      </c>
    </row>
    <row r="37" spans="1:27" x14ac:dyDescent="0.3">
      <c r="A37" s="270">
        <v>29</v>
      </c>
      <c r="B37" s="271" t="s">
        <v>17</v>
      </c>
      <c r="C37" s="272" t="s">
        <v>260</v>
      </c>
      <c r="D37" s="299">
        <v>608</v>
      </c>
      <c r="E37" s="279"/>
      <c r="F37" s="265">
        <v>452</v>
      </c>
      <c r="G37" s="280"/>
      <c r="H37" s="274"/>
      <c r="I37" s="281"/>
      <c r="J37" s="274"/>
      <c r="K37" s="281"/>
      <c r="L37" s="299">
        <v>613</v>
      </c>
      <c r="M37" s="281"/>
      <c r="N37" s="274"/>
      <c r="O37" s="299">
        <v>767</v>
      </c>
      <c r="P37" s="281"/>
      <c r="Q37" s="282"/>
      <c r="R37" s="281"/>
      <c r="S37" s="300">
        <v>228</v>
      </c>
      <c r="T37" s="283">
        <v>5919472</v>
      </c>
      <c r="U37" s="284">
        <v>203</v>
      </c>
      <c r="V37" s="285">
        <v>3145398</v>
      </c>
      <c r="W37" s="273" t="s">
        <v>293</v>
      </c>
    </row>
    <row r="38" spans="1:27" x14ac:dyDescent="0.3">
      <c r="A38" s="270">
        <v>30</v>
      </c>
      <c r="B38" s="271" t="s">
        <v>18</v>
      </c>
      <c r="C38" s="272" t="s">
        <v>260</v>
      </c>
      <c r="D38" s="298">
        <v>508</v>
      </c>
      <c r="E38" s="279"/>
      <c r="F38" s="265">
        <v>402</v>
      </c>
      <c r="G38" s="280">
        <v>12</v>
      </c>
      <c r="H38" s="274"/>
      <c r="I38" s="281"/>
      <c r="J38" s="274"/>
      <c r="K38" s="281"/>
      <c r="L38" s="265">
        <v>462</v>
      </c>
      <c r="M38" s="281"/>
      <c r="N38" s="274"/>
      <c r="O38" s="265">
        <v>196</v>
      </c>
      <c r="P38" s="281"/>
      <c r="Q38" s="282"/>
      <c r="R38" s="281"/>
      <c r="S38" s="300">
        <v>342</v>
      </c>
      <c r="T38" s="283">
        <v>9058180</v>
      </c>
      <c r="U38" s="284">
        <v>121</v>
      </c>
      <c r="V38" s="285">
        <v>1960674</v>
      </c>
      <c r="W38" s="273"/>
    </row>
    <row r="39" spans="1:27" x14ac:dyDescent="0.3">
      <c r="A39" s="270">
        <v>31</v>
      </c>
      <c r="B39" s="276" t="s">
        <v>19</v>
      </c>
      <c r="C39" s="253" t="s">
        <v>261</v>
      </c>
      <c r="D39" s="35" t="s">
        <v>36</v>
      </c>
      <c r="E39" s="31" t="s">
        <v>36</v>
      </c>
      <c r="F39" s="35" t="s">
        <v>36</v>
      </c>
      <c r="G39" s="31" t="s">
        <v>36</v>
      </c>
      <c r="H39" s="35" t="s">
        <v>36</v>
      </c>
      <c r="I39" s="31" t="s">
        <v>36</v>
      </c>
      <c r="J39" s="35" t="s">
        <v>36</v>
      </c>
      <c r="K39" s="31" t="s">
        <v>36</v>
      </c>
      <c r="L39" s="35" t="s">
        <v>36</v>
      </c>
      <c r="M39" s="31" t="s">
        <v>36</v>
      </c>
      <c r="N39" s="35" t="s">
        <v>36</v>
      </c>
      <c r="O39" s="35" t="s">
        <v>36</v>
      </c>
      <c r="P39" s="31" t="s">
        <v>36</v>
      </c>
      <c r="Q39" s="35" t="s">
        <v>36</v>
      </c>
      <c r="R39" s="31" t="s">
        <v>36</v>
      </c>
      <c r="S39" s="59" t="s">
        <v>36</v>
      </c>
      <c r="T39" s="191" t="s">
        <v>36</v>
      </c>
      <c r="U39" s="59" t="s">
        <v>36</v>
      </c>
      <c r="V39" s="151" t="s">
        <v>36</v>
      </c>
      <c r="W39" s="273" t="s">
        <v>295</v>
      </c>
    </row>
    <row r="40" spans="1:27" ht="15.6" customHeight="1" thickBot="1" x14ac:dyDescent="0.35">
      <c r="A40" s="485" t="s">
        <v>237</v>
      </c>
      <c r="B40" s="503"/>
      <c r="C40" s="256"/>
      <c r="D40" s="38">
        <f t="shared" ref="D40:V40" si="6">SUM(D35:D38)</f>
        <v>1718</v>
      </c>
      <c r="E40" s="39">
        <f t="shared" si="6"/>
        <v>0</v>
      </c>
      <c r="F40" s="38">
        <f t="shared" si="6"/>
        <v>1604</v>
      </c>
      <c r="G40" s="39">
        <f t="shared" si="6"/>
        <v>12</v>
      </c>
      <c r="H40" s="38">
        <f t="shared" si="6"/>
        <v>114</v>
      </c>
      <c r="I40" s="39">
        <f t="shared" si="6"/>
        <v>0</v>
      </c>
      <c r="J40" s="38">
        <f t="shared" si="6"/>
        <v>2445</v>
      </c>
      <c r="K40" s="39">
        <f t="shared" si="6"/>
        <v>0</v>
      </c>
      <c r="L40" s="38">
        <f t="shared" si="6"/>
        <v>2339</v>
      </c>
      <c r="M40" s="39">
        <f t="shared" si="6"/>
        <v>0</v>
      </c>
      <c r="N40" s="38">
        <f t="shared" si="6"/>
        <v>0</v>
      </c>
      <c r="O40" s="38">
        <f t="shared" si="6"/>
        <v>1406</v>
      </c>
      <c r="P40" s="39">
        <f t="shared" si="6"/>
        <v>0</v>
      </c>
      <c r="Q40" s="38">
        <f t="shared" si="6"/>
        <v>0</v>
      </c>
      <c r="R40" s="39">
        <f t="shared" si="6"/>
        <v>0</v>
      </c>
      <c r="S40" s="162">
        <f t="shared" si="6"/>
        <v>865</v>
      </c>
      <c r="T40" s="189">
        <f t="shared" si="6"/>
        <v>22628702</v>
      </c>
      <c r="U40" s="162">
        <f t="shared" si="6"/>
        <v>407</v>
      </c>
      <c r="V40" s="41">
        <f t="shared" si="6"/>
        <v>18567498</v>
      </c>
      <c r="W40" s="64"/>
    </row>
    <row r="41" spans="1:27" ht="19.8" customHeight="1" x14ac:dyDescent="0.3">
      <c r="A41" s="501" t="s">
        <v>243</v>
      </c>
      <c r="B41" s="502"/>
      <c r="C41" s="248"/>
      <c r="D41" s="65">
        <f t="shared" ref="D41:M41" si="7">D10+D18+D26+D34+D40</f>
        <v>8467</v>
      </c>
      <c r="E41" s="66">
        <f t="shared" si="7"/>
        <v>16</v>
      </c>
      <c r="F41" s="65">
        <f t="shared" si="7"/>
        <v>5824</v>
      </c>
      <c r="G41" s="66">
        <f t="shared" si="7"/>
        <v>25</v>
      </c>
      <c r="H41" s="65">
        <f t="shared" si="7"/>
        <v>1548</v>
      </c>
      <c r="I41" s="66">
        <f t="shared" si="7"/>
        <v>8</v>
      </c>
      <c r="J41" s="65">
        <f t="shared" si="7"/>
        <v>7313</v>
      </c>
      <c r="K41" s="66">
        <f t="shared" si="7"/>
        <v>0</v>
      </c>
      <c r="L41" s="65">
        <f t="shared" si="7"/>
        <v>8677</v>
      </c>
      <c r="M41" s="66">
        <f t="shared" si="7"/>
        <v>29</v>
      </c>
      <c r="N41" s="65">
        <f>SUM(,N10,N18,N26,N34,N40)</f>
        <v>71</v>
      </c>
      <c r="O41" s="65">
        <f>+O10+O18+O26+O34+O40</f>
        <v>6465</v>
      </c>
      <c r="P41" s="66">
        <f>P10+P18+P26+P34+P40</f>
        <v>0</v>
      </c>
      <c r="Q41" s="65">
        <f>Q10+Q18+Q26+Q34+Q40</f>
        <v>0</v>
      </c>
      <c r="R41" s="66">
        <f>R10+R18+R26+R34+R40</f>
        <v>0</v>
      </c>
      <c r="S41" s="67">
        <f>S10+S18+S26+S34+S40</f>
        <v>5665</v>
      </c>
      <c r="T41" s="192">
        <f>T10+T18+T26+T34+T40</f>
        <v>145474522</v>
      </c>
      <c r="U41" s="220">
        <f>SUM(U10,U18,U26,U34,U40)</f>
        <v>3030</v>
      </c>
      <c r="V41" s="68">
        <f>SUM(V10+V18+V26)</f>
        <v>38449107</v>
      </c>
      <c r="W41" s="69" t="s">
        <v>29</v>
      </c>
    </row>
    <row r="42" spans="1:27" ht="18" customHeight="1" x14ac:dyDescent="0.3">
      <c r="A42" s="457" t="s">
        <v>30</v>
      </c>
      <c r="B42" s="488"/>
      <c r="C42" s="249"/>
      <c r="D42" s="70">
        <v>12000</v>
      </c>
      <c r="E42" s="71"/>
      <c r="F42" s="70">
        <v>8000</v>
      </c>
      <c r="G42" s="71"/>
      <c r="H42" s="70">
        <v>5000</v>
      </c>
      <c r="I42" s="71"/>
      <c r="J42" s="70">
        <v>12000</v>
      </c>
      <c r="K42" s="71"/>
      <c r="L42" s="70">
        <v>12000</v>
      </c>
      <c r="M42" s="71"/>
      <c r="N42" s="70"/>
      <c r="O42" s="70">
        <v>12000</v>
      </c>
      <c r="P42" s="71"/>
      <c r="Q42" s="70"/>
      <c r="R42" s="71">
        <v>0</v>
      </c>
      <c r="S42" s="70">
        <v>12000</v>
      </c>
      <c r="T42" s="193">
        <v>260000000</v>
      </c>
      <c r="U42" s="221"/>
      <c r="V42" s="72"/>
      <c r="W42" s="130">
        <v>4</v>
      </c>
    </row>
    <row r="43" spans="1:27" ht="15.6" customHeight="1" thickBot="1" x14ac:dyDescent="0.35">
      <c r="A43" s="497" t="s">
        <v>31</v>
      </c>
      <c r="B43" s="498"/>
      <c r="C43" s="250"/>
      <c r="D43" s="74">
        <f>D41-D42</f>
        <v>-3533</v>
      </c>
      <c r="E43" s="75"/>
      <c r="F43" s="74">
        <f>F41-F42</f>
        <v>-2176</v>
      </c>
      <c r="G43" s="75"/>
      <c r="H43" s="74">
        <f>H41-H42</f>
        <v>-3452</v>
      </c>
      <c r="I43" s="75"/>
      <c r="J43" s="74">
        <f>J41-J42</f>
        <v>-4687</v>
      </c>
      <c r="K43" s="75"/>
      <c r="L43" s="74">
        <f>L41-L42</f>
        <v>-3323</v>
      </c>
      <c r="M43" s="75"/>
      <c r="N43" s="74"/>
      <c r="O43" s="74">
        <f>O41-O42</f>
        <v>-5535</v>
      </c>
      <c r="P43" s="75"/>
      <c r="Q43" s="74"/>
      <c r="R43" s="75">
        <f>R41-R42</f>
        <v>0</v>
      </c>
      <c r="S43" s="76">
        <f>S41-S42</f>
        <v>-6335</v>
      </c>
      <c r="T43" s="194">
        <f>T41-T42</f>
        <v>-114525478</v>
      </c>
      <c r="U43" s="222"/>
      <c r="V43" s="77"/>
      <c r="W43" s="78" t="s">
        <v>32</v>
      </c>
    </row>
    <row r="44" spans="1:27" ht="15" thickBot="1" x14ac:dyDescent="0.35">
      <c r="A44" s="499" t="s">
        <v>244</v>
      </c>
      <c r="B44" s="500"/>
      <c r="C44" s="251"/>
      <c r="D44" s="156" t="e">
        <f>ROUND(D43/V1,0)</f>
        <v>#DIV/0!</v>
      </c>
      <c r="E44" s="157" t="e">
        <f>ROUND(E43/V1,0)</f>
        <v>#DIV/0!</v>
      </c>
      <c r="F44" s="156" t="e">
        <f>ROUND((F43/V1),0)</f>
        <v>#DIV/0!</v>
      </c>
      <c r="G44" s="157"/>
      <c r="H44" s="156" t="e">
        <f>ROUND(H43/V1,0)</f>
        <v>#DIV/0!</v>
      </c>
      <c r="I44" s="157"/>
      <c r="J44" s="156" t="e">
        <f>ROUND(J43/V1,0)</f>
        <v>#DIV/0!</v>
      </c>
      <c r="K44" s="157"/>
      <c r="L44" s="156" t="e">
        <f>ROUND(L43/V1,0)</f>
        <v>#DIV/0!</v>
      </c>
      <c r="M44" s="157"/>
      <c r="N44" s="156"/>
      <c r="O44" s="156" t="e">
        <f>ROUND(O43/V1,0)</f>
        <v>#DIV/0!</v>
      </c>
      <c r="P44" s="157"/>
      <c r="Q44" s="156"/>
      <c r="R44" s="157"/>
      <c r="S44" s="158" t="e">
        <f>ROUND(S43/V1,0)</f>
        <v>#DIV/0!</v>
      </c>
      <c r="T44" s="195" t="e">
        <f>T43/V1</f>
        <v>#DIV/0!</v>
      </c>
      <c r="U44" s="223"/>
      <c r="V44" s="82"/>
      <c r="W44" s="83" t="s">
        <v>268</v>
      </c>
      <c r="Z44" s="207"/>
      <c r="AA44" s="207"/>
    </row>
    <row r="46" spans="1:27" s="112" customFormat="1" x14ac:dyDescent="0.3">
      <c r="D46" s="208" t="s">
        <v>239</v>
      </c>
      <c r="F46" s="208" t="s">
        <v>238</v>
      </c>
      <c r="J46" s="208" t="s">
        <v>239</v>
      </c>
      <c r="L46" s="208" t="s">
        <v>239</v>
      </c>
      <c r="N46" s="208" t="s">
        <v>240</v>
      </c>
      <c r="O46" s="208" t="s">
        <v>239</v>
      </c>
      <c r="S46" s="208" t="s">
        <v>239</v>
      </c>
      <c r="Z46" s="209"/>
      <c r="AA46" s="209"/>
    </row>
    <row r="47" spans="1:27" s="112" customFormat="1" x14ac:dyDescent="0.3">
      <c r="D47" s="210" t="s">
        <v>245</v>
      </c>
      <c r="F47" s="210" t="s">
        <v>248</v>
      </c>
      <c r="J47" s="210" t="s">
        <v>245</v>
      </c>
      <c r="L47" s="210" t="s">
        <v>245</v>
      </c>
      <c r="N47" s="210" t="s">
        <v>249</v>
      </c>
      <c r="O47" s="210" t="s">
        <v>245</v>
      </c>
      <c r="S47" s="210" t="s">
        <v>245</v>
      </c>
      <c r="T47" s="209"/>
      <c r="U47" s="209"/>
      <c r="V47" s="209"/>
      <c r="Z47" s="209"/>
      <c r="AA47" s="209"/>
    </row>
    <row r="48" spans="1:27" s="112" customFormat="1" x14ac:dyDescent="0.3">
      <c r="D48" s="211" t="s">
        <v>273</v>
      </c>
      <c r="F48" s="211" t="s">
        <v>272</v>
      </c>
      <c r="J48" s="211" t="s">
        <v>246</v>
      </c>
      <c r="L48" s="211" t="s">
        <v>246</v>
      </c>
      <c r="N48" s="211" t="s">
        <v>250</v>
      </c>
      <c r="O48" s="211" t="s">
        <v>246</v>
      </c>
      <c r="S48" s="211" t="s">
        <v>246</v>
      </c>
      <c r="Z48" s="209"/>
      <c r="AA48" s="209"/>
    </row>
  </sheetData>
  <mergeCells count="25">
    <mergeCell ref="A42:B42"/>
    <mergeCell ref="A43:B43"/>
    <mergeCell ref="A44:B44"/>
    <mergeCell ref="A10:B10"/>
    <mergeCell ref="A18:B18"/>
    <mergeCell ref="A26:B26"/>
    <mergeCell ref="A34:B34"/>
    <mergeCell ref="A40:B40"/>
    <mergeCell ref="A41:B41"/>
    <mergeCell ref="W2:W4"/>
    <mergeCell ref="A3:B3"/>
    <mergeCell ref="T3:T4"/>
    <mergeCell ref="V3:V4"/>
    <mergeCell ref="A4:B4"/>
    <mergeCell ref="A1:M1"/>
    <mergeCell ref="O1:T1"/>
    <mergeCell ref="A2:B2"/>
    <mergeCell ref="D2:E2"/>
    <mergeCell ref="F2:G2"/>
    <mergeCell ref="H2:I2"/>
    <mergeCell ref="J2:K2"/>
    <mergeCell ref="L2:M2"/>
    <mergeCell ref="O2:P2"/>
    <mergeCell ref="Q2:R2"/>
    <mergeCell ref="S2:V2"/>
  </mergeCells>
  <pageMargins left="0.7" right="0.7" top="0.75" bottom="0.75" header="0.3" footer="0.3"/>
  <pageSetup orientation="portrait" horizontalDpi="0" verticalDpi="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EDCAD-3DC2-4BC7-B234-2362AEA9A789}">
  <dimension ref="A1:AA66"/>
  <sheetViews>
    <sheetView showGridLines="0" workbookViewId="0">
      <pane xSplit="3" ySplit="4" topLeftCell="D24" activePane="bottomRight" state="frozen"/>
      <selection pane="topRight" activeCell="D1" sqref="D1"/>
      <selection pane="bottomLeft" activeCell="A5" sqref="A5"/>
      <selection pane="bottomRight" activeCell="P1" sqref="P1"/>
    </sheetView>
  </sheetViews>
  <sheetFormatPr baseColWidth="10" defaultRowHeight="14.4" x14ac:dyDescent="0.3"/>
  <cols>
    <col min="1" max="1" width="5.21875" customWidth="1"/>
    <col min="2" max="2" width="13" customWidth="1"/>
    <col min="3" max="3" width="3.77734375" bestFit="1" customWidth="1"/>
    <col min="4" max="4" width="7.5546875" customWidth="1"/>
    <col min="5" max="5" width="7.88671875" bestFit="1" customWidth="1"/>
    <col min="6" max="13" width="7.5546875" customWidth="1"/>
    <col min="14" max="14" width="10.33203125" customWidth="1"/>
    <col min="15" max="15" width="8.77734375" customWidth="1"/>
    <col min="16" max="16" width="10.109375" customWidth="1"/>
    <col min="17" max="17" width="7.5546875" customWidth="1"/>
    <col min="18" max="18" width="10.21875" bestFit="1" customWidth="1"/>
    <col min="19" max="19" width="8.6640625" customWidth="1"/>
    <col min="20" max="20" width="12.88671875" customWidth="1"/>
    <col min="21" max="21" width="8.21875" bestFit="1" customWidth="1"/>
    <col min="22" max="22" width="12.109375" customWidth="1"/>
    <col min="23" max="23" width="64.6640625" customWidth="1"/>
    <col min="24" max="24" width="2.5546875" customWidth="1"/>
    <col min="26" max="27" width="11.5546875" style="168"/>
  </cols>
  <sheetData>
    <row r="1" spans="1:24" ht="49.8" customHeight="1" thickBot="1" x14ac:dyDescent="0.35">
      <c r="A1" s="461" t="s">
        <v>294</v>
      </c>
      <c r="B1" s="461"/>
      <c r="C1" s="461"/>
      <c r="D1" s="461"/>
      <c r="E1" s="461"/>
      <c r="F1" s="461"/>
      <c r="G1" s="461"/>
      <c r="H1" s="461"/>
      <c r="I1" s="461"/>
      <c r="J1" s="461"/>
      <c r="K1" s="461"/>
      <c r="L1" s="461"/>
      <c r="M1" s="461"/>
      <c r="N1" s="321" t="s">
        <v>310</v>
      </c>
      <c r="O1" s="323">
        <v>20</v>
      </c>
      <c r="P1" s="321" t="s">
        <v>309</v>
      </c>
      <c r="Q1" s="324">
        <v>7</v>
      </c>
      <c r="R1" s="327" t="s">
        <v>312</v>
      </c>
      <c r="S1" s="325">
        <f>O1-Q1</f>
        <v>13</v>
      </c>
      <c r="T1" s="322" t="s">
        <v>313</v>
      </c>
      <c r="U1" s="326">
        <f>(S1/O1)</f>
        <v>0.65</v>
      </c>
      <c r="V1" s="185"/>
      <c r="W1" s="2"/>
    </row>
    <row r="2" spans="1:24" ht="14.4" customHeight="1" thickBot="1" x14ac:dyDescent="0.35">
      <c r="A2" s="476" t="s">
        <v>1</v>
      </c>
      <c r="B2" s="490"/>
      <c r="C2" s="330"/>
      <c r="D2" s="490" t="s">
        <v>2</v>
      </c>
      <c r="E2" s="467"/>
      <c r="F2" s="466" t="s">
        <v>262</v>
      </c>
      <c r="G2" s="467"/>
      <c r="H2" s="466" t="s">
        <v>4</v>
      </c>
      <c r="I2" s="467"/>
      <c r="J2" s="466" t="s">
        <v>5</v>
      </c>
      <c r="K2" s="467"/>
      <c r="L2" s="466" t="s">
        <v>6</v>
      </c>
      <c r="M2" s="467"/>
      <c r="N2" s="286" t="s">
        <v>13</v>
      </c>
      <c r="O2" s="466" t="s">
        <v>7</v>
      </c>
      <c r="P2" s="467"/>
      <c r="Q2" s="466" t="s">
        <v>8</v>
      </c>
      <c r="R2" s="467"/>
      <c r="S2" s="466" t="s">
        <v>251</v>
      </c>
      <c r="T2" s="490"/>
      <c r="U2" s="490"/>
      <c r="V2" s="468"/>
      <c r="W2" s="443" t="s">
        <v>10</v>
      </c>
    </row>
    <row r="3" spans="1:24" ht="15" customHeight="1" thickBot="1" x14ac:dyDescent="0.35">
      <c r="A3" s="481" t="s">
        <v>11</v>
      </c>
      <c r="B3" s="525"/>
      <c r="C3" s="385"/>
      <c r="D3" s="333" t="s">
        <v>13</v>
      </c>
      <c r="E3" s="4" t="s">
        <v>12</v>
      </c>
      <c r="F3" s="3" t="s">
        <v>13</v>
      </c>
      <c r="G3" s="4" t="s">
        <v>12</v>
      </c>
      <c r="H3" s="3" t="s">
        <v>13</v>
      </c>
      <c r="I3" s="4" t="s">
        <v>12</v>
      </c>
      <c r="J3" s="3" t="s">
        <v>13</v>
      </c>
      <c r="K3" s="4" t="s">
        <v>12</v>
      </c>
      <c r="L3" s="3" t="s">
        <v>13</v>
      </c>
      <c r="M3" s="4" t="s">
        <v>12</v>
      </c>
      <c r="N3" s="286" t="s">
        <v>311</v>
      </c>
      <c r="O3" s="3" t="s">
        <v>13</v>
      </c>
      <c r="P3" s="4" t="s">
        <v>12</v>
      </c>
      <c r="Q3" s="3" t="s">
        <v>13</v>
      </c>
      <c r="R3" s="4" t="s">
        <v>12</v>
      </c>
      <c r="S3" s="5" t="s">
        <v>252</v>
      </c>
      <c r="T3" s="491" t="s">
        <v>227</v>
      </c>
      <c r="U3" s="5" t="s">
        <v>253</v>
      </c>
      <c r="V3" s="493" t="s">
        <v>228</v>
      </c>
      <c r="W3" s="444"/>
    </row>
    <row r="4" spans="1:24" ht="14.4" customHeight="1" x14ac:dyDescent="0.3">
      <c r="A4" s="483" t="s">
        <v>242</v>
      </c>
      <c r="B4" s="526"/>
      <c r="C4" s="386" t="s">
        <v>259</v>
      </c>
      <c r="D4" s="9">
        <v>600</v>
      </c>
      <c r="E4" s="8">
        <v>0</v>
      </c>
      <c r="F4" s="9">
        <v>400</v>
      </c>
      <c r="G4" s="8">
        <v>0</v>
      </c>
      <c r="H4" s="9">
        <v>200</v>
      </c>
      <c r="I4" s="8">
        <v>0</v>
      </c>
      <c r="J4" s="9">
        <v>600</v>
      </c>
      <c r="K4" s="8">
        <v>0</v>
      </c>
      <c r="L4" s="9">
        <v>600</v>
      </c>
      <c r="M4" s="8">
        <v>0</v>
      </c>
      <c r="N4" s="9">
        <v>20</v>
      </c>
      <c r="O4" s="9">
        <v>600</v>
      </c>
      <c r="P4" s="8">
        <v>0</v>
      </c>
      <c r="Q4" s="9">
        <v>0</v>
      </c>
      <c r="R4" s="8">
        <v>0</v>
      </c>
      <c r="S4" s="7">
        <v>600</v>
      </c>
      <c r="T4" s="492"/>
      <c r="U4" s="7">
        <v>0</v>
      </c>
      <c r="V4" s="494"/>
      <c r="W4" s="469"/>
    </row>
    <row r="5" spans="1:24" x14ac:dyDescent="0.3">
      <c r="A5" s="29">
        <v>1</v>
      </c>
      <c r="B5" s="21" t="s">
        <v>20</v>
      </c>
      <c r="C5" s="376" t="s">
        <v>261</v>
      </c>
      <c r="D5" s="334">
        <f>529+429</f>
        <v>958</v>
      </c>
      <c r="E5" s="31" t="s">
        <v>36</v>
      </c>
      <c r="F5" s="35" t="s">
        <v>36</v>
      </c>
      <c r="G5" s="31" t="s">
        <v>36</v>
      </c>
      <c r="H5" s="35" t="s">
        <v>36</v>
      </c>
      <c r="I5" s="31" t="s">
        <v>36</v>
      </c>
      <c r="J5" s="35" t="s">
        <v>36</v>
      </c>
      <c r="K5" s="31" t="s">
        <v>36</v>
      </c>
      <c r="L5" s="35" t="s">
        <v>36</v>
      </c>
      <c r="M5" s="31" t="s">
        <v>36</v>
      </c>
      <c r="N5" s="35" t="s">
        <v>36</v>
      </c>
      <c r="O5" s="35" t="s">
        <v>36</v>
      </c>
      <c r="P5" s="31" t="s">
        <v>36</v>
      </c>
      <c r="Q5" s="35" t="s">
        <v>36</v>
      </c>
      <c r="R5" s="31" t="s">
        <v>36</v>
      </c>
      <c r="S5" s="59" t="s">
        <v>36</v>
      </c>
      <c r="T5" s="191" t="s">
        <v>36</v>
      </c>
      <c r="U5" s="59" t="s">
        <v>36</v>
      </c>
      <c r="V5" s="151" t="s">
        <v>36</v>
      </c>
      <c r="W5" s="126" t="s">
        <v>301</v>
      </c>
    </row>
    <row r="6" spans="1:24" x14ac:dyDescent="0.3">
      <c r="A6" s="29">
        <v>2</v>
      </c>
      <c r="B6" s="21" t="s">
        <v>21</v>
      </c>
      <c r="C6" s="377" t="s">
        <v>261</v>
      </c>
      <c r="D6" s="334"/>
      <c r="E6" s="175"/>
      <c r="F6" s="174"/>
      <c r="G6" s="23"/>
      <c r="H6" s="174"/>
      <c r="I6" s="23"/>
      <c r="J6" s="174"/>
      <c r="K6" s="23"/>
      <c r="L6" s="174"/>
      <c r="M6" s="23"/>
      <c r="N6" s="174"/>
      <c r="O6" s="174"/>
      <c r="P6" s="23"/>
      <c r="Q6" s="25"/>
      <c r="R6" s="23"/>
      <c r="S6" s="229"/>
      <c r="T6" s="186"/>
      <c r="U6" s="229"/>
      <c r="V6" s="27"/>
      <c r="W6" s="126"/>
    </row>
    <row r="7" spans="1:24" ht="15.6" customHeight="1" thickBot="1" x14ac:dyDescent="0.35">
      <c r="A7" s="485" t="s">
        <v>233</v>
      </c>
      <c r="B7" s="503"/>
      <c r="C7" s="378"/>
      <c r="D7" s="335">
        <f t="shared" ref="D7:V7" si="0">SUM(D5:D6)</f>
        <v>958</v>
      </c>
      <c r="E7" s="39">
        <f t="shared" si="0"/>
        <v>0</v>
      </c>
      <c r="F7" s="38">
        <f t="shared" si="0"/>
        <v>0</v>
      </c>
      <c r="G7" s="39">
        <f t="shared" si="0"/>
        <v>0</v>
      </c>
      <c r="H7" s="38">
        <f t="shared" si="0"/>
        <v>0</v>
      </c>
      <c r="I7" s="39">
        <f t="shared" si="0"/>
        <v>0</v>
      </c>
      <c r="J7" s="38">
        <f t="shared" si="0"/>
        <v>0</v>
      </c>
      <c r="K7" s="39">
        <f t="shared" si="0"/>
        <v>0</v>
      </c>
      <c r="L7" s="38">
        <f t="shared" si="0"/>
        <v>0</v>
      </c>
      <c r="M7" s="39">
        <f t="shared" si="0"/>
        <v>0</v>
      </c>
      <c r="N7" s="38">
        <f t="shared" si="0"/>
        <v>0</v>
      </c>
      <c r="O7" s="38">
        <f t="shared" si="0"/>
        <v>0</v>
      </c>
      <c r="P7" s="39">
        <f t="shared" si="0"/>
        <v>0</v>
      </c>
      <c r="Q7" s="38">
        <f t="shared" si="0"/>
        <v>0</v>
      </c>
      <c r="R7" s="39">
        <f t="shared" si="0"/>
        <v>0</v>
      </c>
      <c r="S7" s="40">
        <f t="shared" si="0"/>
        <v>0</v>
      </c>
      <c r="T7" s="189">
        <f t="shared" si="0"/>
        <v>0</v>
      </c>
      <c r="U7" s="162">
        <f t="shared" si="0"/>
        <v>0</v>
      </c>
      <c r="V7" s="41">
        <f t="shared" si="0"/>
        <v>0</v>
      </c>
      <c r="W7" s="46"/>
    </row>
    <row r="8" spans="1:24" x14ac:dyDescent="0.3">
      <c r="A8" s="47">
        <v>3</v>
      </c>
      <c r="B8" s="48" t="s">
        <v>16</v>
      </c>
      <c r="C8" s="379" t="s">
        <v>260</v>
      </c>
      <c r="D8" s="334">
        <f>126+56</f>
        <v>182</v>
      </c>
      <c r="E8" s="258"/>
      <c r="F8" s="174">
        <v>150</v>
      </c>
      <c r="G8" s="258">
        <v>9</v>
      </c>
      <c r="H8" s="174">
        <v>500</v>
      </c>
      <c r="I8" s="51"/>
      <c r="J8" s="174">
        <v>500</v>
      </c>
      <c r="K8" s="51"/>
      <c r="L8" s="174">
        <v>0</v>
      </c>
      <c r="M8" s="258">
        <v>26</v>
      </c>
      <c r="N8" s="174"/>
      <c r="O8" s="174">
        <v>0</v>
      </c>
      <c r="P8" s="51"/>
      <c r="Q8" s="174"/>
      <c r="R8" s="51"/>
      <c r="S8" s="174">
        <v>243</v>
      </c>
      <c r="T8" s="266">
        <v>6083534</v>
      </c>
      <c r="U8" s="232"/>
      <c r="V8" s="87"/>
      <c r="W8" s="172" t="s">
        <v>302</v>
      </c>
    </row>
    <row r="9" spans="1:24" x14ac:dyDescent="0.3">
      <c r="A9" s="20">
        <v>4</v>
      </c>
      <c r="B9" s="21" t="s">
        <v>17</v>
      </c>
      <c r="C9" s="380" t="s">
        <v>260</v>
      </c>
      <c r="D9" s="334">
        <v>502</v>
      </c>
      <c r="E9" s="175"/>
      <c r="F9" s="174">
        <v>302</v>
      </c>
      <c r="G9" s="175"/>
      <c r="H9" s="174"/>
      <c r="I9" s="23"/>
      <c r="J9" s="174">
        <v>0</v>
      </c>
      <c r="K9" s="175"/>
      <c r="L9" s="174">
        <v>0</v>
      </c>
      <c r="M9" s="175">
        <v>4</v>
      </c>
      <c r="N9" s="174"/>
      <c r="O9" s="174">
        <v>441</v>
      </c>
      <c r="P9" s="23"/>
      <c r="Q9" s="174"/>
      <c r="R9" s="23"/>
      <c r="S9" s="174">
        <v>428</v>
      </c>
      <c r="T9" s="267">
        <v>11243720</v>
      </c>
      <c r="U9" s="229">
        <v>148</v>
      </c>
      <c r="V9" s="301">
        <v>2343912</v>
      </c>
      <c r="W9" s="128" t="s">
        <v>303</v>
      </c>
    </row>
    <row r="10" spans="1:24" ht="15.6" customHeight="1" x14ac:dyDescent="0.3">
      <c r="A10" s="20">
        <v>5</v>
      </c>
      <c r="B10" s="21" t="s">
        <v>17</v>
      </c>
      <c r="C10" s="380" t="s">
        <v>260</v>
      </c>
      <c r="D10" s="336">
        <v>501</v>
      </c>
      <c r="E10" s="303">
        <v>27</v>
      </c>
      <c r="F10" s="174">
        <v>250</v>
      </c>
      <c r="G10" s="304"/>
      <c r="H10" s="174"/>
      <c r="I10" s="23"/>
      <c r="J10" s="174">
        <v>0</v>
      </c>
      <c r="K10" s="23"/>
      <c r="L10" s="174">
        <v>0</v>
      </c>
      <c r="M10" s="23">
        <v>4</v>
      </c>
      <c r="N10" s="174"/>
      <c r="O10" s="174">
        <v>385</v>
      </c>
      <c r="P10" s="175">
        <v>22</v>
      </c>
      <c r="Q10" s="174"/>
      <c r="R10" s="23"/>
      <c r="S10" s="174">
        <v>414</v>
      </c>
      <c r="T10" s="267">
        <v>10272759</v>
      </c>
      <c r="U10" s="229">
        <v>47</v>
      </c>
      <c r="V10" s="301">
        <v>760518</v>
      </c>
      <c r="W10" s="128" t="s">
        <v>326</v>
      </c>
    </row>
    <row r="11" spans="1:24" x14ac:dyDescent="0.3">
      <c r="A11" s="20">
        <v>6</v>
      </c>
      <c r="B11" s="21" t="s">
        <v>18</v>
      </c>
      <c r="C11" s="380" t="s">
        <v>260</v>
      </c>
      <c r="D11" s="336">
        <v>0</v>
      </c>
      <c r="E11" s="303">
        <v>1</v>
      </c>
      <c r="F11" s="174">
        <v>358</v>
      </c>
      <c r="G11" s="304">
        <v>20</v>
      </c>
      <c r="H11" s="174"/>
      <c r="I11" s="23"/>
      <c r="J11" s="174">
        <v>440</v>
      </c>
      <c r="K11" s="23"/>
      <c r="L11" s="174">
        <v>608</v>
      </c>
      <c r="M11" s="23"/>
      <c r="N11" s="174"/>
      <c r="O11" s="174">
        <v>384</v>
      </c>
      <c r="P11" s="23"/>
      <c r="Q11" s="174"/>
      <c r="R11" s="23"/>
      <c r="S11" s="174">
        <v>604</v>
      </c>
      <c r="T11" s="267">
        <v>15208851</v>
      </c>
      <c r="U11" s="229">
        <v>48</v>
      </c>
      <c r="V11" s="301">
        <v>921312</v>
      </c>
      <c r="W11" s="128"/>
      <c r="X11" s="55"/>
    </row>
    <row r="12" spans="1:24" x14ac:dyDescent="0.3">
      <c r="A12" s="20">
        <v>7</v>
      </c>
      <c r="B12" s="21" t="s">
        <v>19</v>
      </c>
      <c r="C12" s="380" t="s">
        <v>260</v>
      </c>
      <c r="D12" s="336">
        <v>0</v>
      </c>
      <c r="E12" s="23"/>
      <c r="F12" s="174">
        <v>150</v>
      </c>
      <c r="G12" s="23"/>
      <c r="H12" s="174"/>
      <c r="I12" s="23"/>
      <c r="J12" s="174">
        <v>644</v>
      </c>
      <c r="K12" s="23"/>
      <c r="L12" s="174">
        <v>437</v>
      </c>
      <c r="M12" s="23"/>
      <c r="N12" s="174"/>
      <c r="O12" s="174">
        <v>215</v>
      </c>
      <c r="P12" s="23"/>
      <c r="Q12" s="174"/>
      <c r="R12" s="23"/>
      <c r="S12" s="174">
        <v>145</v>
      </c>
      <c r="T12" s="267">
        <v>3722068</v>
      </c>
      <c r="U12" s="229"/>
      <c r="V12" s="27"/>
      <c r="W12" s="126" t="s">
        <v>307</v>
      </c>
    </row>
    <row r="13" spans="1:24" x14ac:dyDescent="0.3">
      <c r="A13" s="33">
        <v>8</v>
      </c>
      <c r="B13" s="34" t="s">
        <v>20</v>
      </c>
      <c r="C13" s="377" t="s">
        <v>261</v>
      </c>
      <c r="D13" s="334">
        <v>602</v>
      </c>
      <c r="E13" s="23"/>
      <c r="F13" s="174"/>
      <c r="G13" s="175"/>
      <c r="H13" s="174"/>
      <c r="I13" s="31"/>
      <c r="J13" s="174"/>
      <c r="K13" s="31"/>
      <c r="L13" s="174"/>
      <c r="M13" s="31"/>
      <c r="N13" s="174"/>
      <c r="O13" s="174"/>
      <c r="P13" s="31"/>
      <c r="Q13" s="174"/>
      <c r="R13" s="31"/>
      <c r="S13" s="174"/>
      <c r="T13" s="187"/>
      <c r="U13" s="36"/>
      <c r="V13" s="37"/>
      <c r="W13" s="54" t="s">
        <v>304</v>
      </c>
    </row>
    <row r="14" spans="1:24" x14ac:dyDescent="0.3">
      <c r="A14" s="44">
        <v>9</v>
      </c>
      <c r="B14" s="45" t="s">
        <v>21</v>
      </c>
      <c r="C14" s="381" t="s">
        <v>261</v>
      </c>
      <c r="D14" s="337"/>
      <c r="E14" s="31"/>
      <c r="F14" s="174"/>
      <c r="G14" s="31"/>
      <c r="H14" s="174"/>
      <c r="I14" s="31"/>
      <c r="J14" s="174"/>
      <c r="K14" s="31"/>
      <c r="L14" s="174"/>
      <c r="M14" s="31"/>
      <c r="N14" s="174"/>
      <c r="O14" s="174"/>
      <c r="P14" s="31"/>
      <c r="Q14" s="174"/>
      <c r="R14" s="31"/>
      <c r="S14" s="174"/>
      <c r="T14" s="187"/>
      <c r="U14" s="36"/>
      <c r="V14" s="37"/>
      <c r="W14" s="32" t="s">
        <v>305</v>
      </c>
    </row>
    <row r="15" spans="1:24" ht="21" customHeight="1" thickBot="1" x14ac:dyDescent="0.35">
      <c r="A15" s="485" t="s">
        <v>236</v>
      </c>
      <c r="B15" s="503"/>
      <c r="C15" s="378"/>
      <c r="D15" s="335">
        <f>SUM(D8:D14)</f>
        <v>1787</v>
      </c>
      <c r="E15" s="39">
        <f t="shared" ref="E15:S15" si="1">SUM(E8:E14)</f>
        <v>28</v>
      </c>
      <c r="F15" s="38">
        <f t="shared" si="1"/>
        <v>1210</v>
      </c>
      <c r="G15" s="39">
        <f t="shared" si="1"/>
        <v>29</v>
      </c>
      <c r="H15" s="38">
        <f t="shared" si="1"/>
        <v>500</v>
      </c>
      <c r="I15" s="39">
        <f t="shared" si="1"/>
        <v>0</v>
      </c>
      <c r="J15" s="38">
        <f t="shared" si="1"/>
        <v>1584</v>
      </c>
      <c r="K15" s="39">
        <f t="shared" si="1"/>
        <v>0</v>
      </c>
      <c r="L15" s="38">
        <f t="shared" si="1"/>
        <v>1045</v>
      </c>
      <c r="M15" s="39">
        <f t="shared" si="1"/>
        <v>34</v>
      </c>
      <c r="N15" s="38">
        <f>SUM(N8:N12)</f>
        <v>0</v>
      </c>
      <c r="O15" s="38">
        <f t="shared" si="1"/>
        <v>1425</v>
      </c>
      <c r="P15" s="39">
        <f t="shared" si="1"/>
        <v>22</v>
      </c>
      <c r="Q15" s="38">
        <f t="shared" si="1"/>
        <v>0</v>
      </c>
      <c r="R15" s="39">
        <f t="shared" si="1"/>
        <v>0</v>
      </c>
      <c r="S15" s="40">
        <f t="shared" si="1"/>
        <v>1834</v>
      </c>
      <c r="T15" s="189">
        <f>SUM(T8:T14)</f>
        <v>46530932</v>
      </c>
      <c r="U15" s="162">
        <f>SUM(U8:U14)</f>
        <v>243</v>
      </c>
      <c r="V15" s="41">
        <f>SUM(V8:V14)</f>
        <v>4025742</v>
      </c>
      <c r="W15" s="56"/>
    </row>
    <row r="16" spans="1:24" x14ac:dyDescent="0.3">
      <c r="A16" s="11">
        <v>10</v>
      </c>
      <c r="B16" s="12" t="s">
        <v>16</v>
      </c>
      <c r="C16" s="382" t="s">
        <v>260</v>
      </c>
      <c r="D16" s="334">
        <v>0</v>
      </c>
      <c r="E16" s="258"/>
      <c r="F16" s="174">
        <v>330</v>
      </c>
      <c r="G16" s="213">
        <v>8</v>
      </c>
      <c r="H16" s="174"/>
      <c r="I16" s="16"/>
      <c r="J16" s="174">
        <v>896</v>
      </c>
      <c r="K16" s="16"/>
      <c r="L16" s="174">
        <v>73</v>
      </c>
      <c r="M16" s="16"/>
      <c r="N16" s="174"/>
      <c r="O16" s="174">
        <v>609</v>
      </c>
      <c r="P16" s="16"/>
      <c r="Q16" s="174"/>
      <c r="R16" s="16"/>
      <c r="S16" s="174">
        <v>43</v>
      </c>
      <c r="T16" s="296">
        <v>470476</v>
      </c>
      <c r="U16" s="226">
        <v>131</v>
      </c>
      <c r="V16" s="302">
        <v>2116014</v>
      </c>
      <c r="W16" s="131" t="s">
        <v>306</v>
      </c>
    </row>
    <row r="17" spans="1:27" x14ac:dyDescent="0.3">
      <c r="A17" s="20">
        <v>11</v>
      </c>
      <c r="B17" s="21" t="s">
        <v>17</v>
      </c>
      <c r="C17" s="383" t="s">
        <v>260</v>
      </c>
      <c r="D17" s="334">
        <v>608</v>
      </c>
      <c r="E17" s="175">
        <v>30</v>
      </c>
      <c r="F17" s="174">
        <f>126+56+150</f>
        <v>332</v>
      </c>
      <c r="G17" s="23"/>
      <c r="H17" s="174"/>
      <c r="I17" s="23"/>
      <c r="J17" s="174">
        <v>0</v>
      </c>
      <c r="K17" s="23"/>
      <c r="L17" s="174">
        <v>500</v>
      </c>
      <c r="M17" s="23"/>
      <c r="N17" s="174"/>
      <c r="O17" s="174">
        <v>0</v>
      </c>
      <c r="P17" s="175">
        <v>8</v>
      </c>
      <c r="Q17" s="174"/>
      <c r="R17" s="23"/>
      <c r="S17" s="174">
        <v>316</v>
      </c>
      <c r="T17" s="296">
        <v>9715160</v>
      </c>
      <c r="U17" s="216">
        <v>78</v>
      </c>
      <c r="V17" s="301">
        <v>2127220</v>
      </c>
      <c r="W17" s="128" t="s">
        <v>308</v>
      </c>
    </row>
    <row r="18" spans="1:27" s="137" customFormat="1" x14ac:dyDescent="0.3">
      <c r="A18" s="20">
        <v>12</v>
      </c>
      <c r="B18" s="21" t="s">
        <v>17</v>
      </c>
      <c r="C18" s="383" t="s">
        <v>260</v>
      </c>
      <c r="D18" s="334">
        <v>300</v>
      </c>
      <c r="E18" s="289"/>
      <c r="F18" s="174">
        <v>351</v>
      </c>
      <c r="G18" s="175">
        <v>9</v>
      </c>
      <c r="H18" s="174">
        <v>438</v>
      </c>
      <c r="I18" s="175"/>
      <c r="J18" s="174">
        <v>0</v>
      </c>
      <c r="K18" s="175"/>
      <c r="L18" s="174">
        <v>509</v>
      </c>
      <c r="M18" s="175">
        <v>9</v>
      </c>
      <c r="N18" s="174"/>
      <c r="O18" s="174">
        <v>551</v>
      </c>
      <c r="P18" s="175"/>
      <c r="Q18" s="174"/>
      <c r="R18" s="175"/>
      <c r="S18" s="174">
        <v>124</v>
      </c>
      <c r="T18" s="296">
        <v>3332310</v>
      </c>
      <c r="U18" s="216">
        <v>1</v>
      </c>
      <c r="V18" s="301">
        <v>16194</v>
      </c>
      <c r="W18" s="128"/>
      <c r="Z18" s="184"/>
      <c r="AA18" s="184"/>
    </row>
    <row r="19" spans="1:27" s="137" customFormat="1" ht="24" x14ac:dyDescent="0.3">
      <c r="A19" s="29">
        <v>13</v>
      </c>
      <c r="B19" s="30" t="s">
        <v>18</v>
      </c>
      <c r="C19" s="383" t="s">
        <v>260</v>
      </c>
      <c r="D19" s="334">
        <v>240</v>
      </c>
      <c r="E19" s="303">
        <v>1</v>
      </c>
      <c r="F19" s="174">
        <v>200</v>
      </c>
      <c r="G19" s="175">
        <v>11</v>
      </c>
      <c r="H19" s="174"/>
      <c r="I19" s="175"/>
      <c r="J19" s="174">
        <v>627</v>
      </c>
      <c r="K19" s="175"/>
      <c r="L19" s="174">
        <v>440</v>
      </c>
      <c r="M19" s="175">
        <f>4+4+8+2</f>
        <v>18</v>
      </c>
      <c r="N19" s="174"/>
      <c r="O19" s="174">
        <v>160</v>
      </c>
      <c r="P19" s="175"/>
      <c r="Q19" s="174"/>
      <c r="R19" s="175"/>
      <c r="S19" s="174">
        <v>384</v>
      </c>
      <c r="T19" s="297">
        <v>9920441</v>
      </c>
      <c r="U19" s="216">
        <v>0</v>
      </c>
      <c r="V19" s="287">
        <v>0</v>
      </c>
      <c r="W19" s="126" t="s">
        <v>314</v>
      </c>
      <c r="Z19" s="184"/>
      <c r="AA19" s="184"/>
    </row>
    <row r="20" spans="1:27" s="137" customFormat="1" x14ac:dyDescent="0.3">
      <c r="A20" s="29">
        <v>14</v>
      </c>
      <c r="B20" s="30" t="s">
        <v>19</v>
      </c>
      <c r="C20" s="383" t="s">
        <v>260</v>
      </c>
      <c r="D20" s="334">
        <v>522</v>
      </c>
      <c r="E20" s="175">
        <v>2</v>
      </c>
      <c r="F20" s="174">
        <v>300</v>
      </c>
      <c r="G20" s="175"/>
      <c r="H20" s="174"/>
      <c r="I20" s="175"/>
      <c r="J20" s="174">
        <v>0</v>
      </c>
      <c r="K20" s="175"/>
      <c r="L20" s="174">
        <v>4</v>
      </c>
      <c r="M20" s="175">
        <v>19</v>
      </c>
      <c r="N20" s="174"/>
      <c r="O20" s="174">
        <v>936</v>
      </c>
      <c r="P20" s="175">
        <v>18</v>
      </c>
      <c r="Q20" s="174"/>
      <c r="R20" s="175"/>
      <c r="S20" s="174">
        <v>225</v>
      </c>
      <c r="T20" s="297">
        <v>5775750</v>
      </c>
      <c r="U20" s="216"/>
      <c r="V20" s="278"/>
      <c r="W20" s="126"/>
      <c r="Z20" s="184"/>
      <c r="AA20" s="184"/>
    </row>
    <row r="21" spans="1:27" x14ac:dyDescent="0.3">
      <c r="A21" s="33">
        <v>15</v>
      </c>
      <c r="B21" s="34" t="s">
        <v>20</v>
      </c>
      <c r="C21" s="377" t="s">
        <v>261</v>
      </c>
      <c r="D21" s="334"/>
      <c r="E21" s="31"/>
      <c r="F21" s="174"/>
      <c r="G21" s="31"/>
      <c r="H21" s="174"/>
      <c r="I21" s="31"/>
      <c r="J21" s="174"/>
      <c r="K21" s="31"/>
      <c r="L21" s="174"/>
      <c r="M21" s="31"/>
      <c r="N21" s="174"/>
      <c r="O21" s="174"/>
      <c r="P21" s="31"/>
      <c r="Q21" s="174"/>
      <c r="R21" s="31"/>
      <c r="S21" s="174"/>
      <c r="T21" s="188">
        <v>0</v>
      </c>
      <c r="U21" s="59">
        <v>0</v>
      </c>
      <c r="V21" s="37">
        <v>0</v>
      </c>
      <c r="W21" s="128"/>
    </row>
    <row r="22" spans="1:27" ht="15.6" customHeight="1" x14ac:dyDescent="0.3">
      <c r="A22" s="44">
        <v>16</v>
      </c>
      <c r="B22" s="45" t="s">
        <v>21</v>
      </c>
      <c r="C22" s="381" t="s">
        <v>261</v>
      </c>
      <c r="D22" s="334"/>
      <c r="E22" s="24"/>
      <c r="F22" s="174"/>
      <c r="G22" s="24"/>
      <c r="H22" s="174"/>
      <c r="I22" s="24"/>
      <c r="J22" s="174"/>
      <c r="K22" s="24"/>
      <c r="L22" s="174"/>
      <c r="M22" s="23"/>
      <c r="N22" s="174"/>
      <c r="O22" s="174"/>
      <c r="P22" s="23"/>
      <c r="Q22" s="174"/>
      <c r="R22" s="23"/>
      <c r="S22" s="174"/>
      <c r="T22" s="187">
        <v>0</v>
      </c>
      <c r="U22" s="216">
        <v>0</v>
      </c>
      <c r="V22" s="27">
        <v>0</v>
      </c>
      <c r="W22" s="32"/>
    </row>
    <row r="23" spans="1:27" ht="20.399999999999999" customHeight="1" thickBot="1" x14ac:dyDescent="0.35">
      <c r="A23" s="485" t="s">
        <v>235</v>
      </c>
      <c r="B23" s="503"/>
      <c r="C23" s="378"/>
      <c r="D23" s="335">
        <f t="shared" ref="D23:M23" si="2">SUM(D16:D22)</f>
        <v>1670</v>
      </c>
      <c r="E23" s="39">
        <f t="shared" si="2"/>
        <v>33</v>
      </c>
      <c r="F23" s="38">
        <f t="shared" si="2"/>
        <v>1513</v>
      </c>
      <c r="G23" s="39">
        <f t="shared" si="2"/>
        <v>28</v>
      </c>
      <c r="H23" s="38">
        <f t="shared" si="2"/>
        <v>438</v>
      </c>
      <c r="I23" s="39">
        <f t="shared" si="2"/>
        <v>0</v>
      </c>
      <c r="J23" s="38">
        <f t="shared" si="2"/>
        <v>1523</v>
      </c>
      <c r="K23" s="39">
        <f t="shared" si="2"/>
        <v>0</v>
      </c>
      <c r="L23" s="38">
        <f t="shared" si="2"/>
        <v>1526</v>
      </c>
      <c r="M23" s="39">
        <f t="shared" si="2"/>
        <v>46</v>
      </c>
      <c r="N23" s="38">
        <f>SUM(N16:N17,N19:N20)</f>
        <v>0</v>
      </c>
      <c r="O23" s="38">
        <f t="shared" ref="O23:U23" si="3">SUM(O16:O22)</f>
        <v>2256</v>
      </c>
      <c r="P23" s="39">
        <f t="shared" si="3"/>
        <v>26</v>
      </c>
      <c r="Q23" s="38">
        <f t="shared" si="3"/>
        <v>0</v>
      </c>
      <c r="R23" s="39">
        <f t="shared" si="3"/>
        <v>0</v>
      </c>
      <c r="S23" s="40">
        <f t="shared" si="3"/>
        <v>1092</v>
      </c>
      <c r="T23" s="189">
        <f t="shared" si="3"/>
        <v>29214137</v>
      </c>
      <c r="U23" s="162">
        <f t="shared" si="3"/>
        <v>210</v>
      </c>
      <c r="V23" s="41">
        <f>SUM(V16:V19)</f>
        <v>4259428</v>
      </c>
      <c r="W23" s="56"/>
    </row>
    <row r="24" spans="1:27" x14ac:dyDescent="0.3">
      <c r="A24" s="11">
        <v>17</v>
      </c>
      <c r="B24" s="12" t="s">
        <v>16</v>
      </c>
      <c r="C24" s="384" t="s">
        <v>260</v>
      </c>
      <c r="D24" s="334">
        <v>0</v>
      </c>
      <c r="E24" s="213"/>
      <c r="F24" s="174">
        <f>102+200</f>
        <v>302</v>
      </c>
      <c r="G24" s="213"/>
      <c r="H24" s="174"/>
      <c r="I24" s="213"/>
      <c r="J24" s="174">
        <v>727</v>
      </c>
      <c r="K24" s="213"/>
      <c r="L24" s="174">
        <v>300</v>
      </c>
      <c r="M24" s="213"/>
      <c r="N24" s="174"/>
      <c r="O24" s="174">
        <v>500</v>
      </c>
      <c r="P24" s="213">
        <v>22</v>
      </c>
      <c r="Q24" s="174"/>
      <c r="R24" s="213"/>
      <c r="S24" s="174">
        <v>127</v>
      </c>
      <c r="T24" s="296">
        <v>3441740</v>
      </c>
      <c r="U24" s="233">
        <v>149</v>
      </c>
      <c r="V24" s="302">
        <v>3686966</v>
      </c>
      <c r="W24" s="260" t="s">
        <v>315</v>
      </c>
    </row>
    <row r="25" spans="1:27" x14ac:dyDescent="0.3">
      <c r="A25" s="20">
        <v>18</v>
      </c>
      <c r="B25" s="21" t="s">
        <v>17</v>
      </c>
      <c r="C25" s="380" t="s">
        <v>260</v>
      </c>
      <c r="D25" s="334">
        <v>0</v>
      </c>
      <c r="E25" s="175"/>
      <c r="F25" s="174">
        <v>308</v>
      </c>
      <c r="G25" s="175">
        <v>13</v>
      </c>
      <c r="H25" s="174"/>
      <c r="I25" s="175"/>
      <c r="J25" s="174">
        <v>1270</v>
      </c>
      <c r="K25" s="175"/>
      <c r="L25" s="174">
        <v>302</v>
      </c>
      <c r="M25" s="175"/>
      <c r="N25" s="174"/>
      <c r="O25" s="174">
        <f>212+392</f>
        <v>604</v>
      </c>
      <c r="P25" s="175"/>
      <c r="Q25" s="174"/>
      <c r="R25" s="175"/>
      <c r="S25" s="174">
        <v>380</v>
      </c>
      <c r="T25" s="267">
        <v>9763653</v>
      </c>
      <c r="U25" s="174">
        <v>322</v>
      </c>
      <c r="V25" s="301">
        <v>8422780</v>
      </c>
      <c r="W25" s="132" t="s">
        <v>316</v>
      </c>
    </row>
    <row r="26" spans="1:27" s="177" customFormat="1" x14ac:dyDescent="0.3">
      <c r="A26" s="29">
        <v>19</v>
      </c>
      <c r="B26" s="30" t="s">
        <v>17</v>
      </c>
      <c r="C26" s="383" t="s">
        <v>260</v>
      </c>
      <c r="D26" s="334">
        <v>562</v>
      </c>
      <c r="E26" s="175"/>
      <c r="F26" s="174">
        <v>300</v>
      </c>
      <c r="G26" s="175"/>
      <c r="H26" s="174"/>
      <c r="I26" s="175"/>
      <c r="J26" s="174">
        <v>0</v>
      </c>
      <c r="K26" s="175"/>
      <c r="L26" s="174">
        <v>344</v>
      </c>
      <c r="M26" s="175"/>
      <c r="N26" s="174"/>
      <c r="O26" s="174">
        <v>401</v>
      </c>
      <c r="P26" s="175"/>
      <c r="Q26" s="174"/>
      <c r="R26" s="175"/>
      <c r="S26" s="174">
        <v>289</v>
      </c>
      <c r="T26" s="267">
        <v>8170093</v>
      </c>
      <c r="U26" s="174">
        <v>30</v>
      </c>
      <c r="V26" s="301">
        <v>749700</v>
      </c>
      <c r="W26" s="288" t="s">
        <v>335</v>
      </c>
      <c r="Z26" s="198"/>
      <c r="AA26" s="198"/>
    </row>
    <row r="27" spans="1:27" hidden="1" x14ac:dyDescent="0.3">
      <c r="A27" s="20">
        <v>20</v>
      </c>
      <c r="B27" s="21" t="s">
        <v>18</v>
      </c>
      <c r="C27" s="380" t="s">
        <v>260</v>
      </c>
      <c r="D27" s="334"/>
      <c r="E27" s="175"/>
      <c r="F27" s="174"/>
      <c r="G27" s="175"/>
      <c r="H27" s="174"/>
      <c r="I27" s="23"/>
      <c r="J27" s="174"/>
      <c r="K27" s="23"/>
      <c r="L27" s="174"/>
      <c r="M27" s="23"/>
      <c r="N27" s="174"/>
      <c r="O27" s="174"/>
      <c r="P27" s="23"/>
      <c r="Q27" s="174"/>
      <c r="R27" s="23"/>
      <c r="S27" s="174"/>
      <c r="T27" s="187"/>
      <c r="U27" s="216"/>
      <c r="V27" s="27"/>
      <c r="W27" s="134"/>
    </row>
    <row r="28" spans="1:27" hidden="1" x14ac:dyDescent="0.3">
      <c r="A28" s="20">
        <v>21</v>
      </c>
      <c r="B28" s="21" t="s">
        <v>19</v>
      </c>
      <c r="C28" s="380" t="s">
        <v>260</v>
      </c>
      <c r="D28" s="334"/>
      <c r="E28" s="23"/>
      <c r="F28" s="174"/>
      <c r="G28" s="175"/>
      <c r="H28" s="174"/>
      <c r="I28" s="23"/>
      <c r="J28" s="174"/>
      <c r="K28" s="23"/>
      <c r="L28" s="174"/>
      <c r="M28" s="23"/>
      <c r="N28" s="174"/>
      <c r="O28" s="174"/>
      <c r="P28" s="23"/>
      <c r="Q28" s="174"/>
      <c r="R28" s="23"/>
      <c r="S28" s="174"/>
      <c r="T28" s="187"/>
      <c r="U28" s="216"/>
      <c r="V28" s="27"/>
      <c r="W28" s="134"/>
    </row>
    <row r="29" spans="1:27" hidden="1" x14ac:dyDescent="0.3">
      <c r="A29" s="33">
        <v>22</v>
      </c>
      <c r="B29" s="34" t="s">
        <v>20</v>
      </c>
      <c r="C29" s="377" t="s">
        <v>261</v>
      </c>
      <c r="D29" s="334"/>
      <c r="E29" s="31"/>
      <c r="F29" s="174"/>
      <c r="G29" s="31"/>
      <c r="H29" s="174"/>
      <c r="I29" s="31"/>
      <c r="J29" s="174"/>
      <c r="K29" s="31"/>
      <c r="L29" s="174"/>
      <c r="M29" s="31"/>
      <c r="N29" s="174"/>
      <c r="O29" s="174"/>
      <c r="P29" s="31"/>
      <c r="Q29" s="174"/>
      <c r="R29" s="31"/>
      <c r="S29" s="174"/>
      <c r="T29" s="234"/>
      <c r="U29" s="59"/>
      <c r="V29" s="166"/>
      <c r="W29" s="32"/>
    </row>
    <row r="30" spans="1:27" hidden="1" x14ac:dyDescent="0.3">
      <c r="A30" s="44">
        <v>23</v>
      </c>
      <c r="B30" s="45" t="s">
        <v>21</v>
      </c>
      <c r="C30" s="381" t="s">
        <v>261</v>
      </c>
      <c r="D30" s="334"/>
      <c r="E30" s="24"/>
      <c r="F30" s="174"/>
      <c r="G30" s="24"/>
      <c r="H30" s="174"/>
      <c r="I30" s="24"/>
      <c r="J30" s="174"/>
      <c r="K30" s="24"/>
      <c r="L30" s="174"/>
      <c r="M30" s="23"/>
      <c r="N30" s="174"/>
      <c r="O30" s="174"/>
      <c r="P30" s="23"/>
      <c r="Q30" s="174"/>
      <c r="R30" s="23"/>
      <c r="S30" s="174"/>
      <c r="T30" s="187"/>
      <c r="U30" s="216"/>
      <c r="V30" s="27"/>
      <c r="W30" s="32"/>
    </row>
    <row r="31" spans="1:27" ht="19.2" customHeight="1" thickBot="1" x14ac:dyDescent="0.35">
      <c r="A31" s="485" t="s">
        <v>234</v>
      </c>
      <c r="B31" s="503"/>
      <c r="C31" s="378"/>
      <c r="D31" s="335">
        <f t="shared" ref="D31:T31" si="4">SUM(D24:D30)</f>
        <v>562</v>
      </c>
      <c r="E31" s="39">
        <f t="shared" si="4"/>
        <v>0</v>
      </c>
      <c r="F31" s="38">
        <f t="shared" si="4"/>
        <v>910</v>
      </c>
      <c r="G31" s="39">
        <f t="shared" si="4"/>
        <v>13</v>
      </c>
      <c r="H31" s="38">
        <f t="shared" si="4"/>
        <v>0</v>
      </c>
      <c r="I31" s="39">
        <f t="shared" si="4"/>
        <v>0</v>
      </c>
      <c r="J31" s="38">
        <f t="shared" si="4"/>
        <v>1997</v>
      </c>
      <c r="K31" s="39">
        <f t="shared" si="4"/>
        <v>0</v>
      </c>
      <c r="L31" s="38">
        <f t="shared" si="4"/>
        <v>946</v>
      </c>
      <c r="M31" s="39">
        <f t="shared" si="4"/>
        <v>0</v>
      </c>
      <c r="N31" s="38">
        <f>SUM(N24:N28)</f>
        <v>0</v>
      </c>
      <c r="O31" s="38">
        <f t="shared" si="4"/>
        <v>1505</v>
      </c>
      <c r="P31" s="39">
        <f t="shared" si="4"/>
        <v>22</v>
      </c>
      <c r="Q31" s="38">
        <f t="shared" si="4"/>
        <v>0</v>
      </c>
      <c r="R31" s="39">
        <f t="shared" si="4"/>
        <v>0</v>
      </c>
      <c r="S31" s="40">
        <f t="shared" si="4"/>
        <v>796</v>
      </c>
      <c r="T31" s="189">
        <f t="shared" si="4"/>
        <v>21375486</v>
      </c>
      <c r="U31" s="162">
        <f>SUM(U24:U30)</f>
        <v>501</v>
      </c>
      <c r="V31" s="41">
        <f>SUM(V24:V30)</f>
        <v>12859446</v>
      </c>
      <c r="W31" s="64"/>
    </row>
    <row r="32" spans="1:27" hidden="1" x14ac:dyDescent="0.3">
      <c r="A32" s="11">
        <v>24</v>
      </c>
      <c r="B32" s="12" t="s">
        <v>16</v>
      </c>
      <c r="C32" s="342" t="s">
        <v>260</v>
      </c>
      <c r="D32" s="334"/>
      <c r="E32" s="213"/>
      <c r="F32" s="174"/>
      <c r="G32" s="213"/>
      <c r="H32" s="174"/>
      <c r="I32" s="16"/>
      <c r="J32" s="174"/>
      <c r="K32" s="16"/>
      <c r="L32" s="174"/>
      <c r="M32" s="16"/>
      <c r="N32" s="174"/>
      <c r="O32" s="174"/>
      <c r="P32" s="16"/>
      <c r="Q32" s="174"/>
      <c r="R32" s="16"/>
      <c r="S32" s="174"/>
      <c r="T32" s="186"/>
      <c r="U32" s="233"/>
      <c r="V32" s="18"/>
      <c r="W32" s="260"/>
    </row>
    <row r="33" spans="1:27" hidden="1" x14ac:dyDescent="0.3">
      <c r="A33" s="20">
        <v>25</v>
      </c>
      <c r="B33" s="21" t="s">
        <v>17</v>
      </c>
      <c r="C33" s="340" t="s">
        <v>260</v>
      </c>
      <c r="D33" s="334"/>
      <c r="E33" s="175"/>
      <c r="F33" s="174"/>
      <c r="G33" s="213"/>
      <c r="H33" s="174"/>
      <c r="I33" s="23"/>
      <c r="J33" s="174"/>
      <c r="K33" s="23"/>
      <c r="L33" s="174"/>
      <c r="M33" s="23"/>
      <c r="N33" s="174"/>
      <c r="O33" s="174"/>
      <c r="P33" s="23"/>
      <c r="Q33" s="174"/>
      <c r="R33" s="23"/>
      <c r="S33" s="174"/>
      <c r="T33" s="187"/>
      <c r="U33" s="174"/>
      <c r="V33" s="27"/>
      <c r="W33" s="132"/>
    </row>
    <row r="34" spans="1:27" hidden="1" x14ac:dyDescent="0.3">
      <c r="A34" s="270">
        <v>26</v>
      </c>
      <c r="B34" s="271" t="s">
        <v>17</v>
      </c>
      <c r="C34" s="343" t="s">
        <v>260</v>
      </c>
      <c r="D34" s="334"/>
      <c r="E34" s="279"/>
      <c r="F34" s="174"/>
      <c r="G34" s="280"/>
      <c r="H34" s="174"/>
      <c r="I34" s="281"/>
      <c r="J34" s="174"/>
      <c r="K34" s="281"/>
      <c r="L34" s="174"/>
      <c r="M34" s="281"/>
      <c r="N34" s="174"/>
      <c r="O34" s="174"/>
      <c r="P34" s="281"/>
      <c r="Q34" s="174"/>
      <c r="R34" s="281"/>
      <c r="S34" s="174"/>
      <c r="T34" s="283"/>
      <c r="U34" s="284"/>
      <c r="V34" s="285"/>
      <c r="W34" s="273"/>
    </row>
    <row r="35" spans="1:27" hidden="1" x14ac:dyDescent="0.3">
      <c r="A35" s="270">
        <v>27</v>
      </c>
      <c r="B35" s="271" t="s">
        <v>18</v>
      </c>
      <c r="C35" s="343" t="s">
        <v>260</v>
      </c>
      <c r="D35" s="334"/>
      <c r="E35" s="279"/>
      <c r="F35" s="174"/>
      <c r="G35" s="280"/>
      <c r="H35" s="174"/>
      <c r="I35" s="281"/>
      <c r="J35" s="174"/>
      <c r="K35" s="281"/>
      <c r="L35" s="174"/>
      <c r="M35" s="281"/>
      <c r="N35" s="174"/>
      <c r="O35" s="174"/>
      <c r="P35" s="281"/>
      <c r="Q35" s="174"/>
      <c r="R35" s="281"/>
      <c r="S35" s="174"/>
      <c r="T35" s="283"/>
      <c r="U35" s="284"/>
      <c r="V35" s="285"/>
      <c r="W35" s="273"/>
    </row>
    <row r="36" spans="1:27" hidden="1" x14ac:dyDescent="0.3">
      <c r="A36" s="270">
        <v>28</v>
      </c>
      <c r="B36" s="271" t="s">
        <v>19</v>
      </c>
      <c r="C36" s="343" t="s">
        <v>260</v>
      </c>
      <c r="D36" s="334"/>
      <c r="E36" s="279"/>
      <c r="F36" s="174"/>
      <c r="G36" s="280"/>
      <c r="H36" s="174"/>
      <c r="I36" s="281"/>
      <c r="J36" s="174"/>
      <c r="K36" s="281"/>
      <c r="L36" s="174"/>
      <c r="M36" s="281"/>
      <c r="N36" s="174"/>
      <c r="O36" s="174"/>
      <c r="P36" s="281"/>
      <c r="Q36" s="174"/>
      <c r="R36" s="281"/>
      <c r="S36" s="174"/>
      <c r="T36" s="283"/>
      <c r="U36" s="284"/>
      <c r="V36" s="285"/>
      <c r="W36" s="273"/>
    </row>
    <row r="37" spans="1:27" hidden="1" x14ac:dyDescent="0.3">
      <c r="A37" s="33">
        <v>29</v>
      </c>
      <c r="B37" s="34" t="s">
        <v>20</v>
      </c>
      <c r="C37" s="338" t="s">
        <v>261</v>
      </c>
      <c r="D37" s="334"/>
      <c r="E37" s="31"/>
      <c r="F37" s="174"/>
      <c r="G37" s="31"/>
      <c r="H37" s="174"/>
      <c r="I37" s="31"/>
      <c r="J37" s="174"/>
      <c r="K37" s="31"/>
      <c r="L37" s="174"/>
      <c r="M37" s="31"/>
      <c r="N37" s="174"/>
      <c r="O37" s="174"/>
      <c r="P37" s="31"/>
      <c r="Q37" s="174"/>
      <c r="R37" s="31"/>
      <c r="S37" s="174"/>
      <c r="T37" s="234"/>
      <c r="U37" s="59"/>
      <c r="V37" s="166"/>
      <c r="W37" s="32"/>
    </row>
    <row r="38" spans="1:27" hidden="1" x14ac:dyDescent="0.3">
      <c r="A38" s="44">
        <v>30</v>
      </c>
      <c r="B38" s="45" t="s">
        <v>21</v>
      </c>
      <c r="C38" s="341" t="s">
        <v>261</v>
      </c>
      <c r="D38" s="334"/>
      <c r="E38" s="24"/>
      <c r="F38" s="174"/>
      <c r="G38" s="24"/>
      <c r="H38" s="174"/>
      <c r="I38" s="24"/>
      <c r="J38" s="174"/>
      <c r="K38" s="24"/>
      <c r="L38" s="174"/>
      <c r="M38" s="23"/>
      <c r="N38" s="174"/>
      <c r="O38" s="174"/>
      <c r="P38" s="23"/>
      <c r="Q38" s="174"/>
      <c r="R38" s="23"/>
      <c r="S38" s="174"/>
      <c r="T38" s="187"/>
      <c r="U38" s="216"/>
      <c r="V38" s="27"/>
      <c r="W38" s="32"/>
    </row>
    <row r="39" spans="1:27" ht="15.6" hidden="1" customHeight="1" thickBot="1" x14ac:dyDescent="0.35">
      <c r="A39" s="485" t="s">
        <v>237</v>
      </c>
      <c r="B39" s="503"/>
      <c r="C39" s="339"/>
      <c r="D39" s="335">
        <f>SUM(D32:D38)</f>
        <v>0</v>
      </c>
      <c r="E39" s="39">
        <f t="shared" ref="E39:V39" si="5">SUM(E32:E35)</f>
        <v>0</v>
      </c>
      <c r="F39" s="38">
        <f t="shared" si="5"/>
        <v>0</v>
      </c>
      <c r="G39" s="39">
        <f t="shared" si="5"/>
        <v>0</v>
      </c>
      <c r="H39" s="38">
        <f t="shared" si="5"/>
        <v>0</v>
      </c>
      <c r="I39" s="39">
        <f t="shared" si="5"/>
        <v>0</v>
      </c>
      <c r="J39" s="38">
        <f t="shared" si="5"/>
        <v>0</v>
      </c>
      <c r="K39" s="39">
        <f t="shared" si="5"/>
        <v>0</v>
      </c>
      <c r="L39" s="38">
        <f t="shared" si="5"/>
        <v>0</v>
      </c>
      <c r="M39" s="39">
        <f t="shared" si="5"/>
        <v>0</v>
      </c>
      <c r="N39" s="38">
        <f t="shared" si="5"/>
        <v>0</v>
      </c>
      <c r="O39" s="38">
        <f t="shared" si="5"/>
        <v>0</v>
      </c>
      <c r="P39" s="39">
        <f t="shared" si="5"/>
        <v>0</v>
      </c>
      <c r="Q39" s="38">
        <f t="shared" si="5"/>
        <v>0</v>
      </c>
      <c r="R39" s="39">
        <f t="shared" si="5"/>
        <v>0</v>
      </c>
      <c r="S39" s="162">
        <f t="shared" si="5"/>
        <v>0</v>
      </c>
      <c r="T39" s="189">
        <f t="shared" si="5"/>
        <v>0</v>
      </c>
      <c r="U39" s="162">
        <f t="shared" si="5"/>
        <v>0</v>
      </c>
      <c r="V39" s="41">
        <f t="shared" si="5"/>
        <v>0</v>
      </c>
      <c r="W39" s="64"/>
    </row>
    <row r="40" spans="1:27" s="141" customFormat="1" ht="23.4" customHeight="1" x14ac:dyDescent="0.3">
      <c r="A40" s="513" t="s">
        <v>243</v>
      </c>
      <c r="B40" s="514"/>
      <c r="C40" s="515"/>
      <c r="D40" s="317">
        <f t="shared" ref="D40:M40" si="6">D7+D15+D23+D31+D39</f>
        <v>4977</v>
      </c>
      <c r="E40" s="312">
        <f t="shared" si="6"/>
        <v>61</v>
      </c>
      <c r="F40" s="311">
        <f t="shared" si="6"/>
        <v>3633</v>
      </c>
      <c r="G40" s="313">
        <f t="shared" si="6"/>
        <v>70</v>
      </c>
      <c r="H40" s="311">
        <f t="shared" si="6"/>
        <v>938</v>
      </c>
      <c r="I40" s="313">
        <f t="shared" si="6"/>
        <v>0</v>
      </c>
      <c r="J40" s="311">
        <f t="shared" si="6"/>
        <v>5104</v>
      </c>
      <c r="K40" s="313">
        <f t="shared" si="6"/>
        <v>0</v>
      </c>
      <c r="L40" s="311">
        <f t="shared" si="6"/>
        <v>3517</v>
      </c>
      <c r="M40" s="313">
        <f t="shared" si="6"/>
        <v>80</v>
      </c>
      <c r="N40" s="314">
        <f>SUM(,N7,N15,N23,N31,N39)</f>
        <v>0</v>
      </c>
      <c r="O40" s="311">
        <f>+O7+O15+O23+O31+O39</f>
        <v>5186</v>
      </c>
      <c r="P40" s="313">
        <f>P7+P15+P23+P31+P39</f>
        <v>70</v>
      </c>
      <c r="Q40" s="311">
        <f>Q7+Q15+Q23+Q31+Q39</f>
        <v>0</v>
      </c>
      <c r="R40" s="313">
        <f>R7+R15+R23+R31+R39</f>
        <v>0</v>
      </c>
      <c r="S40" s="311">
        <f>S7+S15+S23+S31+S39</f>
        <v>3722</v>
      </c>
      <c r="T40" s="315">
        <f>T7+T15+T23+T31+T39</f>
        <v>97120555</v>
      </c>
      <c r="U40" s="311">
        <f>SUM(U7,U15,U23,U31,U39)</f>
        <v>954</v>
      </c>
      <c r="V40" s="316">
        <f>SUM(V7+V15+V23)</f>
        <v>8285170</v>
      </c>
      <c r="W40" s="309" t="s">
        <v>29</v>
      </c>
      <c r="Z40" s="308"/>
      <c r="AA40" s="308"/>
    </row>
    <row r="41" spans="1:27" s="306" customFormat="1" ht="22.8" customHeight="1" thickBot="1" x14ac:dyDescent="0.35">
      <c r="A41" s="516" t="s">
        <v>30</v>
      </c>
      <c r="B41" s="517"/>
      <c r="C41" s="518"/>
      <c r="D41" s="356">
        <v>12000</v>
      </c>
      <c r="E41" s="357"/>
      <c r="F41" s="356">
        <v>8000</v>
      </c>
      <c r="G41" s="358"/>
      <c r="H41" s="356">
        <v>4000</v>
      </c>
      <c r="I41" s="358"/>
      <c r="J41" s="356">
        <v>12000</v>
      </c>
      <c r="K41" s="358"/>
      <c r="L41" s="356">
        <v>12000</v>
      </c>
      <c r="M41" s="358"/>
      <c r="N41" s="359">
        <v>400</v>
      </c>
      <c r="O41" s="356">
        <v>12000</v>
      </c>
      <c r="P41" s="358"/>
      <c r="Q41" s="356">
        <v>0</v>
      </c>
      <c r="R41" s="358">
        <v>0</v>
      </c>
      <c r="S41" s="356">
        <v>12000</v>
      </c>
      <c r="T41" s="360">
        <v>260000000</v>
      </c>
      <c r="U41" s="356"/>
      <c r="V41" s="361"/>
      <c r="W41" s="305">
        <v>1</v>
      </c>
      <c r="Z41" s="307"/>
      <c r="AA41" s="307"/>
    </row>
    <row r="42" spans="1:27" ht="30" customHeight="1" thickTop="1" thickBot="1" x14ac:dyDescent="0.35">
      <c r="A42" s="519" t="s">
        <v>337</v>
      </c>
      <c r="B42" s="520"/>
      <c r="C42" s="521"/>
      <c r="D42" s="351">
        <f>D40/(D41*$U$1)</f>
        <v>0.6380769230769231</v>
      </c>
      <c r="E42" s="352"/>
      <c r="F42" s="353">
        <f>F40/(F41*$U$1)</f>
        <v>0.69865384615384618</v>
      </c>
      <c r="G42" s="352"/>
      <c r="H42" s="353">
        <f>H40/(H41*$U$1)</f>
        <v>0.36076923076923079</v>
      </c>
      <c r="I42" s="352"/>
      <c r="J42" s="353">
        <f>J40/(J41*$U$1)</f>
        <v>0.65435897435897439</v>
      </c>
      <c r="K42" s="352"/>
      <c r="L42" s="353">
        <f>L40/(L41*$U$1)</f>
        <v>0.45089743589743592</v>
      </c>
      <c r="M42" s="352"/>
      <c r="N42" s="353">
        <f>N40/(N41*$U$1)</f>
        <v>0</v>
      </c>
      <c r="O42" s="353">
        <f>O40/(O41*$U$1)</f>
        <v>0.66487179487179482</v>
      </c>
      <c r="P42" s="352"/>
      <c r="Q42" s="351"/>
      <c r="R42" s="352"/>
      <c r="S42" s="353">
        <f>S40/(S41*$U$1)</f>
        <v>0.47717948717948716</v>
      </c>
      <c r="T42" s="353">
        <v>0.48270833333333335</v>
      </c>
      <c r="U42" s="354"/>
      <c r="V42" s="355"/>
      <c r="W42" s="130"/>
    </row>
    <row r="43" spans="1:27" ht="28.8" customHeight="1" thickTop="1" thickBot="1" x14ac:dyDescent="0.35">
      <c r="A43" s="522" t="s">
        <v>338</v>
      </c>
      <c r="B43" s="523"/>
      <c r="C43" s="524"/>
      <c r="D43" s="344">
        <f>D40/D41</f>
        <v>0.41475000000000001</v>
      </c>
      <c r="E43" s="345"/>
      <c r="F43" s="344">
        <f>F40/F41</f>
        <v>0.454125</v>
      </c>
      <c r="G43" s="345"/>
      <c r="H43" s="344">
        <f>H40/H41</f>
        <v>0.23449999999999999</v>
      </c>
      <c r="I43" s="345"/>
      <c r="J43" s="344">
        <f>J40/J41</f>
        <v>0.42533333333333334</v>
      </c>
      <c r="K43" s="345"/>
      <c r="L43" s="344">
        <f>L40/L41</f>
        <v>0.29308333333333331</v>
      </c>
      <c r="M43" s="345"/>
      <c r="N43" s="344">
        <f>N40/N41</f>
        <v>0</v>
      </c>
      <c r="O43" s="344">
        <f>O40/O41</f>
        <v>0.43216666666666664</v>
      </c>
      <c r="P43" s="345"/>
      <c r="Q43" s="346"/>
      <c r="R43" s="345"/>
      <c r="S43" s="344">
        <f>S40/S41</f>
        <v>0.31016666666666665</v>
      </c>
      <c r="T43" s="347">
        <f>T40/T41</f>
        <v>0.37354059615384616</v>
      </c>
      <c r="U43" s="319"/>
      <c r="V43" s="320"/>
      <c r="W43" s="310"/>
    </row>
    <row r="44" spans="1:27" ht="33.6" customHeight="1" thickTop="1" thickBot="1" x14ac:dyDescent="0.35">
      <c r="A44" s="504" t="s">
        <v>334</v>
      </c>
      <c r="B44" s="505"/>
      <c r="C44" s="506"/>
      <c r="D44" s="368">
        <f>((D40/$S$1)*$O$1)</f>
        <v>7656.9230769230771</v>
      </c>
      <c r="E44" s="369"/>
      <c r="F44" s="370">
        <f>((F40/$S$1)*$O$1)</f>
        <v>5589.2307692307695</v>
      </c>
      <c r="G44" s="369"/>
      <c r="H44" s="370">
        <f>((H40/$S$1)*$O$1)</f>
        <v>1443.0769230769233</v>
      </c>
      <c r="I44" s="369"/>
      <c r="J44" s="370">
        <f>((J40/$S$1)*$O$1)</f>
        <v>7852.3076923076933</v>
      </c>
      <c r="K44" s="369"/>
      <c r="L44" s="370">
        <f>((L40/$S$1)*$O$1)</f>
        <v>5410.7692307692305</v>
      </c>
      <c r="M44" s="369"/>
      <c r="N44" s="370">
        <f>((N40/$S$1)*$O$1)</f>
        <v>0</v>
      </c>
      <c r="O44" s="370">
        <f>((O40/$S$1)*$O$1)</f>
        <v>7978.4615384615381</v>
      </c>
      <c r="P44" s="369"/>
      <c r="Q44" s="370"/>
      <c r="R44" s="369">
        <f>R40-R41</f>
        <v>0</v>
      </c>
      <c r="S44" s="371">
        <f>((S40/$S$1)*$O$1)</f>
        <v>5726.1538461538466</v>
      </c>
      <c r="T44" s="374">
        <f>((T40/$S$1)*$O$1)</f>
        <v>149416238.46153846</v>
      </c>
      <c r="U44" s="372"/>
      <c r="V44" s="373"/>
      <c r="W44" s="78" t="s">
        <v>32</v>
      </c>
    </row>
    <row r="45" spans="1:27" ht="26.4" customHeight="1" thickTop="1" thickBot="1" x14ac:dyDescent="0.35">
      <c r="A45" s="507" t="s">
        <v>333</v>
      </c>
      <c r="B45" s="508"/>
      <c r="C45" s="509"/>
      <c r="D45" s="362">
        <f>D41-D40</f>
        <v>7023</v>
      </c>
      <c r="E45" s="363"/>
      <c r="F45" s="364">
        <f>F41-F40</f>
        <v>4367</v>
      </c>
      <c r="G45" s="363"/>
      <c r="H45" s="364">
        <f>H41-H40</f>
        <v>3062</v>
      </c>
      <c r="I45" s="363"/>
      <c r="J45" s="364">
        <f>J41-J40</f>
        <v>6896</v>
      </c>
      <c r="K45" s="363"/>
      <c r="L45" s="364">
        <f>L41-L40</f>
        <v>8483</v>
      </c>
      <c r="M45" s="363"/>
      <c r="N45" s="364">
        <f>N41-N40</f>
        <v>400</v>
      </c>
      <c r="O45" s="364">
        <f>O41-O40</f>
        <v>6814</v>
      </c>
      <c r="P45" s="363"/>
      <c r="Q45" s="364"/>
      <c r="R45" s="363"/>
      <c r="S45" s="365">
        <f>S41-S40</f>
        <v>8278</v>
      </c>
      <c r="T45" s="375">
        <f>T41-T40</f>
        <v>162879445</v>
      </c>
      <c r="U45" s="366"/>
      <c r="V45" s="367"/>
      <c r="W45" s="83" t="s">
        <v>268</v>
      </c>
      <c r="Z45" s="207"/>
      <c r="AA45" s="207"/>
    </row>
    <row r="46" spans="1:27" ht="30" customHeight="1" thickBot="1" x14ac:dyDescent="0.35">
      <c r="A46" s="510" t="s">
        <v>336</v>
      </c>
      <c r="B46" s="511"/>
      <c r="C46" s="512"/>
      <c r="D46" s="348">
        <f>D45/$Q$1</f>
        <v>1003.2857142857143</v>
      </c>
      <c r="E46" s="349"/>
      <c r="F46" s="350">
        <f>F45/$Q$1</f>
        <v>623.85714285714289</v>
      </c>
      <c r="G46" s="349"/>
      <c r="H46" s="350">
        <f>H45/$Q$1</f>
        <v>437.42857142857144</v>
      </c>
      <c r="I46" s="349"/>
      <c r="J46" s="350">
        <f>J45/$Q$1</f>
        <v>985.14285714285711</v>
      </c>
      <c r="K46" s="349"/>
      <c r="L46" s="350">
        <f>L45/$Q$1</f>
        <v>1211.8571428571429</v>
      </c>
      <c r="M46" s="349"/>
      <c r="N46" s="350">
        <f>N45/$Q$1</f>
        <v>57.142857142857146</v>
      </c>
      <c r="O46" s="350">
        <f>O45/$Q$1</f>
        <v>973.42857142857144</v>
      </c>
      <c r="P46" s="349"/>
      <c r="Q46" s="350"/>
      <c r="R46" s="349"/>
      <c r="S46" s="387">
        <f>S45/$Q$1</f>
        <v>1182.5714285714287</v>
      </c>
      <c r="T46" s="388">
        <f>T45/$Q$1</f>
        <v>23268492.142857142</v>
      </c>
      <c r="U46" s="331"/>
      <c r="V46" s="332"/>
      <c r="W46" s="83"/>
      <c r="Z46" s="207"/>
      <c r="AA46" s="207"/>
    </row>
    <row r="48" spans="1:27" s="112" customFormat="1" x14ac:dyDescent="0.3">
      <c r="D48" s="208" t="s">
        <v>239</v>
      </c>
      <c r="F48" s="208" t="s">
        <v>238</v>
      </c>
      <c r="J48" s="208" t="s">
        <v>239</v>
      </c>
      <c r="L48" s="208" t="s">
        <v>239</v>
      </c>
      <c r="N48" s="208" t="s">
        <v>240</v>
      </c>
      <c r="O48" s="208" t="s">
        <v>239</v>
      </c>
      <c r="S48" s="208" t="s">
        <v>239</v>
      </c>
      <c r="Z48" s="209"/>
      <c r="AA48" s="209"/>
    </row>
    <row r="49" spans="2:27" s="112" customFormat="1" x14ac:dyDescent="0.3">
      <c r="D49" s="210" t="s">
        <v>245</v>
      </c>
      <c r="F49" s="210" t="s">
        <v>248</v>
      </c>
      <c r="J49" s="210" t="s">
        <v>245</v>
      </c>
      <c r="L49" s="210" t="s">
        <v>245</v>
      </c>
      <c r="N49" s="210" t="s">
        <v>249</v>
      </c>
      <c r="O49" s="210" t="s">
        <v>245</v>
      </c>
      <c r="S49" s="210" t="s">
        <v>245</v>
      </c>
      <c r="T49" s="209"/>
      <c r="U49" s="209"/>
      <c r="V49" s="209"/>
      <c r="Z49" s="209"/>
      <c r="AA49" s="209"/>
    </row>
    <row r="50" spans="2:27" s="112" customFormat="1" x14ac:dyDescent="0.3">
      <c r="D50" s="211" t="s">
        <v>273</v>
      </c>
      <c r="F50" s="211" t="s">
        <v>272</v>
      </c>
      <c r="J50" s="211" t="s">
        <v>246</v>
      </c>
      <c r="L50" s="211" t="s">
        <v>246</v>
      </c>
      <c r="M50" s="318"/>
      <c r="N50" s="211" t="s">
        <v>250</v>
      </c>
      <c r="O50" s="211" t="s">
        <v>246</v>
      </c>
      <c r="S50" s="211" t="s">
        <v>246</v>
      </c>
      <c r="Z50" s="209"/>
      <c r="AA50" s="209"/>
    </row>
    <row r="54" spans="2:27" x14ac:dyDescent="0.3">
      <c r="D54" s="168"/>
      <c r="F54" s="168"/>
    </row>
    <row r="58" spans="2:27" ht="31.2" x14ac:dyDescent="0.3">
      <c r="B58" s="328" t="s">
        <v>327</v>
      </c>
    </row>
    <row r="60" spans="2:27" x14ac:dyDescent="0.3">
      <c r="B60" s="329" t="s">
        <v>328</v>
      </c>
    </row>
    <row r="62" spans="2:27" x14ac:dyDescent="0.3">
      <c r="B62" t="s">
        <v>329</v>
      </c>
    </row>
    <row r="63" spans="2:27" x14ac:dyDescent="0.3">
      <c r="B63" t="s">
        <v>330</v>
      </c>
    </row>
    <row r="65" spans="2:2" x14ac:dyDescent="0.3">
      <c r="B65" t="s">
        <v>331</v>
      </c>
    </row>
    <row r="66" spans="2:2" x14ac:dyDescent="0.3">
      <c r="B66" t="s">
        <v>332</v>
      </c>
    </row>
  </sheetData>
  <mergeCells count="27">
    <mergeCell ref="A7:B7"/>
    <mergeCell ref="A15:B15"/>
    <mergeCell ref="A23:B23"/>
    <mergeCell ref="A31:B31"/>
    <mergeCell ref="A39:B39"/>
    <mergeCell ref="A1:M1"/>
    <mergeCell ref="A2:B2"/>
    <mergeCell ref="D2:E2"/>
    <mergeCell ref="F2:G2"/>
    <mergeCell ref="H2:I2"/>
    <mergeCell ref="J2:K2"/>
    <mergeCell ref="L2:M2"/>
    <mergeCell ref="W2:W4"/>
    <mergeCell ref="A3:B3"/>
    <mergeCell ref="T3:T4"/>
    <mergeCell ref="V3:V4"/>
    <mergeCell ref="A4:B4"/>
    <mergeCell ref="O2:P2"/>
    <mergeCell ref="Q2:R2"/>
    <mergeCell ref="S2:V2"/>
    <mergeCell ref="A44:C44"/>
    <mergeCell ref="A45:C45"/>
    <mergeCell ref="A46:C46"/>
    <mergeCell ref="A40:C40"/>
    <mergeCell ref="A41:C41"/>
    <mergeCell ref="A42:C42"/>
    <mergeCell ref="A43:C43"/>
  </mergeCells>
  <conditionalFormatting sqref="D5:D6">
    <cfRule type="containsBlanks" dxfId="226" priority="226">
      <formula>LEN(TRIM(D5))=0</formula>
    </cfRule>
    <cfRule type="cellIs" dxfId="225" priority="227" operator="between">
      <formula>0</formula>
      <formula>499</formula>
    </cfRule>
    <cfRule type="cellIs" dxfId="224" priority="229" operator="greaterThanOrEqual">
      <formula>600</formula>
    </cfRule>
    <cfRule type="cellIs" dxfId="223" priority="228" operator="between">
      <formula>500</formula>
      <formula>599</formula>
    </cfRule>
  </conditionalFormatting>
  <conditionalFormatting sqref="D8:D13">
    <cfRule type="cellIs" dxfId="222" priority="294" operator="between">
      <formula>500</formula>
      <formula>599</formula>
    </cfRule>
    <cfRule type="cellIs" dxfId="221" priority="295" operator="greaterThanOrEqual">
      <formula>600</formula>
    </cfRule>
    <cfRule type="cellIs" dxfId="220" priority="293" operator="between">
      <formula>0</formula>
      <formula>499</formula>
    </cfRule>
  </conditionalFormatting>
  <conditionalFormatting sqref="D8:D14">
    <cfRule type="containsBlanks" dxfId="219" priority="234">
      <formula>LEN(TRIM(D8))=0</formula>
    </cfRule>
  </conditionalFormatting>
  <conditionalFormatting sqref="D16:D22">
    <cfRule type="containsBlanks" dxfId="218" priority="222">
      <formula>LEN(TRIM(D16))=0</formula>
    </cfRule>
    <cfRule type="cellIs" dxfId="217" priority="225" operator="greaterThanOrEqual">
      <formula>600</formula>
    </cfRule>
    <cfRule type="cellIs" dxfId="216" priority="224" operator="between">
      <formula>500</formula>
      <formula>599</formula>
    </cfRule>
    <cfRule type="cellIs" dxfId="215" priority="223" operator="between">
      <formula>0</formula>
      <formula>499</formula>
    </cfRule>
  </conditionalFormatting>
  <conditionalFormatting sqref="D24:D30">
    <cfRule type="cellIs" dxfId="214" priority="221" operator="greaterThanOrEqual">
      <formula>600</formula>
    </cfRule>
    <cfRule type="cellIs" dxfId="213" priority="220" operator="between">
      <formula>500</formula>
      <formula>599</formula>
    </cfRule>
    <cfRule type="cellIs" dxfId="212" priority="219" operator="between">
      <formula>0</formula>
      <formula>499</formula>
    </cfRule>
    <cfRule type="containsBlanks" dxfId="211" priority="218">
      <formula>LEN(TRIM(D24))=0</formula>
    </cfRule>
  </conditionalFormatting>
  <conditionalFormatting sqref="D32:D38">
    <cfRule type="cellIs" dxfId="210" priority="217" operator="greaterThanOrEqual">
      <formula>600</formula>
    </cfRule>
    <cfRule type="cellIs" dxfId="209" priority="216" operator="between">
      <formula>500</formula>
      <formula>599</formula>
    </cfRule>
    <cfRule type="cellIs" dxfId="208" priority="215" operator="between">
      <formula>0</formula>
      <formula>499</formula>
    </cfRule>
    <cfRule type="containsBlanks" dxfId="207" priority="214">
      <formula>LEN(TRIM(D32))=0</formula>
    </cfRule>
  </conditionalFormatting>
  <conditionalFormatting sqref="D42:D43">
    <cfRule type="cellIs" dxfId="206" priority="38" operator="between">
      <formula>0.6</formula>
      <formula>0.8</formula>
    </cfRule>
    <cfRule type="cellIs" dxfId="205" priority="37" operator="lessThan">
      <formula>0.6</formula>
    </cfRule>
    <cfRule type="cellIs" dxfId="204" priority="39" operator="greaterThanOrEqual">
      <formula>0.8</formula>
    </cfRule>
  </conditionalFormatting>
  <conditionalFormatting sqref="F6">
    <cfRule type="cellIs" dxfId="203" priority="211" operator="between">
      <formula>0</formula>
      <formula>499</formula>
    </cfRule>
    <cfRule type="containsBlanks" dxfId="202" priority="210">
      <formula>LEN(TRIM(F6))=0</formula>
    </cfRule>
    <cfRule type="cellIs" dxfId="201" priority="212" operator="between">
      <formula>500</formula>
      <formula>599</formula>
    </cfRule>
    <cfRule type="cellIs" dxfId="200" priority="213" operator="greaterThanOrEqual">
      <formula>600</formula>
    </cfRule>
  </conditionalFormatting>
  <conditionalFormatting sqref="F8:F14">
    <cfRule type="cellIs" dxfId="199" priority="207" operator="between">
      <formula>0</formula>
      <formula>499</formula>
    </cfRule>
    <cfRule type="containsBlanks" dxfId="198" priority="206">
      <formula>LEN(TRIM(F8))=0</formula>
    </cfRule>
    <cfRule type="cellIs" dxfId="197" priority="209" operator="greaterThanOrEqual">
      <formula>600</formula>
    </cfRule>
    <cfRule type="cellIs" dxfId="196" priority="208" operator="between">
      <formula>500</formula>
      <formula>599</formula>
    </cfRule>
  </conditionalFormatting>
  <conditionalFormatting sqref="F16:F22">
    <cfRule type="cellIs" dxfId="195" priority="205" operator="greaterThanOrEqual">
      <formula>600</formula>
    </cfRule>
    <cfRule type="cellIs" dxfId="194" priority="204" operator="between">
      <formula>500</formula>
      <formula>599</formula>
    </cfRule>
    <cfRule type="cellIs" dxfId="193" priority="203" operator="between">
      <formula>0</formula>
      <formula>499</formula>
    </cfRule>
    <cfRule type="containsBlanks" dxfId="192" priority="202">
      <formula>LEN(TRIM(F16))=0</formula>
    </cfRule>
  </conditionalFormatting>
  <conditionalFormatting sqref="F24:F30">
    <cfRule type="cellIs" dxfId="191" priority="201" operator="greaterThanOrEqual">
      <formula>600</formula>
    </cfRule>
    <cfRule type="cellIs" dxfId="190" priority="200" operator="between">
      <formula>500</formula>
      <formula>599</formula>
    </cfRule>
    <cfRule type="containsBlanks" dxfId="189" priority="198">
      <formula>LEN(TRIM(F24))=0</formula>
    </cfRule>
    <cfRule type="cellIs" dxfId="188" priority="199" operator="between">
      <formula>0</formula>
      <formula>499</formula>
    </cfRule>
  </conditionalFormatting>
  <conditionalFormatting sqref="F32:F38">
    <cfRule type="cellIs" dxfId="187" priority="195" operator="between">
      <formula>0</formula>
      <formula>499</formula>
    </cfRule>
    <cfRule type="cellIs" dxfId="186" priority="197" operator="greaterThanOrEqual">
      <formula>600</formula>
    </cfRule>
    <cfRule type="cellIs" dxfId="185" priority="196" operator="between">
      <formula>500</formula>
      <formula>599</formula>
    </cfRule>
    <cfRule type="containsBlanks" dxfId="184" priority="194">
      <formula>LEN(TRIM(F32))=0</formula>
    </cfRule>
  </conditionalFormatting>
  <conditionalFormatting sqref="F42:F43">
    <cfRule type="cellIs" dxfId="183" priority="18" operator="greaterThanOrEqual">
      <formula>0.8</formula>
    </cfRule>
    <cfRule type="cellIs" dxfId="182" priority="17" operator="between">
      <formula>0.6</formula>
      <formula>0.8</formula>
    </cfRule>
    <cfRule type="cellIs" dxfId="181" priority="16" operator="lessThan">
      <formula>0.6</formula>
    </cfRule>
  </conditionalFormatting>
  <conditionalFormatting sqref="H8:H14">
    <cfRule type="cellIs" dxfId="180" priority="192" operator="between">
      <formula>500</formula>
      <formula>599</formula>
    </cfRule>
    <cfRule type="cellIs" dxfId="179" priority="191" operator="between">
      <formula>0</formula>
      <formula>499</formula>
    </cfRule>
    <cfRule type="containsBlanks" dxfId="178" priority="190">
      <formula>LEN(TRIM(H8))=0</formula>
    </cfRule>
    <cfRule type="cellIs" dxfId="177" priority="193" operator="greaterThanOrEqual">
      <formula>600</formula>
    </cfRule>
  </conditionalFormatting>
  <conditionalFormatting sqref="H16:H22">
    <cfRule type="cellIs" dxfId="176" priority="189" operator="greaterThanOrEqual">
      <formula>600</formula>
    </cfRule>
    <cfRule type="cellIs" dxfId="175" priority="188" operator="between">
      <formula>500</formula>
      <formula>599</formula>
    </cfRule>
    <cfRule type="cellIs" dxfId="174" priority="187" operator="between">
      <formula>0</formula>
      <formula>499</formula>
    </cfRule>
    <cfRule type="containsBlanks" dxfId="173" priority="186">
      <formula>LEN(TRIM(H16))=0</formula>
    </cfRule>
  </conditionalFormatting>
  <conditionalFormatting sqref="H24:H30">
    <cfRule type="cellIs" dxfId="172" priority="184" operator="between">
      <formula>500</formula>
      <formula>599</formula>
    </cfRule>
    <cfRule type="cellIs" dxfId="171" priority="183" operator="between">
      <formula>0</formula>
      <formula>499</formula>
    </cfRule>
    <cfRule type="containsBlanks" dxfId="170" priority="182">
      <formula>LEN(TRIM(H24))=0</formula>
    </cfRule>
    <cfRule type="cellIs" dxfId="169" priority="185" operator="greaterThanOrEqual">
      <formula>600</formula>
    </cfRule>
  </conditionalFormatting>
  <conditionalFormatting sqref="H32:H38">
    <cfRule type="cellIs" dxfId="168" priority="181" operator="greaterThanOrEqual">
      <formula>600</formula>
    </cfRule>
    <cfRule type="cellIs" dxfId="167" priority="180" operator="between">
      <formula>500</formula>
      <formula>599</formula>
    </cfRule>
    <cfRule type="cellIs" dxfId="166" priority="179" operator="between">
      <formula>0</formula>
      <formula>499</formula>
    </cfRule>
    <cfRule type="containsBlanks" dxfId="165" priority="178">
      <formula>LEN(TRIM(H32))=0</formula>
    </cfRule>
  </conditionalFormatting>
  <conditionalFormatting sqref="H42:H43">
    <cfRule type="cellIs" dxfId="164" priority="15" operator="greaterThanOrEqual">
      <formula>0.8</formula>
    </cfRule>
    <cfRule type="cellIs" dxfId="163" priority="14" operator="between">
      <formula>0.6</formula>
      <formula>0.8</formula>
    </cfRule>
    <cfRule type="cellIs" dxfId="162" priority="13" operator="lessThan">
      <formula>0.6</formula>
    </cfRule>
  </conditionalFormatting>
  <conditionalFormatting sqref="J8:J14">
    <cfRule type="cellIs" dxfId="161" priority="177" operator="greaterThanOrEqual">
      <formula>600</formula>
    </cfRule>
    <cfRule type="cellIs" dxfId="160" priority="176" operator="between">
      <formula>500</formula>
      <formula>599</formula>
    </cfRule>
    <cfRule type="containsBlanks" dxfId="159" priority="174">
      <formula>LEN(TRIM(J8))=0</formula>
    </cfRule>
    <cfRule type="cellIs" dxfId="158" priority="175" operator="between">
      <formula>0</formula>
      <formula>499</formula>
    </cfRule>
  </conditionalFormatting>
  <conditionalFormatting sqref="J16:J22">
    <cfRule type="cellIs" dxfId="157" priority="173" operator="greaterThanOrEqual">
      <formula>600</formula>
    </cfRule>
    <cfRule type="cellIs" dxfId="156" priority="172" operator="between">
      <formula>500</formula>
      <formula>599</formula>
    </cfRule>
    <cfRule type="cellIs" dxfId="155" priority="171" operator="between">
      <formula>0</formula>
      <formula>499</formula>
    </cfRule>
    <cfRule type="containsBlanks" dxfId="154" priority="170">
      <formula>LEN(TRIM(J16))=0</formula>
    </cfRule>
  </conditionalFormatting>
  <conditionalFormatting sqref="J24:J30">
    <cfRule type="cellIs" dxfId="153" priority="169" operator="greaterThanOrEqual">
      <formula>600</formula>
    </cfRule>
    <cfRule type="cellIs" dxfId="152" priority="168" operator="between">
      <formula>500</formula>
      <formula>599</formula>
    </cfRule>
    <cfRule type="cellIs" dxfId="151" priority="167" operator="between">
      <formula>0</formula>
      <formula>499</formula>
    </cfRule>
    <cfRule type="containsBlanks" dxfId="150" priority="166">
      <formula>LEN(TRIM(J24))=0</formula>
    </cfRule>
  </conditionalFormatting>
  <conditionalFormatting sqref="J32:J38">
    <cfRule type="cellIs" dxfId="149" priority="165" operator="greaterThanOrEqual">
      <formula>600</formula>
    </cfRule>
    <cfRule type="cellIs" dxfId="148" priority="164" operator="between">
      <formula>500</formula>
      <formula>599</formula>
    </cfRule>
    <cfRule type="cellIs" dxfId="147" priority="163" operator="between">
      <formula>0</formula>
      <formula>499</formula>
    </cfRule>
    <cfRule type="containsBlanks" dxfId="146" priority="162">
      <formula>LEN(TRIM(J32))=0</formula>
    </cfRule>
  </conditionalFormatting>
  <conditionalFormatting sqref="J42:J43">
    <cfRule type="cellIs" dxfId="145" priority="10" operator="lessThan">
      <formula>0.6</formula>
    </cfRule>
    <cfRule type="cellIs" dxfId="144" priority="12" operator="greaterThanOrEqual">
      <formula>0.8</formula>
    </cfRule>
    <cfRule type="cellIs" dxfId="143" priority="11" operator="between">
      <formula>0.6</formula>
      <formula>0.8</formula>
    </cfRule>
  </conditionalFormatting>
  <conditionalFormatting sqref="L8:L14">
    <cfRule type="cellIs" dxfId="142" priority="161" operator="greaterThanOrEqual">
      <formula>600</formula>
    </cfRule>
    <cfRule type="cellIs" dxfId="141" priority="160" operator="between">
      <formula>500</formula>
      <formula>599</formula>
    </cfRule>
    <cfRule type="cellIs" dxfId="140" priority="159" operator="between">
      <formula>0</formula>
      <formula>499</formula>
    </cfRule>
    <cfRule type="containsBlanks" dxfId="139" priority="158">
      <formula>LEN(TRIM(L8))=0</formula>
    </cfRule>
  </conditionalFormatting>
  <conditionalFormatting sqref="L16:L22">
    <cfRule type="cellIs" dxfId="138" priority="157" operator="greaterThanOrEqual">
      <formula>600</formula>
    </cfRule>
    <cfRule type="containsBlanks" dxfId="137" priority="154">
      <formula>LEN(TRIM(L16))=0</formula>
    </cfRule>
    <cfRule type="cellIs" dxfId="136" priority="155" operator="between">
      <formula>0</formula>
      <formula>499</formula>
    </cfRule>
    <cfRule type="cellIs" dxfId="135" priority="156" operator="between">
      <formula>500</formula>
      <formula>599</formula>
    </cfRule>
  </conditionalFormatting>
  <conditionalFormatting sqref="L24:L30">
    <cfRule type="containsBlanks" dxfId="134" priority="150">
      <formula>LEN(TRIM(L24))=0</formula>
    </cfRule>
    <cfRule type="cellIs" dxfId="133" priority="152" operator="between">
      <formula>500</formula>
      <formula>599</formula>
    </cfRule>
    <cfRule type="cellIs" dxfId="132" priority="153" operator="greaterThanOrEqual">
      <formula>600</formula>
    </cfRule>
    <cfRule type="cellIs" dxfId="131" priority="151" operator="between">
      <formula>0</formula>
      <formula>499</formula>
    </cfRule>
  </conditionalFormatting>
  <conditionalFormatting sqref="L32:L38">
    <cfRule type="containsBlanks" dxfId="130" priority="146">
      <formula>LEN(TRIM(L32))=0</formula>
    </cfRule>
    <cfRule type="cellIs" dxfId="129" priority="147" operator="between">
      <formula>0</formula>
      <formula>499</formula>
    </cfRule>
    <cfRule type="cellIs" dxfId="128" priority="148" operator="between">
      <formula>500</formula>
      <formula>599</formula>
    </cfRule>
    <cfRule type="cellIs" dxfId="127" priority="149" operator="greaterThanOrEqual">
      <formula>600</formula>
    </cfRule>
  </conditionalFormatting>
  <conditionalFormatting sqref="L42:L43">
    <cfRule type="cellIs" dxfId="126" priority="7" operator="lessThan">
      <formula>0.6</formula>
    </cfRule>
    <cfRule type="cellIs" dxfId="125" priority="8" operator="between">
      <formula>0.6</formula>
      <formula>0.8</formula>
    </cfRule>
    <cfRule type="cellIs" dxfId="124" priority="9" operator="greaterThanOrEqual">
      <formula>0.8</formula>
    </cfRule>
  </conditionalFormatting>
  <conditionalFormatting sqref="N8:O14">
    <cfRule type="containsBlanks" dxfId="123" priority="126">
      <formula>LEN(TRIM(N8))=0</formula>
    </cfRule>
    <cfRule type="cellIs" dxfId="122" priority="127" operator="between">
      <formula>0</formula>
      <formula>499</formula>
    </cfRule>
    <cfRule type="cellIs" dxfId="121" priority="128" operator="between">
      <formula>500</formula>
      <formula>599</formula>
    </cfRule>
    <cfRule type="cellIs" dxfId="120" priority="129" operator="greaterThanOrEqual">
      <formula>600</formula>
    </cfRule>
  </conditionalFormatting>
  <conditionalFormatting sqref="N16:O22">
    <cfRule type="cellIs" dxfId="119" priority="125" operator="greaterThanOrEqual">
      <formula>600</formula>
    </cfRule>
    <cfRule type="cellIs" dxfId="118" priority="124" operator="between">
      <formula>500</formula>
      <formula>599</formula>
    </cfRule>
    <cfRule type="cellIs" dxfId="117" priority="123" operator="between">
      <formula>0</formula>
      <formula>499</formula>
    </cfRule>
    <cfRule type="containsBlanks" dxfId="116" priority="122">
      <formula>LEN(TRIM(N16))=0</formula>
    </cfRule>
  </conditionalFormatting>
  <conditionalFormatting sqref="N24:O30">
    <cfRule type="cellIs" dxfId="115" priority="120" operator="between">
      <formula>500</formula>
      <formula>599</formula>
    </cfRule>
    <cfRule type="cellIs" dxfId="114" priority="121" operator="greaterThanOrEqual">
      <formula>600</formula>
    </cfRule>
    <cfRule type="cellIs" dxfId="113" priority="119" operator="between">
      <formula>0</formula>
      <formula>499</formula>
    </cfRule>
    <cfRule type="containsBlanks" dxfId="112" priority="118">
      <formula>LEN(TRIM(N24))=0</formula>
    </cfRule>
  </conditionalFormatting>
  <conditionalFormatting sqref="N32:O38">
    <cfRule type="cellIs" dxfId="111" priority="117" operator="greaterThanOrEqual">
      <formula>600</formula>
    </cfRule>
    <cfRule type="cellIs" dxfId="110" priority="116" operator="between">
      <formula>500</formula>
      <formula>599</formula>
    </cfRule>
    <cfRule type="cellIs" dxfId="109" priority="115" operator="between">
      <formula>0</formula>
      <formula>499</formula>
    </cfRule>
    <cfRule type="containsBlanks" dxfId="108" priority="114">
      <formula>LEN(TRIM(N32))=0</formula>
    </cfRule>
  </conditionalFormatting>
  <conditionalFormatting sqref="N42:O43">
    <cfRule type="cellIs" dxfId="107" priority="5" operator="between">
      <formula>0.6</formula>
      <formula>0.8</formula>
    </cfRule>
    <cfRule type="cellIs" dxfId="106" priority="6" operator="greaterThanOrEqual">
      <formula>0.8</formula>
    </cfRule>
    <cfRule type="cellIs" dxfId="105" priority="4" operator="lessThan">
      <formula>0.6</formula>
    </cfRule>
  </conditionalFormatting>
  <conditionalFormatting sqref="Q8:Q14">
    <cfRule type="cellIs" dxfId="104" priority="113" operator="greaterThanOrEqual">
      <formula>600</formula>
    </cfRule>
    <cfRule type="cellIs" dxfId="103" priority="112" operator="between">
      <formula>500</formula>
      <formula>599</formula>
    </cfRule>
    <cfRule type="cellIs" dxfId="102" priority="111" operator="between">
      <formula>0</formula>
      <formula>499</formula>
    </cfRule>
    <cfRule type="containsBlanks" dxfId="101" priority="110">
      <formula>LEN(TRIM(Q8))=0</formula>
    </cfRule>
  </conditionalFormatting>
  <conditionalFormatting sqref="Q16:Q22">
    <cfRule type="cellIs" dxfId="100" priority="109" operator="greaterThanOrEqual">
      <formula>600</formula>
    </cfRule>
    <cfRule type="cellIs" dxfId="99" priority="108" operator="between">
      <formula>500</formula>
      <formula>599</formula>
    </cfRule>
    <cfRule type="containsBlanks" dxfId="98" priority="106">
      <formula>LEN(TRIM(Q16))=0</formula>
    </cfRule>
    <cfRule type="cellIs" dxfId="97" priority="107" operator="between">
      <formula>0</formula>
      <formula>499</formula>
    </cfRule>
  </conditionalFormatting>
  <conditionalFormatting sqref="Q24:Q30">
    <cfRule type="cellIs" dxfId="96" priority="104" operator="between">
      <formula>500</formula>
      <formula>599</formula>
    </cfRule>
    <cfRule type="cellIs" dxfId="95" priority="105" operator="greaterThanOrEqual">
      <formula>600</formula>
    </cfRule>
    <cfRule type="containsBlanks" dxfId="94" priority="102">
      <formula>LEN(TRIM(Q24))=0</formula>
    </cfRule>
    <cfRule type="cellIs" dxfId="93" priority="103" operator="between">
      <formula>0</formula>
      <formula>499</formula>
    </cfRule>
  </conditionalFormatting>
  <conditionalFormatting sqref="Q32:Q38">
    <cfRule type="cellIs" dxfId="92" priority="100" operator="between">
      <formula>500</formula>
      <formula>599</formula>
    </cfRule>
    <cfRule type="cellIs" dxfId="91" priority="101" operator="greaterThanOrEqual">
      <formula>600</formula>
    </cfRule>
    <cfRule type="cellIs" dxfId="90" priority="99" operator="between">
      <formula>0</formula>
      <formula>499</formula>
    </cfRule>
    <cfRule type="containsBlanks" dxfId="89" priority="98">
      <formula>LEN(TRIM(Q32))=0</formula>
    </cfRule>
  </conditionalFormatting>
  <conditionalFormatting sqref="S8:S14">
    <cfRule type="cellIs" dxfId="88" priority="97" operator="greaterThanOrEqual">
      <formula>600</formula>
    </cfRule>
    <cfRule type="containsBlanks" dxfId="87" priority="94">
      <formula>LEN(TRIM(S8))=0</formula>
    </cfRule>
    <cfRule type="cellIs" dxfId="86" priority="95" operator="between">
      <formula>0</formula>
      <formula>499</formula>
    </cfRule>
    <cfRule type="cellIs" dxfId="85" priority="96" operator="between">
      <formula>500</formula>
      <formula>599</formula>
    </cfRule>
  </conditionalFormatting>
  <conditionalFormatting sqref="S16:S22">
    <cfRule type="cellIs" dxfId="84" priority="93" operator="greaterThanOrEqual">
      <formula>600</formula>
    </cfRule>
    <cfRule type="cellIs" dxfId="83" priority="92" operator="between">
      <formula>500</formula>
      <formula>599</formula>
    </cfRule>
    <cfRule type="cellIs" dxfId="82" priority="91" operator="between">
      <formula>0</formula>
      <formula>499</formula>
    </cfRule>
    <cfRule type="containsBlanks" dxfId="81" priority="90">
      <formula>LEN(TRIM(S16))=0</formula>
    </cfRule>
  </conditionalFormatting>
  <conditionalFormatting sqref="S24:S30">
    <cfRule type="cellIs" dxfId="80" priority="89" operator="greaterThanOrEqual">
      <formula>600</formula>
    </cfRule>
    <cfRule type="cellIs" dxfId="79" priority="88" operator="between">
      <formula>500</formula>
      <formula>599</formula>
    </cfRule>
    <cfRule type="cellIs" dxfId="78" priority="87" operator="between">
      <formula>0</formula>
      <formula>499</formula>
    </cfRule>
    <cfRule type="containsBlanks" dxfId="77" priority="86">
      <formula>LEN(TRIM(S24))=0</formula>
    </cfRule>
  </conditionalFormatting>
  <conditionalFormatting sqref="S32:S38">
    <cfRule type="containsBlanks" dxfId="76" priority="82">
      <formula>LEN(TRIM(S32))=0</formula>
    </cfRule>
    <cfRule type="cellIs" dxfId="75" priority="83" operator="between">
      <formula>0</formula>
      <formula>499</formula>
    </cfRule>
    <cfRule type="cellIs" dxfId="74" priority="84" operator="between">
      <formula>500</formula>
      <formula>599</formula>
    </cfRule>
    <cfRule type="cellIs" dxfId="73" priority="85" operator="greaterThanOrEqual">
      <formula>600</formula>
    </cfRule>
  </conditionalFormatting>
  <conditionalFormatting sqref="S42:T43">
    <cfRule type="cellIs" dxfId="72" priority="3" operator="greaterThanOrEqual">
      <formula>0.8</formula>
    </cfRule>
    <cfRule type="cellIs" dxfId="71" priority="2" operator="between">
      <formula>0.6</formula>
      <formula>0.8</formula>
    </cfRule>
    <cfRule type="cellIs" dxfId="70" priority="1" operator="lessThan">
      <formula>0.6</formula>
    </cfRule>
  </conditionalFormatting>
  <pageMargins left="0.7" right="0.7" top="0.75" bottom="0.75" header="0.3" footer="0.3"/>
  <pageSetup orientation="portrait" horizontalDpi="0" verticalDpi="0"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8702-E6AB-46E7-81FB-1FFAB9AB85B1}">
  <dimension ref="A1:T65"/>
  <sheetViews>
    <sheetView showGridLines="0" workbookViewId="0">
      <pane xSplit="3" ySplit="3" topLeftCell="D33" activePane="bottomRight" state="frozen"/>
      <selection pane="topRight" activeCell="D1" sqref="D1"/>
      <selection pane="bottomLeft" activeCell="A5" sqref="A5"/>
      <selection pane="bottomRight" activeCell="I44" sqref="I44"/>
    </sheetView>
  </sheetViews>
  <sheetFormatPr baseColWidth="10" defaultRowHeight="14.4" x14ac:dyDescent="0.3"/>
  <cols>
    <col min="1" max="1" width="5.21875" customWidth="1"/>
    <col min="2" max="2" width="13" customWidth="1"/>
    <col min="3" max="3" width="3.77734375" bestFit="1" customWidth="1"/>
    <col min="4" max="8" width="12" customWidth="1"/>
    <col min="9" max="9" width="12.77734375" customWidth="1"/>
    <col min="10" max="10" width="12.6640625" customWidth="1"/>
    <col min="11" max="11" width="11.88671875" customWidth="1"/>
    <col min="12" max="12" width="11" customWidth="1"/>
    <col min="13" max="13" width="13.44140625" customWidth="1"/>
    <col min="14" max="14" width="11.88671875" bestFit="1" customWidth="1"/>
    <col min="15" max="15" width="12.109375" customWidth="1"/>
    <col min="16" max="16" width="64.6640625" customWidth="1"/>
    <col min="17" max="17" width="2.5546875" customWidth="1"/>
    <col min="19" max="20" width="11.5546875" style="168"/>
  </cols>
  <sheetData>
    <row r="1" spans="1:17" ht="49.8" customHeight="1" thickBot="1" x14ac:dyDescent="0.35">
      <c r="A1" s="461" t="s">
        <v>294</v>
      </c>
      <c r="B1" s="461"/>
      <c r="C1" s="461"/>
      <c r="D1" s="461"/>
      <c r="E1" s="461"/>
      <c r="F1" s="461"/>
      <c r="G1" s="461"/>
      <c r="H1" s="321" t="s">
        <v>310</v>
      </c>
      <c r="I1" s="323">
        <v>20</v>
      </c>
      <c r="J1" s="321" t="s">
        <v>309</v>
      </c>
      <c r="K1" s="324">
        <v>0</v>
      </c>
      <c r="L1" s="321" t="s">
        <v>344</v>
      </c>
      <c r="M1" s="325">
        <f>I1-K1</f>
        <v>20</v>
      </c>
      <c r="N1" s="322" t="s">
        <v>313</v>
      </c>
      <c r="O1" s="326">
        <f>(M1/I1)</f>
        <v>1</v>
      </c>
      <c r="P1" s="2"/>
    </row>
    <row r="2" spans="1:17" ht="23.4" customHeight="1" thickBot="1" x14ac:dyDescent="0.35">
      <c r="A2" s="476" t="s">
        <v>1</v>
      </c>
      <c r="B2" s="490"/>
      <c r="C2" s="330"/>
      <c r="D2" s="389" t="s">
        <v>2</v>
      </c>
      <c r="E2" s="390" t="s">
        <v>262</v>
      </c>
      <c r="F2" s="390" t="s">
        <v>4</v>
      </c>
      <c r="G2" s="390" t="s">
        <v>5</v>
      </c>
      <c r="H2" s="390" t="s">
        <v>6</v>
      </c>
      <c r="I2" s="391" t="s">
        <v>339</v>
      </c>
      <c r="J2" s="390" t="s">
        <v>7</v>
      </c>
      <c r="K2" s="390" t="s">
        <v>8</v>
      </c>
      <c r="L2" s="390" t="s">
        <v>340</v>
      </c>
      <c r="M2" s="392" t="s">
        <v>341</v>
      </c>
      <c r="N2" s="393" t="s">
        <v>342</v>
      </c>
      <c r="O2" s="394" t="s">
        <v>343</v>
      </c>
      <c r="P2" s="443" t="s">
        <v>10</v>
      </c>
    </row>
    <row r="3" spans="1:17" ht="14.4" customHeight="1" x14ac:dyDescent="0.3">
      <c r="A3" s="483" t="s">
        <v>242</v>
      </c>
      <c r="B3" s="526"/>
      <c r="C3" s="386" t="s">
        <v>259</v>
      </c>
      <c r="D3" s="9">
        <f t="shared" ref="D3:J3" si="0">D40/$I$1</f>
        <v>600</v>
      </c>
      <c r="E3" s="9">
        <f t="shared" si="0"/>
        <v>400</v>
      </c>
      <c r="F3" s="9">
        <f t="shared" si="0"/>
        <v>200</v>
      </c>
      <c r="G3" s="9">
        <f t="shared" si="0"/>
        <v>600</v>
      </c>
      <c r="H3" s="9">
        <f t="shared" si="0"/>
        <v>600</v>
      </c>
      <c r="I3" s="9">
        <f t="shared" si="0"/>
        <v>20</v>
      </c>
      <c r="J3" s="9">
        <f t="shared" si="0"/>
        <v>600</v>
      </c>
      <c r="K3" s="9">
        <v>0</v>
      </c>
      <c r="L3" s="7">
        <f>L40/$I$1</f>
        <v>600</v>
      </c>
      <c r="M3" s="7">
        <f>M40/$I$1</f>
        <v>12000000</v>
      </c>
      <c r="N3" s="7">
        <v>0</v>
      </c>
      <c r="O3" s="7">
        <v>0</v>
      </c>
      <c r="P3" s="469"/>
    </row>
    <row r="4" spans="1:17" x14ac:dyDescent="0.3">
      <c r="A4" s="29">
        <v>1</v>
      </c>
      <c r="B4" s="21" t="s">
        <v>20</v>
      </c>
      <c r="C4" s="376" t="s">
        <v>261</v>
      </c>
      <c r="D4" s="334">
        <f>529+429</f>
        <v>958</v>
      </c>
      <c r="E4" s="35" t="s">
        <v>36</v>
      </c>
      <c r="F4" s="35" t="s">
        <v>36</v>
      </c>
      <c r="G4" s="35" t="s">
        <v>36</v>
      </c>
      <c r="H4" s="35" t="s">
        <v>36</v>
      </c>
      <c r="I4" s="35" t="s">
        <v>36</v>
      </c>
      <c r="J4" s="35" t="s">
        <v>36</v>
      </c>
      <c r="K4" s="35" t="s">
        <v>36</v>
      </c>
      <c r="L4" s="398" t="s">
        <v>36</v>
      </c>
      <c r="M4" s="407" t="s">
        <v>36</v>
      </c>
      <c r="N4" s="59" t="s">
        <v>36</v>
      </c>
      <c r="O4" s="151" t="s">
        <v>36</v>
      </c>
      <c r="P4" s="126" t="s">
        <v>301</v>
      </c>
    </row>
    <row r="5" spans="1:17" x14ac:dyDescent="0.3">
      <c r="A5" s="29">
        <v>2</v>
      </c>
      <c r="B5" s="21" t="s">
        <v>21</v>
      </c>
      <c r="C5" s="377" t="s">
        <v>261</v>
      </c>
      <c r="D5" s="334"/>
      <c r="E5" s="174"/>
      <c r="F5" s="174"/>
      <c r="G5" s="174"/>
      <c r="H5" s="174"/>
      <c r="I5" s="174"/>
      <c r="J5" s="174"/>
      <c r="K5" s="25"/>
      <c r="L5" s="399"/>
      <c r="M5" s="408"/>
      <c r="N5" s="229"/>
      <c r="O5" s="27"/>
      <c r="P5" s="126"/>
    </row>
    <row r="6" spans="1:17" ht="15.6" customHeight="1" thickBot="1" x14ac:dyDescent="0.35">
      <c r="A6" s="485" t="s">
        <v>233</v>
      </c>
      <c r="B6" s="503"/>
      <c r="C6" s="378"/>
      <c r="D6" s="335">
        <f t="shared" ref="D6:O6" si="1">SUM(D4:D5)</f>
        <v>958</v>
      </c>
      <c r="E6" s="38">
        <f t="shared" si="1"/>
        <v>0</v>
      </c>
      <c r="F6" s="38">
        <f t="shared" si="1"/>
        <v>0</v>
      </c>
      <c r="G6" s="38">
        <f t="shared" si="1"/>
        <v>0</v>
      </c>
      <c r="H6" s="38">
        <f t="shared" si="1"/>
        <v>0</v>
      </c>
      <c r="I6" s="38">
        <f t="shared" si="1"/>
        <v>0</v>
      </c>
      <c r="J6" s="38">
        <f t="shared" si="1"/>
        <v>0</v>
      </c>
      <c r="K6" s="38">
        <f t="shared" si="1"/>
        <v>0</v>
      </c>
      <c r="L6" s="400">
        <f t="shared" si="1"/>
        <v>0</v>
      </c>
      <c r="M6" s="409">
        <f t="shared" si="1"/>
        <v>0</v>
      </c>
      <c r="N6" s="162">
        <f t="shared" si="1"/>
        <v>0</v>
      </c>
      <c r="O6" s="41">
        <f t="shared" si="1"/>
        <v>0</v>
      </c>
      <c r="P6" s="46"/>
    </row>
    <row r="7" spans="1:17" x14ac:dyDescent="0.3">
      <c r="A7" s="47">
        <v>3</v>
      </c>
      <c r="B7" s="48" t="s">
        <v>16</v>
      </c>
      <c r="C7" s="379" t="s">
        <v>260</v>
      </c>
      <c r="D7" s="334">
        <f>126+56</f>
        <v>182</v>
      </c>
      <c r="E7" s="174">
        <v>150</v>
      </c>
      <c r="F7" s="174">
        <v>500</v>
      </c>
      <c r="G7" s="174">
        <v>500</v>
      </c>
      <c r="H7" s="174">
        <v>0</v>
      </c>
      <c r="I7" s="174"/>
      <c r="J7" s="174">
        <v>0</v>
      </c>
      <c r="K7" s="174"/>
      <c r="L7" s="399">
        <v>243</v>
      </c>
      <c r="M7" s="410">
        <v>6083534</v>
      </c>
      <c r="N7" s="232"/>
      <c r="O7" s="87"/>
      <c r="P7" s="172" t="s">
        <v>302</v>
      </c>
    </row>
    <row r="8" spans="1:17" x14ac:dyDescent="0.3">
      <c r="A8" s="20">
        <v>4</v>
      </c>
      <c r="B8" s="21" t="s">
        <v>17</v>
      </c>
      <c r="C8" s="380" t="s">
        <v>260</v>
      </c>
      <c r="D8" s="334">
        <v>502</v>
      </c>
      <c r="E8" s="174">
        <v>302</v>
      </c>
      <c r="F8" s="174"/>
      <c r="G8" s="174">
        <v>0</v>
      </c>
      <c r="H8" s="174">
        <v>0</v>
      </c>
      <c r="I8" s="174"/>
      <c r="J8" s="174">
        <v>441</v>
      </c>
      <c r="K8" s="174"/>
      <c r="L8" s="399">
        <v>428</v>
      </c>
      <c r="M8" s="411">
        <v>11243720</v>
      </c>
      <c r="N8" s="229">
        <v>148</v>
      </c>
      <c r="O8" s="301">
        <v>2343912</v>
      </c>
      <c r="P8" s="128" t="s">
        <v>303</v>
      </c>
    </row>
    <row r="9" spans="1:17" ht="15.6" customHeight="1" x14ac:dyDescent="0.3">
      <c r="A9" s="20">
        <v>5</v>
      </c>
      <c r="B9" s="21" t="s">
        <v>17</v>
      </c>
      <c r="C9" s="380" t="s">
        <v>260</v>
      </c>
      <c r="D9" s="336">
        <v>501</v>
      </c>
      <c r="E9" s="174">
        <v>250</v>
      </c>
      <c r="F9" s="174"/>
      <c r="G9" s="174">
        <v>0</v>
      </c>
      <c r="H9" s="174">
        <v>0</v>
      </c>
      <c r="I9" s="174"/>
      <c r="J9" s="174">
        <v>385</v>
      </c>
      <c r="K9" s="174"/>
      <c r="L9" s="399">
        <v>414</v>
      </c>
      <c r="M9" s="411">
        <v>10272759</v>
      </c>
      <c r="N9" s="229">
        <v>47</v>
      </c>
      <c r="O9" s="301">
        <v>760518</v>
      </c>
      <c r="P9" s="128" t="s">
        <v>326</v>
      </c>
    </row>
    <row r="10" spans="1:17" x14ac:dyDescent="0.3">
      <c r="A10" s="20">
        <v>6</v>
      </c>
      <c r="B10" s="21" t="s">
        <v>18</v>
      </c>
      <c r="C10" s="380" t="s">
        <v>260</v>
      </c>
      <c r="D10" s="336">
        <v>0</v>
      </c>
      <c r="E10" s="174">
        <v>358</v>
      </c>
      <c r="F10" s="174"/>
      <c r="G10" s="174">
        <v>440</v>
      </c>
      <c r="H10" s="174">
        <v>608</v>
      </c>
      <c r="I10" s="174"/>
      <c r="J10" s="174">
        <v>384</v>
      </c>
      <c r="K10" s="174"/>
      <c r="L10" s="399">
        <v>604</v>
      </c>
      <c r="M10" s="411">
        <v>15208851</v>
      </c>
      <c r="N10" s="229">
        <v>48</v>
      </c>
      <c r="O10" s="301">
        <v>921312</v>
      </c>
      <c r="P10" s="128"/>
      <c r="Q10" s="55"/>
    </row>
    <row r="11" spans="1:17" x14ac:dyDescent="0.3">
      <c r="A11" s="20">
        <v>7</v>
      </c>
      <c r="B11" s="21" t="s">
        <v>19</v>
      </c>
      <c r="C11" s="380" t="s">
        <v>260</v>
      </c>
      <c r="D11" s="336">
        <v>0</v>
      </c>
      <c r="E11" s="174">
        <v>150</v>
      </c>
      <c r="F11" s="174"/>
      <c r="G11" s="174">
        <v>644</v>
      </c>
      <c r="H11" s="174">
        <v>437</v>
      </c>
      <c r="I11" s="174"/>
      <c r="J11" s="174">
        <v>215</v>
      </c>
      <c r="K11" s="174"/>
      <c r="L11" s="399">
        <v>145</v>
      </c>
      <c r="M11" s="411">
        <v>3722068</v>
      </c>
      <c r="N11" s="229"/>
      <c r="O11" s="27"/>
      <c r="P11" s="126" t="s">
        <v>307</v>
      </c>
    </row>
    <row r="12" spans="1:17" x14ac:dyDescent="0.3">
      <c r="A12" s="33">
        <v>8</v>
      </c>
      <c r="B12" s="34" t="s">
        <v>20</v>
      </c>
      <c r="C12" s="377" t="s">
        <v>261</v>
      </c>
      <c r="D12" s="334">
        <v>602</v>
      </c>
      <c r="E12" s="174"/>
      <c r="F12" s="174"/>
      <c r="G12" s="174"/>
      <c r="H12" s="174"/>
      <c r="I12" s="174"/>
      <c r="J12" s="174"/>
      <c r="K12" s="174"/>
      <c r="L12" s="399"/>
      <c r="M12" s="412"/>
      <c r="N12" s="36"/>
      <c r="O12" s="37"/>
      <c r="P12" s="54" t="s">
        <v>304</v>
      </c>
    </row>
    <row r="13" spans="1:17" x14ac:dyDescent="0.3">
      <c r="A13" s="44">
        <v>9</v>
      </c>
      <c r="B13" s="45" t="s">
        <v>21</v>
      </c>
      <c r="C13" s="381" t="s">
        <v>261</v>
      </c>
      <c r="D13" s="337"/>
      <c r="E13" s="174"/>
      <c r="F13" s="174"/>
      <c r="G13" s="174"/>
      <c r="H13" s="174"/>
      <c r="I13" s="174"/>
      <c r="J13" s="174"/>
      <c r="K13" s="174"/>
      <c r="L13" s="399"/>
      <c r="M13" s="412"/>
      <c r="N13" s="36"/>
      <c r="O13" s="37"/>
      <c r="P13" s="32" t="s">
        <v>305</v>
      </c>
    </row>
    <row r="14" spans="1:17" ht="21" customHeight="1" thickBot="1" x14ac:dyDescent="0.35">
      <c r="A14" s="485" t="s">
        <v>236</v>
      </c>
      <c r="B14" s="503"/>
      <c r="C14" s="378"/>
      <c r="D14" s="335">
        <f>SUM(D7:D13)</f>
        <v>1787</v>
      </c>
      <c r="E14" s="38">
        <f t="shared" ref="E14:L14" si="2">SUM(E7:E13)</f>
        <v>1210</v>
      </c>
      <c r="F14" s="38">
        <f t="shared" si="2"/>
        <v>500</v>
      </c>
      <c r="G14" s="38">
        <f t="shared" si="2"/>
        <v>1584</v>
      </c>
      <c r="H14" s="38">
        <f t="shared" si="2"/>
        <v>1045</v>
      </c>
      <c r="I14" s="38">
        <f>SUM(I7:I11)</f>
        <v>0</v>
      </c>
      <c r="J14" s="38">
        <f t="shared" si="2"/>
        <v>1425</v>
      </c>
      <c r="K14" s="38">
        <f t="shared" si="2"/>
        <v>0</v>
      </c>
      <c r="L14" s="400">
        <f t="shared" si="2"/>
        <v>1834</v>
      </c>
      <c r="M14" s="409">
        <f>SUM(M7:M13)</f>
        <v>46530932</v>
      </c>
      <c r="N14" s="162">
        <f>SUM(N7:N13)</f>
        <v>243</v>
      </c>
      <c r="O14" s="41">
        <f>SUM(O7:O13)</f>
        <v>4025742</v>
      </c>
      <c r="P14" s="56"/>
    </row>
    <row r="15" spans="1:17" x14ac:dyDescent="0.3">
      <c r="A15" s="11">
        <v>10</v>
      </c>
      <c r="B15" s="12" t="s">
        <v>16</v>
      </c>
      <c r="C15" s="382" t="s">
        <v>260</v>
      </c>
      <c r="D15" s="334">
        <v>0</v>
      </c>
      <c r="E15" s="174">
        <v>330</v>
      </c>
      <c r="F15" s="174"/>
      <c r="G15" s="174">
        <v>896</v>
      </c>
      <c r="H15" s="174">
        <v>73</v>
      </c>
      <c r="I15" s="174"/>
      <c r="J15" s="174">
        <v>609</v>
      </c>
      <c r="K15" s="174"/>
      <c r="L15" s="399">
        <v>43</v>
      </c>
      <c r="M15" s="413">
        <v>470476</v>
      </c>
      <c r="N15" s="226">
        <v>131</v>
      </c>
      <c r="O15" s="302">
        <v>2116014</v>
      </c>
      <c r="P15" s="131" t="s">
        <v>306</v>
      </c>
    </row>
    <row r="16" spans="1:17" x14ac:dyDescent="0.3">
      <c r="A16" s="20">
        <v>11</v>
      </c>
      <c r="B16" s="21" t="s">
        <v>17</v>
      </c>
      <c r="C16" s="383" t="s">
        <v>260</v>
      </c>
      <c r="D16" s="334">
        <v>608</v>
      </c>
      <c r="E16" s="174">
        <f>126+56+150</f>
        <v>332</v>
      </c>
      <c r="F16" s="174"/>
      <c r="G16" s="174">
        <v>0</v>
      </c>
      <c r="H16" s="174">
        <v>500</v>
      </c>
      <c r="I16" s="174"/>
      <c r="J16" s="174">
        <v>0</v>
      </c>
      <c r="K16" s="174"/>
      <c r="L16" s="399">
        <v>316</v>
      </c>
      <c r="M16" s="413">
        <v>9715160</v>
      </c>
      <c r="N16" s="216">
        <v>78</v>
      </c>
      <c r="O16" s="301">
        <v>2127220</v>
      </c>
      <c r="P16" s="128" t="s">
        <v>308</v>
      </c>
    </row>
    <row r="17" spans="1:20" s="137" customFormat="1" x14ac:dyDescent="0.3">
      <c r="A17" s="20">
        <v>12</v>
      </c>
      <c r="B17" s="21" t="s">
        <v>17</v>
      </c>
      <c r="C17" s="383" t="s">
        <v>260</v>
      </c>
      <c r="D17" s="334">
        <v>300</v>
      </c>
      <c r="E17" s="174">
        <v>351</v>
      </c>
      <c r="F17" s="174">
        <v>438</v>
      </c>
      <c r="G17" s="174">
        <v>0</v>
      </c>
      <c r="H17" s="174">
        <v>509</v>
      </c>
      <c r="I17" s="174"/>
      <c r="J17" s="174">
        <v>551</v>
      </c>
      <c r="K17" s="174"/>
      <c r="L17" s="399">
        <v>124</v>
      </c>
      <c r="M17" s="413">
        <v>3332310</v>
      </c>
      <c r="N17" s="216">
        <v>1</v>
      </c>
      <c r="O17" s="301">
        <v>16194</v>
      </c>
      <c r="P17" s="128"/>
      <c r="S17" s="184"/>
      <c r="T17" s="184"/>
    </row>
    <row r="18" spans="1:20" s="137" customFormat="1" ht="24" x14ac:dyDescent="0.3">
      <c r="A18" s="29">
        <v>13</v>
      </c>
      <c r="B18" s="30" t="s">
        <v>18</v>
      </c>
      <c r="C18" s="383" t="s">
        <v>260</v>
      </c>
      <c r="D18" s="334">
        <v>240</v>
      </c>
      <c r="E18" s="174">
        <v>200</v>
      </c>
      <c r="F18" s="174"/>
      <c r="G18" s="174">
        <v>627</v>
      </c>
      <c r="H18" s="174">
        <v>440</v>
      </c>
      <c r="I18" s="174"/>
      <c r="J18" s="174">
        <v>160</v>
      </c>
      <c r="K18" s="174"/>
      <c r="L18" s="399">
        <v>384</v>
      </c>
      <c r="M18" s="414">
        <v>9920441</v>
      </c>
      <c r="N18" s="216">
        <v>0</v>
      </c>
      <c r="O18" s="287">
        <v>0</v>
      </c>
      <c r="P18" s="126" t="s">
        <v>314</v>
      </c>
      <c r="S18" s="184"/>
      <c r="T18" s="184"/>
    </row>
    <row r="19" spans="1:20" s="137" customFormat="1" x14ac:dyDescent="0.3">
      <c r="A19" s="29">
        <v>14</v>
      </c>
      <c r="B19" s="30" t="s">
        <v>19</v>
      </c>
      <c r="C19" s="383" t="s">
        <v>260</v>
      </c>
      <c r="D19" s="334">
        <v>522</v>
      </c>
      <c r="E19" s="174">
        <v>300</v>
      </c>
      <c r="F19" s="174"/>
      <c r="G19" s="174">
        <v>0</v>
      </c>
      <c r="H19" s="174">
        <v>4</v>
      </c>
      <c r="I19" s="174"/>
      <c r="J19" s="174">
        <v>936</v>
      </c>
      <c r="K19" s="174"/>
      <c r="L19" s="399">
        <v>225</v>
      </c>
      <c r="M19" s="414">
        <v>5775750</v>
      </c>
      <c r="N19" s="216"/>
      <c r="O19" s="278"/>
      <c r="P19" s="126"/>
      <c r="S19" s="184"/>
      <c r="T19" s="184"/>
    </row>
    <row r="20" spans="1:20" x14ac:dyDescent="0.3">
      <c r="A20" s="33">
        <v>15</v>
      </c>
      <c r="B20" s="34" t="s">
        <v>20</v>
      </c>
      <c r="C20" s="377" t="s">
        <v>261</v>
      </c>
      <c r="D20" s="334"/>
      <c r="E20" s="174"/>
      <c r="F20" s="174"/>
      <c r="G20" s="174"/>
      <c r="H20" s="174"/>
      <c r="I20" s="174"/>
      <c r="J20" s="174"/>
      <c r="K20" s="174"/>
      <c r="L20" s="399"/>
      <c r="M20" s="415">
        <v>0</v>
      </c>
      <c r="N20" s="59">
        <v>0</v>
      </c>
      <c r="O20" s="37">
        <v>0</v>
      </c>
      <c r="P20" s="128"/>
    </row>
    <row r="21" spans="1:20" ht="15.6" customHeight="1" x14ac:dyDescent="0.3">
      <c r="A21" s="44">
        <v>16</v>
      </c>
      <c r="B21" s="45" t="s">
        <v>21</v>
      </c>
      <c r="C21" s="381" t="s">
        <v>261</v>
      </c>
      <c r="D21" s="334"/>
      <c r="E21" s="174"/>
      <c r="F21" s="174"/>
      <c r="G21" s="174"/>
      <c r="H21" s="174"/>
      <c r="I21" s="174"/>
      <c r="J21" s="174"/>
      <c r="K21" s="174"/>
      <c r="L21" s="399"/>
      <c r="M21" s="412">
        <v>0</v>
      </c>
      <c r="N21" s="216">
        <v>0</v>
      </c>
      <c r="O21" s="27">
        <v>0</v>
      </c>
      <c r="P21" s="32"/>
    </row>
    <row r="22" spans="1:20" ht="20.399999999999999" customHeight="1" thickBot="1" x14ac:dyDescent="0.35">
      <c r="A22" s="485" t="s">
        <v>235</v>
      </c>
      <c r="B22" s="503"/>
      <c r="C22" s="378"/>
      <c r="D22" s="335">
        <f t="shared" ref="D22:H22" si="3">SUM(D15:D21)</f>
        <v>1670</v>
      </c>
      <c r="E22" s="38">
        <f t="shared" si="3"/>
        <v>1513</v>
      </c>
      <c r="F22" s="38">
        <f t="shared" si="3"/>
        <v>438</v>
      </c>
      <c r="G22" s="38">
        <f t="shared" si="3"/>
        <v>1523</v>
      </c>
      <c r="H22" s="38">
        <f t="shared" si="3"/>
        <v>1526</v>
      </c>
      <c r="I22" s="38">
        <f>SUM(I15:I16,I18:I19)</f>
        <v>0</v>
      </c>
      <c r="J22" s="38">
        <f t="shared" ref="J22:N22" si="4">SUM(J15:J21)</f>
        <v>2256</v>
      </c>
      <c r="K22" s="38">
        <f t="shared" si="4"/>
        <v>0</v>
      </c>
      <c r="L22" s="400">
        <f t="shared" si="4"/>
        <v>1092</v>
      </c>
      <c r="M22" s="409">
        <f t="shared" si="4"/>
        <v>29214137</v>
      </c>
      <c r="N22" s="162">
        <f t="shared" si="4"/>
        <v>210</v>
      </c>
      <c r="O22" s="41">
        <f>SUM(O15:O18)</f>
        <v>4259428</v>
      </c>
      <c r="P22" s="56"/>
    </row>
    <row r="23" spans="1:20" x14ac:dyDescent="0.3">
      <c r="A23" s="11">
        <v>17</v>
      </c>
      <c r="B23" s="12" t="s">
        <v>16</v>
      </c>
      <c r="C23" s="384" t="s">
        <v>260</v>
      </c>
      <c r="D23" s="334">
        <v>0</v>
      </c>
      <c r="E23" s="174">
        <f>102+200</f>
        <v>302</v>
      </c>
      <c r="F23" s="174"/>
      <c r="G23" s="174">
        <v>727</v>
      </c>
      <c r="H23" s="174">
        <v>300</v>
      </c>
      <c r="I23" s="174"/>
      <c r="J23" s="174">
        <v>500</v>
      </c>
      <c r="K23" s="174"/>
      <c r="L23" s="399">
        <v>127</v>
      </c>
      <c r="M23" s="413">
        <v>3441740</v>
      </c>
      <c r="N23" s="233">
        <v>149</v>
      </c>
      <c r="O23" s="302">
        <v>3686966</v>
      </c>
      <c r="P23" s="260" t="s">
        <v>315</v>
      </c>
    </row>
    <row r="24" spans="1:20" x14ac:dyDescent="0.3">
      <c r="A24" s="20">
        <v>18</v>
      </c>
      <c r="B24" s="21" t="s">
        <v>17</v>
      </c>
      <c r="C24" s="380" t="s">
        <v>260</v>
      </c>
      <c r="D24" s="334">
        <v>0</v>
      </c>
      <c r="E24" s="174">
        <v>308</v>
      </c>
      <c r="F24" s="174"/>
      <c r="G24" s="174">
        <v>1270</v>
      </c>
      <c r="H24" s="174">
        <v>302</v>
      </c>
      <c r="I24" s="174"/>
      <c r="J24" s="174">
        <f>212+392</f>
        <v>604</v>
      </c>
      <c r="K24" s="174"/>
      <c r="L24" s="399">
        <v>380</v>
      </c>
      <c r="M24" s="411">
        <v>9763653</v>
      </c>
      <c r="N24" s="174">
        <v>322</v>
      </c>
      <c r="O24" s="301">
        <v>8422780</v>
      </c>
      <c r="P24" s="132" t="s">
        <v>351</v>
      </c>
    </row>
    <row r="25" spans="1:20" s="177" customFormat="1" x14ac:dyDescent="0.3">
      <c r="A25" s="29">
        <v>19</v>
      </c>
      <c r="B25" s="30" t="s">
        <v>17</v>
      </c>
      <c r="C25" s="383" t="s">
        <v>260</v>
      </c>
      <c r="D25" s="334">
        <v>562</v>
      </c>
      <c r="E25" s="174">
        <v>300</v>
      </c>
      <c r="F25" s="174"/>
      <c r="G25" s="174">
        <v>0</v>
      </c>
      <c r="H25" s="174">
        <v>344</v>
      </c>
      <c r="I25" s="174"/>
      <c r="J25" s="174">
        <v>401</v>
      </c>
      <c r="K25" s="174"/>
      <c r="L25" s="399">
        <v>289</v>
      </c>
      <c r="M25" s="411">
        <v>8170093</v>
      </c>
      <c r="N25" s="174">
        <v>30</v>
      </c>
      <c r="O25" s="301">
        <v>749700</v>
      </c>
      <c r="P25" s="288" t="s">
        <v>352</v>
      </c>
      <c r="S25" s="198"/>
      <c r="T25" s="198"/>
    </row>
    <row r="26" spans="1:20" ht="24" x14ac:dyDescent="0.3">
      <c r="A26" s="20">
        <v>20</v>
      </c>
      <c r="B26" s="21" t="s">
        <v>18</v>
      </c>
      <c r="C26" s="380" t="s">
        <v>260</v>
      </c>
      <c r="D26" s="334">
        <v>589</v>
      </c>
      <c r="E26" s="174">
        <v>322</v>
      </c>
      <c r="F26" s="174"/>
      <c r="G26" s="174"/>
      <c r="H26" s="174">
        <v>0</v>
      </c>
      <c r="I26" s="174">
        <v>74</v>
      </c>
      <c r="J26" s="174">
        <v>413</v>
      </c>
      <c r="K26" s="174"/>
      <c r="L26" s="399">
        <v>509</v>
      </c>
      <c r="M26" s="411">
        <v>13474542</v>
      </c>
      <c r="N26" s="216"/>
      <c r="O26" s="27"/>
      <c r="P26" s="132" t="s">
        <v>345</v>
      </c>
    </row>
    <row r="27" spans="1:20" x14ac:dyDescent="0.3">
      <c r="A27" s="20">
        <v>21</v>
      </c>
      <c r="B27" s="21" t="s">
        <v>19</v>
      </c>
      <c r="C27" s="380" t="s">
        <v>260</v>
      </c>
      <c r="D27" s="334">
        <v>470</v>
      </c>
      <c r="E27" s="174">
        <v>300</v>
      </c>
      <c r="F27" s="174"/>
      <c r="G27" s="174">
        <v>939</v>
      </c>
      <c r="H27" s="174">
        <v>774</v>
      </c>
      <c r="I27" s="174"/>
      <c r="J27" s="174">
        <v>206</v>
      </c>
      <c r="K27" s="174"/>
      <c r="L27" s="399">
        <v>394</v>
      </c>
      <c r="M27" s="411">
        <v>10071505</v>
      </c>
      <c r="N27" s="216">
        <v>47</v>
      </c>
      <c r="O27" s="301">
        <v>1221530</v>
      </c>
      <c r="P27" s="134" t="s">
        <v>346</v>
      </c>
    </row>
    <row r="28" spans="1:20" x14ac:dyDescent="0.3">
      <c r="A28" s="33">
        <v>22</v>
      </c>
      <c r="B28" s="34" t="s">
        <v>20</v>
      </c>
      <c r="C28" s="377" t="s">
        <v>261</v>
      </c>
      <c r="D28" s="334">
        <v>490</v>
      </c>
      <c r="E28" s="174"/>
      <c r="F28" s="174"/>
      <c r="G28" s="174"/>
      <c r="H28" s="174"/>
      <c r="I28" s="174"/>
      <c r="J28" s="174"/>
      <c r="K28" s="174"/>
      <c r="L28" s="399"/>
      <c r="M28" s="416"/>
      <c r="N28" s="59"/>
      <c r="O28" s="166"/>
      <c r="P28" s="134" t="s">
        <v>304</v>
      </c>
    </row>
    <row r="29" spans="1:20" x14ac:dyDescent="0.3">
      <c r="A29" s="44">
        <v>23</v>
      </c>
      <c r="B29" s="45" t="s">
        <v>21</v>
      </c>
      <c r="C29" s="381" t="s">
        <v>261</v>
      </c>
      <c r="D29" s="334"/>
      <c r="E29" s="174"/>
      <c r="F29" s="174"/>
      <c r="G29" s="174"/>
      <c r="H29" s="174"/>
      <c r="I29" s="174"/>
      <c r="J29" s="174"/>
      <c r="K29" s="174"/>
      <c r="L29" s="399"/>
      <c r="M29" s="412"/>
      <c r="N29" s="216"/>
      <c r="O29" s="27"/>
      <c r="P29" s="32"/>
    </row>
    <row r="30" spans="1:20" ht="19.2" customHeight="1" thickBot="1" x14ac:dyDescent="0.35">
      <c r="A30" s="485" t="s">
        <v>234</v>
      </c>
      <c r="B30" s="503"/>
      <c r="C30" s="378"/>
      <c r="D30" s="335">
        <f t="shared" ref="D30:M30" si="5">SUM(D23:D29)</f>
        <v>2111</v>
      </c>
      <c r="E30" s="38">
        <f t="shared" si="5"/>
        <v>1532</v>
      </c>
      <c r="F30" s="38">
        <f t="shared" si="5"/>
        <v>0</v>
      </c>
      <c r="G30" s="38">
        <f t="shared" si="5"/>
        <v>2936</v>
      </c>
      <c r="H30" s="38">
        <f t="shared" si="5"/>
        <v>1720</v>
      </c>
      <c r="I30" s="38">
        <f>SUM(I23:I27)</f>
        <v>74</v>
      </c>
      <c r="J30" s="38">
        <f t="shared" si="5"/>
        <v>2124</v>
      </c>
      <c r="K30" s="38">
        <f t="shared" si="5"/>
        <v>0</v>
      </c>
      <c r="L30" s="400">
        <f t="shared" si="5"/>
        <v>1699</v>
      </c>
      <c r="M30" s="409">
        <f t="shared" si="5"/>
        <v>44921533</v>
      </c>
      <c r="N30" s="162">
        <f>SUM(N23:N29)</f>
        <v>548</v>
      </c>
      <c r="O30" s="41">
        <f>SUM(O23:O29)</f>
        <v>14080976</v>
      </c>
      <c r="P30" s="64"/>
    </row>
    <row r="31" spans="1:20" x14ac:dyDescent="0.3">
      <c r="A31" s="47">
        <v>24</v>
      </c>
      <c r="B31" s="431" t="s">
        <v>16</v>
      </c>
      <c r="C31" s="342" t="s">
        <v>260</v>
      </c>
      <c r="D31" s="334">
        <f>112+26</f>
        <v>138</v>
      </c>
      <c r="E31" s="174">
        <f>262+150</f>
        <v>412</v>
      </c>
      <c r="F31" s="174"/>
      <c r="G31" s="174">
        <v>602</v>
      </c>
      <c r="H31" s="174">
        <v>0</v>
      </c>
      <c r="I31" s="174">
        <v>0</v>
      </c>
      <c r="J31" s="174">
        <v>395</v>
      </c>
      <c r="K31" s="174"/>
      <c r="L31" s="399">
        <v>213</v>
      </c>
      <c r="M31" s="413">
        <v>5731827</v>
      </c>
      <c r="N31" s="262">
        <v>130</v>
      </c>
      <c r="O31" s="302">
        <v>2784472</v>
      </c>
      <c r="P31" s="260" t="s">
        <v>347</v>
      </c>
    </row>
    <row r="32" spans="1:20" x14ac:dyDescent="0.3">
      <c r="A32" s="20">
        <v>25</v>
      </c>
      <c r="B32" s="432" t="s">
        <v>17</v>
      </c>
      <c r="C32" s="340" t="s">
        <v>260</v>
      </c>
      <c r="D32" s="334">
        <f>88+104+323</f>
        <v>515</v>
      </c>
      <c r="E32" s="334">
        <v>439</v>
      </c>
      <c r="F32" s="174"/>
      <c r="G32" s="174"/>
      <c r="H32" s="174">
        <v>527</v>
      </c>
      <c r="I32" s="174"/>
      <c r="J32" s="174">
        <v>266</v>
      </c>
      <c r="K32" s="174"/>
      <c r="L32" s="399">
        <v>265</v>
      </c>
      <c r="M32" s="411">
        <v>6636556</v>
      </c>
      <c r="N32" s="174"/>
      <c r="O32" s="27"/>
      <c r="P32" s="436"/>
    </row>
    <row r="33" spans="1:20" x14ac:dyDescent="0.3">
      <c r="A33" s="434">
        <v>26</v>
      </c>
      <c r="B33" s="271" t="s">
        <v>17</v>
      </c>
      <c r="C33" s="343" t="s">
        <v>260</v>
      </c>
      <c r="D33" s="334">
        <v>400</v>
      </c>
      <c r="E33" s="174">
        <v>300</v>
      </c>
      <c r="F33" s="174"/>
      <c r="G33" s="174"/>
      <c r="H33" s="174">
        <v>611</v>
      </c>
      <c r="I33" s="174">
        <v>83</v>
      </c>
      <c r="J33" s="174">
        <v>451</v>
      </c>
      <c r="K33" s="174"/>
      <c r="L33" s="399">
        <v>64</v>
      </c>
      <c r="M33" s="411">
        <v>1922973</v>
      </c>
      <c r="N33" s="274"/>
      <c r="O33" s="285"/>
      <c r="P33" s="435" t="s">
        <v>350</v>
      </c>
    </row>
    <row r="34" spans="1:20" x14ac:dyDescent="0.3">
      <c r="A34" s="434">
        <v>27</v>
      </c>
      <c r="B34" s="271" t="s">
        <v>18</v>
      </c>
      <c r="C34" s="343" t="s">
        <v>260</v>
      </c>
      <c r="D34" s="334">
        <v>106</v>
      </c>
      <c r="E34" s="174">
        <f>179+200</f>
        <v>379</v>
      </c>
      <c r="F34" s="174"/>
      <c r="G34" s="174">
        <v>608</v>
      </c>
      <c r="H34" s="174">
        <v>338</v>
      </c>
      <c r="I34" s="174"/>
      <c r="J34" s="174">
        <v>459</v>
      </c>
      <c r="K34" s="174"/>
      <c r="L34" s="399">
        <v>355</v>
      </c>
      <c r="M34" s="411">
        <v>8926929</v>
      </c>
      <c r="N34" s="274">
        <v>211</v>
      </c>
      <c r="O34" s="285">
        <v>3368690</v>
      </c>
      <c r="P34" s="435" t="s">
        <v>348</v>
      </c>
    </row>
    <row r="35" spans="1:20" x14ac:dyDescent="0.3">
      <c r="A35" s="434">
        <v>28</v>
      </c>
      <c r="B35" s="271" t="s">
        <v>19</v>
      </c>
      <c r="C35" s="343" t="s">
        <v>260</v>
      </c>
      <c r="D35" s="334">
        <f>250+603</f>
        <v>853</v>
      </c>
      <c r="E35" s="174">
        <v>306</v>
      </c>
      <c r="F35" s="174"/>
      <c r="G35" s="174">
        <v>522</v>
      </c>
      <c r="H35" s="174">
        <v>596</v>
      </c>
      <c r="I35" s="174"/>
      <c r="J35" s="174">
        <v>425</v>
      </c>
      <c r="K35" s="174"/>
      <c r="L35" s="399">
        <v>331</v>
      </c>
      <c r="M35" s="411">
        <v>8338382</v>
      </c>
      <c r="N35" s="274"/>
      <c r="O35" s="285"/>
      <c r="P35" s="32"/>
    </row>
    <row r="36" spans="1:20" x14ac:dyDescent="0.3">
      <c r="A36" s="33">
        <v>29</v>
      </c>
      <c r="B36" s="433" t="s">
        <v>20</v>
      </c>
      <c r="C36" s="338" t="s">
        <v>261</v>
      </c>
      <c r="D36" s="334"/>
      <c r="E36" s="174"/>
      <c r="F36" s="174"/>
      <c r="G36" s="174"/>
      <c r="H36" s="174"/>
      <c r="I36" s="174"/>
      <c r="J36" s="174"/>
      <c r="K36" s="174"/>
      <c r="L36" s="399"/>
      <c r="M36" s="416"/>
      <c r="N36" s="35"/>
      <c r="O36" s="166"/>
      <c r="P36" s="435" t="s">
        <v>349</v>
      </c>
    </row>
    <row r="37" spans="1:20" x14ac:dyDescent="0.3">
      <c r="A37" s="44">
        <v>30</v>
      </c>
      <c r="B37" s="45" t="s">
        <v>21</v>
      </c>
      <c r="C37" s="341" t="s">
        <v>261</v>
      </c>
      <c r="D37" s="334"/>
      <c r="E37" s="174"/>
      <c r="F37" s="174"/>
      <c r="G37" s="174"/>
      <c r="H37" s="174"/>
      <c r="I37" s="174"/>
      <c r="J37" s="174"/>
      <c r="K37" s="174"/>
      <c r="L37" s="399"/>
      <c r="M37" s="412"/>
      <c r="N37" s="216"/>
      <c r="O37" s="27"/>
      <c r="P37" s="32"/>
    </row>
    <row r="38" spans="1:20" ht="15.6" customHeight="1" thickBot="1" x14ac:dyDescent="0.35">
      <c r="A38" s="485" t="s">
        <v>237</v>
      </c>
      <c r="B38" s="503"/>
      <c r="C38" s="339"/>
      <c r="D38" s="335">
        <f>SUM(D31:D37)</f>
        <v>2012</v>
      </c>
      <c r="E38" s="38">
        <f t="shared" ref="E38:O38" si="6">SUM(E31:E34)</f>
        <v>1530</v>
      </c>
      <c r="F38" s="38">
        <f t="shared" si="6"/>
        <v>0</v>
      </c>
      <c r="G38" s="38">
        <f t="shared" si="6"/>
        <v>1210</v>
      </c>
      <c r="H38" s="38">
        <f>SUM(H31:H35)</f>
        <v>2072</v>
      </c>
      <c r="I38" s="38">
        <f t="shared" si="6"/>
        <v>83</v>
      </c>
      <c r="J38" s="38">
        <f>SUM(J31:J35)</f>
        <v>1996</v>
      </c>
      <c r="K38" s="38">
        <f t="shared" si="6"/>
        <v>0</v>
      </c>
      <c r="L38" s="400">
        <f>SUM(L31:L35)</f>
        <v>1228</v>
      </c>
      <c r="M38" s="409">
        <f>SUM(M31:M35)</f>
        <v>31556667</v>
      </c>
      <c r="N38" s="162">
        <f t="shared" si="6"/>
        <v>341</v>
      </c>
      <c r="O38" s="41">
        <f t="shared" si="6"/>
        <v>6153162</v>
      </c>
      <c r="P38" s="64"/>
    </row>
    <row r="39" spans="1:20" s="141" customFormat="1" ht="23.4" customHeight="1" x14ac:dyDescent="0.3">
      <c r="A39" s="513" t="s">
        <v>243</v>
      </c>
      <c r="B39" s="514"/>
      <c r="C39" s="515"/>
      <c r="D39" s="317">
        <f t="shared" ref="D39:H39" si="7">D6+D14+D22+D30+D38</f>
        <v>8538</v>
      </c>
      <c r="E39" s="311">
        <f t="shared" si="7"/>
        <v>5785</v>
      </c>
      <c r="F39" s="311">
        <f t="shared" si="7"/>
        <v>938</v>
      </c>
      <c r="G39" s="311">
        <f t="shared" si="7"/>
        <v>7253</v>
      </c>
      <c r="H39" s="311">
        <f t="shared" si="7"/>
        <v>6363</v>
      </c>
      <c r="I39" s="314">
        <f>SUM(,I6,I14,I22,I30,I38)</f>
        <v>157</v>
      </c>
      <c r="J39" s="311">
        <f>+J6+J14+J22+J30+J38</f>
        <v>7801</v>
      </c>
      <c r="K39" s="311">
        <f>K6+K14+K22+K30+K38</f>
        <v>0</v>
      </c>
      <c r="L39" s="401">
        <f>L6+L14+L22+L30+L38</f>
        <v>5853</v>
      </c>
      <c r="M39" s="417">
        <f>M6+M14+M22+M30+M38</f>
        <v>152223269</v>
      </c>
      <c r="N39" s="311">
        <f>SUM(N6,N14,N22,N30,N38)</f>
        <v>1342</v>
      </c>
      <c r="O39" s="316">
        <f>SUM(O6+O14+O22)</f>
        <v>8285170</v>
      </c>
      <c r="P39" s="429" t="s">
        <v>29</v>
      </c>
      <c r="S39" s="308"/>
      <c r="T39" s="308"/>
    </row>
    <row r="40" spans="1:20" s="306" customFormat="1" ht="22.8" customHeight="1" thickBot="1" x14ac:dyDescent="0.35">
      <c r="A40" s="516" t="s">
        <v>30</v>
      </c>
      <c r="B40" s="517"/>
      <c r="C40" s="518"/>
      <c r="D40" s="356">
        <v>12000</v>
      </c>
      <c r="E40" s="356">
        <v>8000</v>
      </c>
      <c r="F40" s="356">
        <v>4000</v>
      </c>
      <c r="G40" s="356">
        <v>12000</v>
      </c>
      <c r="H40" s="356">
        <v>12000</v>
      </c>
      <c r="I40" s="359">
        <v>400</v>
      </c>
      <c r="J40" s="356">
        <v>12000</v>
      </c>
      <c r="K40" s="356">
        <v>0</v>
      </c>
      <c r="L40" s="402">
        <v>12000</v>
      </c>
      <c r="M40" s="418">
        <v>240000000</v>
      </c>
      <c r="N40" s="356"/>
      <c r="O40" s="361"/>
      <c r="P40" s="305">
        <v>1</v>
      </c>
      <c r="S40" s="307"/>
      <c r="T40" s="307"/>
    </row>
    <row r="41" spans="1:20" ht="30" customHeight="1" thickTop="1" thickBot="1" x14ac:dyDescent="0.35">
      <c r="A41" s="519" t="s">
        <v>337</v>
      </c>
      <c r="B41" s="520"/>
      <c r="C41" s="521"/>
      <c r="D41" s="395">
        <f t="shared" ref="D41:J41" si="8">D39/(D40*$O$1)</f>
        <v>0.71150000000000002</v>
      </c>
      <c r="E41" s="395">
        <f t="shared" si="8"/>
        <v>0.72312500000000002</v>
      </c>
      <c r="F41" s="395">
        <f t="shared" si="8"/>
        <v>0.23449999999999999</v>
      </c>
      <c r="G41" s="395">
        <f t="shared" si="8"/>
        <v>0.60441666666666671</v>
      </c>
      <c r="H41" s="395">
        <f t="shared" si="8"/>
        <v>0.53025</v>
      </c>
      <c r="I41" s="395">
        <f t="shared" si="8"/>
        <v>0.39250000000000002</v>
      </c>
      <c r="J41" s="395">
        <f t="shared" si="8"/>
        <v>0.65008333333333335</v>
      </c>
      <c r="K41" s="395"/>
      <c r="L41" s="403">
        <f>L39/(L40*$O$1)</f>
        <v>0.48775000000000002</v>
      </c>
      <c r="M41" s="419">
        <v>0.48270833333333335</v>
      </c>
      <c r="N41" s="354"/>
      <c r="O41" s="355"/>
      <c r="P41" s="130"/>
    </row>
    <row r="42" spans="1:20" ht="28.8" customHeight="1" thickTop="1" thickBot="1" x14ac:dyDescent="0.35">
      <c r="A42" s="522" t="s">
        <v>338</v>
      </c>
      <c r="B42" s="523"/>
      <c r="C42" s="524"/>
      <c r="D42" s="396">
        <f t="shared" ref="D42:J42" si="9">D39/D40</f>
        <v>0.71150000000000002</v>
      </c>
      <c r="E42" s="396">
        <f t="shared" si="9"/>
        <v>0.72312500000000002</v>
      </c>
      <c r="F42" s="396">
        <f t="shared" si="9"/>
        <v>0.23449999999999999</v>
      </c>
      <c r="G42" s="396">
        <f t="shared" si="9"/>
        <v>0.60441666666666671</v>
      </c>
      <c r="H42" s="396">
        <f t="shared" si="9"/>
        <v>0.53025</v>
      </c>
      <c r="I42" s="396">
        <f t="shared" si="9"/>
        <v>0.39250000000000002</v>
      </c>
      <c r="J42" s="396">
        <f t="shared" si="9"/>
        <v>0.65008333333333335</v>
      </c>
      <c r="K42" s="397"/>
      <c r="L42" s="404">
        <f>L39/L40</f>
        <v>0.48775000000000002</v>
      </c>
      <c r="M42" s="420">
        <f>M39/M40</f>
        <v>0.63426362083333332</v>
      </c>
      <c r="N42" s="319"/>
      <c r="O42" s="320"/>
      <c r="P42" s="426"/>
    </row>
    <row r="43" spans="1:20" ht="33.6" customHeight="1" thickTop="1" thickBot="1" x14ac:dyDescent="0.35">
      <c r="A43" s="504" t="s">
        <v>334</v>
      </c>
      <c r="B43" s="505"/>
      <c r="C43" s="506"/>
      <c r="D43" s="368">
        <f t="shared" ref="D43:J43" si="10">((D39/$M$1)*$I$1)</f>
        <v>8538</v>
      </c>
      <c r="E43" s="370">
        <f t="shared" si="10"/>
        <v>5785</v>
      </c>
      <c r="F43" s="370">
        <f t="shared" si="10"/>
        <v>938</v>
      </c>
      <c r="G43" s="370">
        <f t="shared" si="10"/>
        <v>7253</v>
      </c>
      <c r="H43" s="370">
        <f t="shared" si="10"/>
        <v>6363</v>
      </c>
      <c r="I43" s="370">
        <f t="shared" si="10"/>
        <v>157</v>
      </c>
      <c r="J43" s="370">
        <f t="shared" si="10"/>
        <v>7801</v>
      </c>
      <c r="K43" s="370"/>
      <c r="L43" s="405">
        <f>((L39/$M$1)*$I$1)</f>
        <v>5853</v>
      </c>
      <c r="M43" s="421">
        <f>((M39/$M$1)*$I$1)</f>
        <v>152223269</v>
      </c>
      <c r="N43" s="423"/>
      <c r="O43" s="373"/>
      <c r="P43" s="427"/>
    </row>
    <row r="44" spans="1:20" ht="26.4" customHeight="1" thickTop="1" x14ac:dyDescent="0.3">
      <c r="A44" s="507" t="s">
        <v>333</v>
      </c>
      <c r="B44" s="508"/>
      <c r="C44" s="509"/>
      <c r="D44" s="362">
        <f t="shared" ref="D44:J44" si="11">D40-D39</f>
        <v>3462</v>
      </c>
      <c r="E44" s="364">
        <f t="shared" si="11"/>
        <v>2215</v>
      </c>
      <c r="F44" s="364">
        <f t="shared" si="11"/>
        <v>3062</v>
      </c>
      <c r="G44" s="364">
        <f t="shared" si="11"/>
        <v>4747</v>
      </c>
      <c r="H44" s="364">
        <f t="shared" si="11"/>
        <v>5637</v>
      </c>
      <c r="I44" s="364">
        <f t="shared" si="11"/>
        <v>243</v>
      </c>
      <c r="J44" s="364">
        <f t="shared" si="11"/>
        <v>4199</v>
      </c>
      <c r="K44" s="364"/>
      <c r="L44" s="406">
        <f>L40-L39</f>
        <v>6147</v>
      </c>
      <c r="M44" s="422">
        <f>M40-M39</f>
        <v>87776731</v>
      </c>
      <c r="N44" s="424"/>
      <c r="O44" s="367"/>
      <c r="P44" s="427" t="s">
        <v>268</v>
      </c>
      <c r="S44" s="207"/>
      <c r="T44" s="207"/>
    </row>
    <row r="45" spans="1:20" ht="30" customHeight="1" thickBot="1" x14ac:dyDescent="0.35">
      <c r="A45" s="510" t="s">
        <v>336</v>
      </c>
      <c r="B45" s="511"/>
      <c r="C45" s="512"/>
      <c r="D45" s="348" t="e">
        <f t="shared" ref="D45:J45" si="12">D44/$K$1</f>
        <v>#DIV/0!</v>
      </c>
      <c r="E45" s="350" t="e">
        <f t="shared" si="12"/>
        <v>#DIV/0!</v>
      </c>
      <c r="F45" s="350" t="e">
        <f t="shared" si="12"/>
        <v>#DIV/0!</v>
      </c>
      <c r="G45" s="350" t="e">
        <f t="shared" si="12"/>
        <v>#DIV/0!</v>
      </c>
      <c r="H45" s="350" t="e">
        <f t="shared" si="12"/>
        <v>#DIV/0!</v>
      </c>
      <c r="I45" s="350" t="e">
        <f t="shared" si="12"/>
        <v>#DIV/0!</v>
      </c>
      <c r="J45" s="350" t="e">
        <f t="shared" si="12"/>
        <v>#DIV/0!</v>
      </c>
      <c r="K45" s="350"/>
      <c r="L45" s="387" t="e">
        <f>L44/$K$1</f>
        <v>#DIV/0!</v>
      </c>
      <c r="M45" s="388" t="e">
        <f>M44/$K$1</f>
        <v>#DIV/0!</v>
      </c>
      <c r="N45" s="425"/>
      <c r="O45" s="332"/>
      <c r="P45" s="428"/>
      <c r="S45" s="207"/>
      <c r="T45" s="207"/>
    </row>
    <row r="47" spans="1:20" s="112" customFormat="1" x14ac:dyDescent="0.3">
      <c r="D47" s="208" t="s">
        <v>239</v>
      </c>
      <c r="E47" s="208" t="s">
        <v>238</v>
      </c>
      <c r="G47" s="208" t="s">
        <v>239</v>
      </c>
      <c r="H47" s="208" t="s">
        <v>239</v>
      </c>
      <c r="I47" s="208" t="s">
        <v>240</v>
      </c>
      <c r="J47" s="208" t="s">
        <v>239</v>
      </c>
      <c r="L47" s="208" t="s">
        <v>239</v>
      </c>
      <c r="S47" s="209"/>
      <c r="T47" s="209"/>
    </row>
    <row r="48" spans="1:20" s="112" customFormat="1" x14ac:dyDescent="0.3">
      <c r="D48" s="210" t="s">
        <v>245</v>
      </c>
      <c r="E48" s="210" t="s">
        <v>248</v>
      </c>
      <c r="G48" s="210" t="s">
        <v>245</v>
      </c>
      <c r="H48" s="210" t="s">
        <v>245</v>
      </c>
      <c r="I48" s="210" t="s">
        <v>249</v>
      </c>
      <c r="J48" s="210" t="s">
        <v>245</v>
      </c>
      <c r="L48" s="210" t="s">
        <v>245</v>
      </c>
      <c r="M48" s="209"/>
      <c r="N48" s="209"/>
      <c r="O48" s="430"/>
      <c r="S48" s="209"/>
      <c r="T48" s="209"/>
    </row>
    <row r="49" spans="2:20" s="112" customFormat="1" x14ac:dyDescent="0.3">
      <c r="D49" s="211" t="s">
        <v>273</v>
      </c>
      <c r="E49" s="211" t="s">
        <v>272</v>
      </c>
      <c r="G49" s="211" t="s">
        <v>246</v>
      </c>
      <c r="H49" s="211" t="s">
        <v>246</v>
      </c>
      <c r="I49" s="211" t="s">
        <v>250</v>
      </c>
      <c r="J49" s="211" t="s">
        <v>246</v>
      </c>
      <c r="L49" s="211" t="s">
        <v>246</v>
      </c>
      <c r="S49" s="209"/>
      <c r="T49" s="209"/>
    </row>
    <row r="53" spans="2:20" x14ac:dyDescent="0.3">
      <c r="D53" s="168"/>
      <c r="E53" s="168"/>
    </row>
    <row r="57" spans="2:20" ht="31.2" x14ac:dyDescent="0.3">
      <c r="B57" s="328" t="s">
        <v>327</v>
      </c>
    </row>
    <row r="59" spans="2:20" x14ac:dyDescent="0.3">
      <c r="B59" s="329" t="s">
        <v>328</v>
      </c>
    </row>
    <row r="61" spans="2:20" x14ac:dyDescent="0.3">
      <c r="B61" t="s">
        <v>329</v>
      </c>
    </row>
    <row r="62" spans="2:20" x14ac:dyDescent="0.3">
      <c r="B62" t="s">
        <v>330</v>
      </c>
    </row>
    <row r="64" spans="2:20" x14ac:dyDescent="0.3">
      <c r="B64" t="s">
        <v>331</v>
      </c>
    </row>
    <row r="65" spans="2:2" x14ac:dyDescent="0.3">
      <c r="B65" t="s">
        <v>332</v>
      </c>
    </row>
  </sheetData>
  <mergeCells count="16">
    <mergeCell ref="A3:B3"/>
    <mergeCell ref="P2:P3"/>
    <mergeCell ref="A2:B2"/>
    <mergeCell ref="A1:G1"/>
    <mergeCell ref="A45:C45"/>
    <mergeCell ref="A6:B6"/>
    <mergeCell ref="A14:B14"/>
    <mergeCell ref="A22:B22"/>
    <mergeCell ref="A30:B30"/>
    <mergeCell ref="A38:B38"/>
    <mergeCell ref="A39:C39"/>
    <mergeCell ref="A40:C40"/>
    <mergeCell ref="A41:C41"/>
    <mergeCell ref="A42:C42"/>
    <mergeCell ref="A43:C43"/>
    <mergeCell ref="A44:C44"/>
  </mergeCells>
  <conditionalFormatting sqref="D4:D5">
    <cfRule type="cellIs" dxfId="69" priority="151" operator="between">
      <formula>0</formula>
      <formula>499</formula>
    </cfRule>
    <cfRule type="containsBlanks" dxfId="68" priority="150">
      <formula>LEN(TRIM(D4))=0</formula>
    </cfRule>
    <cfRule type="cellIs" dxfId="67" priority="153" operator="greaterThanOrEqual">
      <formula>600</formula>
    </cfRule>
    <cfRule type="cellIs" dxfId="66" priority="152" operator="between">
      <formula>500</formula>
      <formula>599</formula>
    </cfRule>
  </conditionalFormatting>
  <conditionalFormatting sqref="D7:D12">
    <cfRule type="cellIs" dxfId="65" priority="157" operator="greaterThanOrEqual">
      <formula>600</formula>
    </cfRule>
    <cfRule type="cellIs" dxfId="64" priority="156" operator="between">
      <formula>500</formula>
      <formula>599</formula>
    </cfRule>
    <cfRule type="cellIs" dxfId="63" priority="155" operator="between">
      <formula>0</formula>
      <formula>499</formula>
    </cfRule>
  </conditionalFormatting>
  <conditionalFormatting sqref="D41:J42">
    <cfRule type="cellIs" dxfId="62" priority="4" operator="lessThan">
      <formula>0.6</formula>
    </cfRule>
    <cfRule type="cellIs" dxfId="61" priority="5" operator="between">
      <formula>0.6</formula>
      <formula>0.8</formula>
    </cfRule>
    <cfRule type="cellIs" dxfId="60" priority="6" operator="greaterThanOrEqual">
      <formula>0.8</formula>
    </cfRule>
  </conditionalFormatting>
  <conditionalFormatting sqref="D7:L13">
    <cfRule type="containsBlanks" dxfId="59" priority="34">
      <formula>LEN(TRIM(D7))=0</formula>
    </cfRule>
  </conditionalFormatting>
  <conditionalFormatting sqref="D15:L21">
    <cfRule type="cellIs" dxfId="58" priority="31" operator="between">
      <formula>0</formula>
      <formula>499</formula>
    </cfRule>
    <cfRule type="cellIs" dxfId="57" priority="32" operator="between">
      <formula>500</formula>
      <formula>599</formula>
    </cfRule>
    <cfRule type="cellIs" dxfId="56" priority="33" operator="greaterThanOrEqual">
      <formula>600</formula>
    </cfRule>
    <cfRule type="containsBlanks" dxfId="55" priority="30">
      <formula>LEN(TRIM(D15))=0</formula>
    </cfRule>
  </conditionalFormatting>
  <conditionalFormatting sqref="D23:L29">
    <cfRule type="cellIs" dxfId="54" priority="29" operator="greaterThanOrEqual">
      <formula>600</formula>
    </cfRule>
    <cfRule type="cellIs" dxfId="53" priority="28" operator="between">
      <formula>500</formula>
      <formula>599</formula>
    </cfRule>
    <cfRule type="cellIs" dxfId="52" priority="27" operator="between">
      <formula>0</formula>
      <formula>499</formula>
    </cfRule>
    <cfRule type="containsBlanks" dxfId="51" priority="26">
      <formula>LEN(TRIM(D23))=0</formula>
    </cfRule>
  </conditionalFormatting>
  <conditionalFormatting sqref="D31:L37">
    <cfRule type="containsBlanks" dxfId="50" priority="22">
      <formula>LEN(TRIM(D31))=0</formula>
    </cfRule>
    <cfRule type="cellIs" dxfId="49" priority="25" operator="greaterThanOrEqual">
      <formula>600</formula>
    </cfRule>
    <cfRule type="cellIs" dxfId="48" priority="24" operator="between">
      <formula>500</formula>
      <formula>599</formula>
    </cfRule>
    <cfRule type="cellIs" dxfId="47" priority="23" operator="between">
      <formula>0</formula>
      <formula>499</formula>
    </cfRule>
  </conditionalFormatting>
  <conditionalFormatting sqref="E5">
    <cfRule type="containsBlanks" dxfId="46" priority="134">
      <formula>LEN(TRIM(E5))=0</formula>
    </cfRule>
    <cfRule type="cellIs" dxfId="45" priority="135" operator="between">
      <formula>0</formula>
      <formula>499</formula>
    </cfRule>
    <cfRule type="cellIs" dxfId="44" priority="136" operator="between">
      <formula>500</formula>
      <formula>599</formula>
    </cfRule>
    <cfRule type="cellIs" dxfId="43" priority="137" operator="greaterThanOrEqual">
      <formula>600</formula>
    </cfRule>
  </conditionalFormatting>
  <conditionalFormatting sqref="E7:L13">
    <cfRule type="cellIs" dxfId="42" priority="35" operator="between">
      <formula>0</formula>
      <formula>499</formula>
    </cfRule>
    <cfRule type="cellIs" dxfId="41" priority="36" operator="between">
      <formula>500</formula>
      <formula>599</formula>
    </cfRule>
    <cfRule type="cellIs" dxfId="40" priority="37" operator="greaterThanOrEqual">
      <formula>600</formula>
    </cfRule>
  </conditionalFormatting>
  <conditionalFormatting sqref="L41:M42">
    <cfRule type="cellIs" dxfId="39" priority="2" operator="between">
      <formula>0.6</formula>
      <formula>0.8</formula>
    </cfRule>
    <cfRule type="cellIs" dxfId="38" priority="3" operator="greaterThanOrEqual">
      <formula>0.8</formula>
    </cfRule>
    <cfRule type="cellIs" dxfId="37" priority="1" operator="lessThan">
      <formula>0.6</formula>
    </cfRule>
  </conditionalFormatting>
  <pageMargins left="0.7" right="0.7" top="0.75" bottom="0.75" header="0.3" footer="0.3"/>
  <pageSetup orientation="portrait" horizontalDpi="0" verticalDpi="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151D2-330D-40AE-8AEE-3443B8DE19A6}">
  <dimension ref="A1:T66"/>
  <sheetViews>
    <sheetView showGridLines="0" tabSelected="1" workbookViewId="0">
      <pane xSplit="3" ySplit="3" topLeftCell="D4" activePane="bottomRight" state="frozen"/>
      <selection pane="topRight" activeCell="D1" sqref="D1"/>
      <selection pane="bottomLeft" activeCell="A5" sqref="A5"/>
      <selection pane="bottomRight" activeCell="D9" sqref="D9"/>
    </sheetView>
  </sheetViews>
  <sheetFormatPr baseColWidth="10" defaultRowHeight="14.4" x14ac:dyDescent="0.3"/>
  <cols>
    <col min="1" max="1" width="5.21875" customWidth="1"/>
    <col min="2" max="2" width="13" customWidth="1"/>
    <col min="3" max="3" width="3.77734375" bestFit="1" customWidth="1"/>
    <col min="4" max="8" width="12" customWidth="1"/>
    <col min="9" max="9" width="12.77734375" customWidth="1"/>
    <col min="10" max="10" width="12.6640625" customWidth="1"/>
    <col min="11" max="11" width="11.88671875" customWidth="1"/>
    <col min="12" max="12" width="11" customWidth="1"/>
    <col min="13" max="13" width="13.44140625" customWidth="1"/>
    <col min="14" max="14" width="11.88671875" bestFit="1" customWidth="1"/>
    <col min="15" max="15" width="12.109375" customWidth="1"/>
    <col min="16" max="16" width="64.6640625" customWidth="1"/>
    <col min="17" max="17" width="2.5546875" customWidth="1"/>
    <col min="19" max="20" width="11.5546875" style="168"/>
  </cols>
  <sheetData>
    <row r="1" spans="1:17" ht="49.8" customHeight="1" thickBot="1" x14ac:dyDescent="0.35">
      <c r="A1" s="461" t="s">
        <v>353</v>
      </c>
      <c r="B1" s="461"/>
      <c r="C1" s="461"/>
      <c r="D1" s="461"/>
      <c r="E1" s="461"/>
      <c r="F1" s="461"/>
      <c r="G1" s="461"/>
      <c r="H1" s="321" t="s">
        <v>310</v>
      </c>
      <c r="I1" s="323">
        <v>21</v>
      </c>
      <c r="J1" s="321" t="s">
        <v>309</v>
      </c>
      <c r="K1" s="324">
        <v>19</v>
      </c>
      <c r="L1" s="321" t="s">
        <v>344</v>
      </c>
      <c r="M1" s="325">
        <f>I1-K1</f>
        <v>2</v>
      </c>
      <c r="N1" s="322" t="s">
        <v>313</v>
      </c>
      <c r="O1" s="326">
        <f>(M1/I1)</f>
        <v>9.5238095238095233E-2</v>
      </c>
      <c r="P1" s="2"/>
    </row>
    <row r="2" spans="1:17" ht="23.4" customHeight="1" thickBot="1" x14ac:dyDescent="0.35">
      <c r="A2" s="476" t="s">
        <v>1</v>
      </c>
      <c r="B2" s="490"/>
      <c r="C2" s="330"/>
      <c r="D2" s="389" t="s">
        <v>2</v>
      </c>
      <c r="E2" s="390" t="s">
        <v>262</v>
      </c>
      <c r="F2" s="390" t="s">
        <v>4</v>
      </c>
      <c r="G2" s="390" t="s">
        <v>5</v>
      </c>
      <c r="H2" s="390" t="s">
        <v>6</v>
      </c>
      <c r="I2" s="391" t="s">
        <v>339</v>
      </c>
      <c r="J2" s="390" t="s">
        <v>7</v>
      </c>
      <c r="K2" s="390" t="s">
        <v>8</v>
      </c>
      <c r="L2" s="390" t="s">
        <v>340</v>
      </c>
      <c r="M2" s="392" t="s">
        <v>341</v>
      </c>
      <c r="N2" s="393" t="s">
        <v>342</v>
      </c>
      <c r="O2" s="394" t="s">
        <v>343</v>
      </c>
      <c r="P2" s="443" t="s">
        <v>10</v>
      </c>
    </row>
    <row r="3" spans="1:17" ht="14.4" customHeight="1" thickBot="1" x14ac:dyDescent="0.35">
      <c r="A3" s="483" t="s">
        <v>242</v>
      </c>
      <c r="B3" s="526"/>
      <c r="C3" s="386" t="s">
        <v>259</v>
      </c>
      <c r="D3" s="439">
        <f t="shared" ref="D3:J3" si="0">ROUND(D41/$I$1,0)</f>
        <v>571</v>
      </c>
      <c r="E3" s="440">
        <f t="shared" si="0"/>
        <v>381</v>
      </c>
      <c r="F3" s="440">
        <f t="shared" si="0"/>
        <v>190</v>
      </c>
      <c r="G3" s="440">
        <f t="shared" si="0"/>
        <v>571</v>
      </c>
      <c r="H3" s="440">
        <f t="shared" si="0"/>
        <v>571</v>
      </c>
      <c r="I3" s="440">
        <f t="shared" si="0"/>
        <v>19</v>
      </c>
      <c r="J3" s="440">
        <f t="shared" si="0"/>
        <v>571</v>
      </c>
      <c r="K3" s="440">
        <v>0</v>
      </c>
      <c r="L3" s="441">
        <f>ROUND(L41/$I$1,0)</f>
        <v>571</v>
      </c>
      <c r="M3" s="441">
        <f>ROUND(M41/$I$1,0)</f>
        <v>11428571</v>
      </c>
      <c r="N3" s="7">
        <v>0</v>
      </c>
      <c r="O3" s="7">
        <v>0</v>
      </c>
      <c r="P3" s="469"/>
    </row>
    <row r="4" spans="1:17" ht="36" x14ac:dyDescent="0.3">
      <c r="A4" s="47">
        <v>1</v>
      </c>
      <c r="B4" s="48" t="s">
        <v>16</v>
      </c>
      <c r="C4" s="379" t="s">
        <v>260</v>
      </c>
      <c r="D4" s="437">
        <f>70+419</f>
        <v>489</v>
      </c>
      <c r="E4" s="181">
        <v>0</v>
      </c>
      <c r="F4" s="181"/>
      <c r="G4" s="181">
        <v>562</v>
      </c>
      <c r="H4" s="181">
        <v>132</v>
      </c>
      <c r="I4" s="181"/>
      <c r="J4" s="181">
        <v>171</v>
      </c>
      <c r="K4" s="181"/>
      <c r="L4" s="438">
        <v>789</v>
      </c>
      <c r="M4" s="413">
        <v>21448199</v>
      </c>
      <c r="N4" s="232">
        <v>50</v>
      </c>
      <c r="O4" s="442">
        <v>779700</v>
      </c>
      <c r="P4" s="172" t="s">
        <v>355</v>
      </c>
    </row>
    <row r="5" spans="1:17" x14ac:dyDescent="0.3">
      <c r="A5" s="20">
        <v>2</v>
      </c>
      <c r="B5" s="21" t="s">
        <v>17</v>
      </c>
      <c r="C5" s="380" t="s">
        <v>260</v>
      </c>
      <c r="D5" s="334">
        <v>428</v>
      </c>
      <c r="E5" s="174">
        <f>70+114</f>
        <v>184</v>
      </c>
      <c r="F5" s="174"/>
      <c r="G5" s="174">
        <v>470</v>
      </c>
      <c r="H5" s="174">
        <v>219</v>
      </c>
      <c r="I5" s="174"/>
      <c r="J5" s="174">
        <v>484</v>
      </c>
      <c r="K5" s="174"/>
      <c r="L5" s="399">
        <v>0</v>
      </c>
      <c r="M5" s="411">
        <v>449080</v>
      </c>
      <c r="N5" s="229">
        <v>1</v>
      </c>
      <c r="O5" s="301">
        <v>14495</v>
      </c>
      <c r="P5" s="128" t="s">
        <v>354</v>
      </c>
    </row>
    <row r="6" spans="1:17" ht="15.6" customHeight="1" x14ac:dyDescent="0.3">
      <c r="A6" s="20">
        <v>3</v>
      </c>
      <c r="B6" s="21" t="s">
        <v>17</v>
      </c>
      <c r="C6" s="380" t="s">
        <v>260</v>
      </c>
      <c r="D6" s="336">
        <v>460</v>
      </c>
      <c r="E6" s="174">
        <v>300</v>
      </c>
      <c r="F6" s="174"/>
      <c r="G6" s="174">
        <v>0</v>
      </c>
      <c r="H6" s="174">
        <v>188</v>
      </c>
      <c r="I6" s="174"/>
      <c r="J6" s="174">
        <v>212</v>
      </c>
      <c r="K6" s="174"/>
      <c r="L6" s="399">
        <v>362</v>
      </c>
      <c r="M6" s="411">
        <v>9116220</v>
      </c>
      <c r="N6" s="229">
        <v>52</v>
      </c>
      <c r="O6" s="301">
        <v>1989013</v>
      </c>
      <c r="P6" s="128" t="s">
        <v>356</v>
      </c>
    </row>
    <row r="7" spans="1:17" x14ac:dyDescent="0.3">
      <c r="A7" s="20">
        <v>4</v>
      </c>
      <c r="B7" s="21" t="s">
        <v>18</v>
      </c>
      <c r="C7" s="380" t="s">
        <v>260</v>
      </c>
      <c r="D7" s="336"/>
      <c r="E7" s="174"/>
      <c r="F7" s="174"/>
      <c r="G7" s="174"/>
      <c r="H7" s="174"/>
      <c r="I7" s="174"/>
      <c r="J7" s="174"/>
      <c r="K7" s="174"/>
      <c r="L7" s="399"/>
      <c r="M7" s="411"/>
      <c r="N7" s="229"/>
      <c r="O7" s="301"/>
      <c r="P7" s="128"/>
      <c r="Q7" s="55"/>
    </row>
    <row r="8" spans="1:17" x14ac:dyDescent="0.3">
      <c r="A8" s="20">
        <v>5</v>
      </c>
      <c r="B8" s="21" t="s">
        <v>19</v>
      </c>
      <c r="C8" s="380" t="s">
        <v>260</v>
      </c>
      <c r="D8" s="336"/>
      <c r="E8" s="174"/>
      <c r="F8" s="174"/>
      <c r="G8" s="174"/>
      <c r="H8" s="174"/>
      <c r="I8" s="174"/>
      <c r="J8" s="174"/>
      <c r="K8" s="174"/>
      <c r="L8" s="399"/>
      <c r="M8" s="411"/>
      <c r="N8" s="229"/>
      <c r="O8" s="27"/>
      <c r="P8" s="126"/>
    </row>
    <row r="9" spans="1:17" x14ac:dyDescent="0.3">
      <c r="A9" s="29">
        <v>6</v>
      </c>
      <c r="B9" s="21" t="s">
        <v>20</v>
      </c>
      <c r="C9" s="376" t="s">
        <v>261</v>
      </c>
      <c r="D9" s="334"/>
      <c r="E9" s="35"/>
      <c r="F9" s="35"/>
      <c r="G9" s="35"/>
      <c r="H9" s="35"/>
      <c r="I9" s="35"/>
      <c r="J9" s="35"/>
      <c r="K9" s="35"/>
      <c r="L9" s="398"/>
      <c r="M9" s="407"/>
      <c r="N9" s="59"/>
      <c r="O9" s="151"/>
      <c r="P9" s="126"/>
    </row>
    <row r="10" spans="1:17" x14ac:dyDescent="0.3">
      <c r="A10" s="29">
        <v>7</v>
      </c>
      <c r="B10" s="21" t="s">
        <v>21</v>
      </c>
      <c r="C10" s="377" t="s">
        <v>261</v>
      </c>
      <c r="D10" s="334"/>
      <c r="E10" s="174"/>
      <c r="F10" s="174"/>
      <c r="G10" s="174"/>
      <c r="H10" s="174"/>
      <c r="I10" s="174"/>
      <c r="J10" s="174"/>
      <c r="K10" s="25"/>
      <c r="L10" s="399"/>
      <c r="M10" s="408"/>
      <c r="N10" s="229"/>
      <c r="O10" s="27"/>
      <c r="P10" s="126"/>
    </row>
    <row r="11" spans="1:17" ht="15.6" customHeight="1" thickBot="1" x14ac:dyDescent="0.35">
      <c r="A11" s="485" t="s">
        <v>233</v>
      </c>
      <c r="B11" s="503"/>
      <c r="C11" s="378"/>
      <c r="D11" s="335">
        <f t="shared" ref="D11:O11" si="1">SUM(D4:D10)</f>
        <v>1377</v>
      </c>
      <c r="E11" s="38">
        <f t="shared" si="1"/>
        <v>484</v>
      </c>
      <c r="F11" s="38">
        <f t="shared" si="1"/>
        <v>0</v>
      </c>
      <c r="G11" s="38">
        <f t="shared" si="1"/>
        <v>1032</v>
      </c>
      <c r="H11" s="38">
        <f t="shared" si="1"/>
        <v>539</v>
      </c>
      <c r="I11" s="38">
        <f t="shared" si="1"/>
        <v>0</v>
      </c>
      <c r="J11" s="38">
        <f t="shared" si="1"/>
        <v>867</v>
      </c>
      <c r="K11" s="38">
        <f t="shared" si="1"/>
        <v>0</v>
      </c>
      <c r="L11" s="400">
        <f t="shared" si="1"/>
        <v>1151</v>
      </c>
      <c r="M11" s="409">
        <f t="shared" si="1"/>
        <v>31013499</v>
      </c>
      <c r="N11" s="162">
        <f t="shared" si="1"/>
        <v>103</v>
      </c>
      <c r="O11" s="41">
        <f t="shared" si="1"/>
        <v>2783208</v>
      </c>
      <c r="P11" s="46"/>
    </row>
    <row r="12" spans="1:17" hidden="1" x14ac:dyDescent="0.3">
      <c r="A12" s="47">
        <v>8</v>
      </c>
      <c r="B12" s="48" t="s">
        <v>16</v>
      </c>
      <c r="C12" s="377" t="s">
        <v>261</v>
      </c>
      <c r="D12" s="35" t="s">
        <v>36</v>
      </c>
      <c r="E12" s="35" t="s">
        <v>36</v>
      </c>
      <c r="F12" s="35" t="s">
        <v>36</v>
      </c>
      <c r="G12" s="35" t="s">
        <v>36</v>
      </c>
      <c r="H12" s="35" t="s">
        <v>36</v>
      </c>
      <c r="I12" s="35" t="s">
        <v>36</v>
      </c>
      <c r="J12" s="35" t="s">
        <v>36</v>
      </c>
      <c r="K12" s="35" t="s">
        <v>36</v>
      </c>
      <c r="L12" s="398" t="s">
        <v>36</v>
      </c>
      <c r="M12" s="407" t="s">
        <v>36</v>
      </c>
      <c r="N12" s="59" t="s">
        <v>36</v>
      </c>
      <c r="O12" s="151" t="s">
        <v>36</v>
      </c>
      <c r="P12" s="172"/>
    </row>
    <row r="13" spans="1:17" hidden="1" x14ac:dyDescent="0.3">
      <c r="A13" s="20">
        <v>9</v>
      </c>
      <c r="B13" s="21" t="s">
        <v>17</v>
      </c>
      <c r="C13" s="380" t="s">
        <v>260</v>
      </c>
      <c r="D13" s="334"/>
      <c r="E13" s="174"/>
      <c r="F13" s="174"/>
      <c r="G13" s="174"/>
      <c r="H13" s="174"/>
      <c r="I13" s="174"/>
      <c r="J13" s="174"/>
      <c r="K13" s="174"/>
      <c r="L13" s="399"/>
      <c r="M13" s="411"/>
      <c r="N13" s="229"/>
      <c r="O13" s="301"/>
      <c r="P13" s="128"/>
    </row>
    <row r="14" spans="1:17" ht="15.6" hidden="1" customHeight="1" x14ac:dyDescent="0.3">
      <c r="A14" s="20">
        <v>10</v>
      </c>
      <c r="B14" s="21" t="s">
        <v>17</v>
      </c>
      <c r="C14" s="380" t="s">
        <v>260</v>
      </c>
      <c r="D14" s="336"/>
      <c r="E14" s="174"/>
      <c r="F14" s="174"/>
      <c r="G14" s="174"/>
      <c r="H14" s="174"/>
      <c r="I14" s="174"/>
      <c r="J14" s="174"/>
      <c r="K14" s="174"/>
      <c r="L14" s="399"/>
      <c r="M14" s="411"/>
      <c r="N14" s="229"/>
      <c r="O14" s="301"/>
      <c r="P14" s="128"/>
    </row>
    <row r="15" spans="1:17" hidden="1" x14ac:dyDescent="0.3">
      <c r="A15" s="20">
        <v>11</v>
      </c>
      <c r="B15" s="21" t="s">
        <v>18</v>
      </c>
      <c r="C15" s="380" t="s">
        <v>260</v>
      </c>
      <c r="D15" s="336"/>
      <c r="E15" s="174"/>
      <c r="F15" s="174"/>
      <c r="G15" s="174"/>
      <c r="H15" s="174"/>
      <c r="I15" s="174"/>
      <c r="J15" s="174"/>
      <c r="K15" s="174"/>
      <c r="L15" s="399"/>
      <c r="M15" s="411"/>
      <c r="N15" s="229"/>
      <c r="O15" s="301"/>
      <c r="P15" s="128"/>
      <c r="Q15" s="55"/>
    </row>
    <row r="16" spans="1:17" hidden="1" x14ac:dyDescent="0.3">
      <c r="A16" s="20">
        <v>12</v>
      </c>
      <c r="B16" s="21" t="s">
        <v>19</v>
      </c>
      <c r="C16" s="380" t="s">
        <v>260</v>
      </c>
      <c r="D16" s="336"/>
      <c r="E16" s="174"/>
      <c r="F16" s="174"/>
      <c r="G16" s="174"/>
      <c r="H16" s="174"/>
      <c r="I16" s="174"/>
      <c r="J16" s="174"/>
      <c r="K16" s="174"/>
      <c r="L16" s="399"/>
      <c r="M16" s="411"/>
      <c r="N16" s="229"/>
      <c r="O16" s="27"/>
      <c r="P16" s="126"/>
    </row>
    <row r="17" spans="1:20" hidden="1" x14ac:dyDescent="0.3">
      <c r="A17" s="33">
        <v>13</v>
      </c>
      <c r="B17" s="34" t="s">
        <v>20</v>
      </c>
      <c r="C17" s="377" t="s">
        <v>261</v>
      </c>
      <c r="D17" s="334"/>
      <c r="E17" s="174"/>
      <c r="F17" s="174"/>
      <c r="G17" s="174"/>
      <c r="H17" s="174"/>
      <c r="I17" s="174"/>
      <c r="J17" s="174"/>
      <c r="K17" s="174"/>
      <c r="L17" s="399"/>
      <c r="M17" s="412"/>
      <c r="N17" s="36"/>
      <c r="O17" s="37"/>
      <c r="P17" s="54"/>
    </row>
    <row r="18" spans="1:20" hidden="1" x14ac:dyDescent="0.3">
      <c r="A18" s="44">
        <v>14</v>
      </c>
      <c r="B18" s="45" t="s">
        <v>21</v>
      </c>
      <c r="C18" s="381" t="s">
        <v>261</v>
      </c>
      <c r="D18" s="337"/>
      <c r="E18" s="174"/>
      <c r="F18" s="174"/>
      <c r="G18" s="174"/>
      <c r="H18" s="174"/>
      <c r="I18" s="174"/>
      <c r="J18" s="174"/>
      <c r="K18" s="174"/>
      <c r="L18" s="399"/>
      <c r="M18" s="412"/>
      <c r="N18" s="36"/>
      <c r="O18" s="37"/>
      <c r="P18" s="32"/>
    </row>
    <row r="19" spans="1:20" ht="21" hidden="1" customHeight="1" thickBot="1" x14ac:dyDescent="0.35">
      <c r="A19" s="485" t="s">
        <v>236</v>
      </c>
      <c r="B19" s="503"/>
      <c r="C19" s="378"/>
      <c r="D19" s="335">
        <f>SUM(D12:D18)</f>
        <v>0</v>
      </c>
      <c r="E19" s="38">
        <f t="shared" ref="E19:L19" si="2">SUM(E12:E18)</f>
        <v>0</v>
      </c>
      <c r="F19" s="38">
        <f t="shared" si="2"/>
        <v>0</v>
      </c>
      <c r="G19" s="38">
        <f t="shared" si="2"/>
        <v>0</v>
      </c>
      <c r="H19" s="38">
        <f t="shared" si="2"/>
        <v>0</v>
      </c>
      <c r="I19" s="38">
        <f>SUM(I12:I16)</f>
        <v>0</v>
      </c>
      <c r="J19" s="38">
        <f t="shared" si="2"/>
        <v>0</v>
      </c>
      <c r="K19" s="38">
        <f t="shared" si="2"/>
        <v>0</v>
      </c>
      <c r="L19" s="400">
        <f t="shared" si="2"/>
        <v>0</v>
      </c>
      <c r="M19" s="409">
        <f>SUM(M12:M18)</f>
        <v>0</v>
      </c>
      <c r="N19" s="162">
        <f>SUM(N12:N18)</f>
        <v>0</v>
      </c>
      <c r="O19" s="41">
        <f>SUM(O12:O18)</f>
        <v>0</v>
      </c>
      <c r="P19" s="56"/>
    </row>
    <row r="20" spans="1:20" hidden="1" x14ac:dyDescent="0.3">
      <c r="A20" s="11">
        <v>15</v>
      </c>
      <c r="B20" s="12" t="s">
        <v>16</v>
      </c>
      <c r="C20" s="382" t="s">
        <v>260</v>
      </c>
      <c r="D20" s="334"/>
      <c r="E20" s="174"/>
      <c r="F20" s="174"/>
      <c r="G20" s="174"/>
      <c r="H20" s="174"/>
      <c r="I20" s="174"/>
      <c r="J20" s="174"/>
      <c r="K20" s="174"/>
      <c r="L20" s="399"/>
      <c r="M20" s="413"/>
      <c r="N20" s="226"/>
      <c r="O20" s="302"/>
      <c r="P20" s="131"/>
    </row>
    <row r="21" spans="1:20" hidden="1" x14ac:dyDescent="0.3">
      <c r="A21" s="20">
        <v>16</v>
      </c>
      <c r="B21" s="21" t="s">
        <v>17</v>
      </c>
      <c r="C21" s="383" t="s">
        <v>260</v>
      </c>
      <c r="D21" s="334"/>
      <c r="E21" s="174"/>
      <c r="F21" s="174"/>
      <c r="G21" s="174"/>
      <c r="H21" s="174"/>
      <c r="I21" s="174"/>
      <c r="J21" s="174"/>
      <c r="K21" s="174"/>
      <c r="L21" s="399"/>
      <c r="M21" s="413"/>
      <c r="N21" s="216"/>
      <c r="O21" s="301"/>
      <c r="P21" s="128"/>
    </row>
    <row r="22" spans="1:20" s="137" customFormat="1" hidden="1" x14ac:dyDescent="0.3">
      <c r="A22" s="20">
        <v>17</v>
      </c>
      <c r="B22" s="21" t="s">
        <v>17</v>
      </c>
      <c r="C22" s="383" t="s">
        <v>260</v>
      </c>
      <c r="D22" s="334"/>
      <c r="E22" s="174"/>
      <c r="F22" s="174"/>
      <c r="G22" s="174"/>
      <c r="H22" s="174"/>
      <c r="I22" s="174"/>
      <c r="J22" s="174"/>
      <c r="K22" s="174"/>
      <c r="L22" s="399"/>
      <c r="M22" s="413"/>
      <c r="N22" s="216"/>
      <c r="O22" s="301"/>
      <c r="P22" s="128"/>
      <c r="S22" s="184"/>
      <c r="T22" s="184"/>
    </row>
    <row r="23" spans="1:20" s="137" customFormat="1" hidden="1" x14ac:dyDescent="0.3">
      <c r="A23" s="29">
        <v>18</v>
      </c>
      <c r="B23" s="30" t="s">
        <v>18</v>
      </c>
      <c r="C23" s="383" t="s">
        <v>260</v>
      </c>
      <c r="D23" s="334"/>
      <c r="E23" s="174"/>
      <c r="F23" s="174"/>
      <c r="G23" s="174"/>
      <c r="H23" s="174"/>
      <c r="I23" s="174"/>
      <c r="J23" s="174"/>
      <c r="K23" s="174"/>
      <c r="L23" s="399"/>
      <c r="M23" s="414"/>
      <c r="N23" s="216"/>
      <c r="O23" s="287"/>
      <c r="P23" s="126"/>
      <c r="S23" s="184"/>
      <c r="T23" s="184"/>
    </row>
    <row r="24" spans="1:20" s="137" customFormat="1" hidden="1" x14ac:dyDescent="0.3">
      <c r="A24" s="29">
        <v>19</v>
      </c>
      <c r="B24" s="30" t="s">
        <v>19</v>
      </c>
      <c r="C24" s="383" t="s">
        <v>260</v>
      </c>
      <c r="D24" s="334"/>
      <c r="E24" s="174"/>
      <c r="F24" s="174"/>
      <c r="G24" s="174"/>
      <c r="H24" s="174"/>
      <c r="I24" s="174"/>
      <c r="J24" s="174"/>
      <c r="K24" s="174"/>
      <c r="L24" s="399"/>
      <c r="M24" s="414"/>
      <c r="N24" s="216"/>
      <c r="O24" s="278"/>
      <c r="P24" s="126"/>
      <c r="S24" s="184"/>
      <c r="T24" s="184"/>
    </row>
    <row r="25" spans="1:20" hidden="1" x14ac:dyDescent="0.3">
      <c r="A25" s="33">
        <v>20</v>
      </c>
      <c r="B25" s="34" t="s">
        <v>20</v>
      </c>
      <c r="C25" s="377" t="s">
        <v>261</v>
      </c>
      <c r="D25" s="334"/>
      <c r="E25" s="174"/>
      <c r="F25" s="174"/>
      <c r="G25" s="174"/>
      <c r="H25" s="174"/>
      <c r="I25" s="174"/>
      <c r="J25" s="174"/>
      <c r="K25" s="174"/>
      <c r="L25" s="399"/>
      <c r="M25" s="415">
        <v>0</v>
      </c>
      <c r="N25" s="59">
        <v>0</v>
      </c>
      <c r="O25" s="37">
        <v>0</v>
      </c>
      <c r="P25" s="128"/>
    </row>
    <row r="26" spans="1:20" ht="15.6" hidden="1" customHeight="1" x14ac:dyDescent="0.3">
      <c r="A26" s="44">
        <v>21</v>
      </c>
      <c r="B26" s="45" t="s">
        <v>21</v>
      </c>
      <c r="C26" s="381" t="s">
        <v>261</v>
      </c>
      <c r="D26" s="334"/>
      <c r="E26" s="174"/>
      <c r="F26" s="174"/>
      <c r="G26" s="174"/>
      <c r="H26" s="174"/>
      <c r="I26" s="174"/>
      <c r="J26" s="174"/>
      <c r="K26" s="174"/>
      <c r="L26" s="399"/>
      <c r="M26" s="412">
        <v>0</v>
      </c>
      <c r="N26" s="216">
        <v>0</v>
      </c>
      <c r="O26" s="27">
        <v>0</v>
      </c>
      <c r="P26" s="32"/>
    </row>
    <row r="27" spans="1:20" ht="20.399999999999999" hidden="1" customHeight="1" thickBot="1" x14ac:dyDescent="0.35">
      <c r="A27" s="485" t="s">
        <v>235</v>
      </c>
      <c r="B27" s="503"/>
      <c r="C27" s="378"/>
      <c r="D27" s="335">
        <f t="shared" ref="D27:H27" si="3">SUM(D20:D26)</f>
        <v>0</v>
      </c>
      <c r="E27" s="38">
        <f t="shared" si="3"/>
        <v>0</v>
      </c>
      <c r="F27" s="38">
        <f t="shared" si="3"/>
        <v>0</v>
      </c>
      <c r="G27" s="38">
        <f t="shared" si="3"/>
        <v>0</v>
      </c>
      <c r="H27" s="38">
        <f t="shared" si="3"/>
        <v>0</v>
      </c>
      <c r="I27" s="38">
        <f>SUM(I20:I21,I23:I24)</f>
        <v>0</v>
      </c>
      <c r="J27" s="38">
        <f t="shared" ref="J27:N27" si="4">SUM(J20:J26)</f>
        <v>0</v>
      </c>
      <c r="K27" s="38">
        <f t="shared" si="4"/>
        <v>0</v>
      </c>
      <c r="L27" s="400">
        <f t="shared" si="4"/>
        <v>0</v>
      </c>
      <c r="M27" s="409">
        <f t="shared" si="4"/>
        <v>0</v>
      </c>
      <c r="N27" s="162">
        <f t="shared" si="4"/>
        <v>0</v>
      </c>
      <c r="O27" s="41">
        <f>SUM(O20:O23)</f>
        <v>0</v>
      </c>
      <c r="P27" s="56"/>
    </row>
    <row r="28" spans="1:20" hidden="1" x14ac:dyDescent="0.3">
      <c r="A28" s="11">
        <v>22</v>
      </c>
      <c r="B28" s="12" t="s">
        <v>16</v>
      </c>
      <c r="C28" s="384" t="s">
        <v>260</v>
      </c>
      <c r="D28" s="334"/>
      <c r="E28" s="174"/>
      <c r="F28" s="174"/>
      <c r="G28" s="174"/>
      <c r="H28" s="174"/>
      <c r="I28" s="174"/>
      <c r="J28" s="174"/>
      <c r="K28" s="174"/>
      <c r="L28" s="399"/>
      <c r="M28" s="413"/>
      <c r="N28" s="233"/>
      <c r="O28" s="302"/>
      <c r="P28" s="260"/>
    </row>
    <row r="29" spans="1:20" hidden="1" x14ac:dyDescent="0.3">
      <c r="A29" s="20">
        <v>23</v>
      </c>
      <c r="B29" s="21" t="s">
        <v>17</v>
      </c>
      <c r="C29" s="380" t="s">
        <v>260</v>
      </c>
      <c r="D29" s="334"/>
      <c r="E29" s="174"/>
      <c r="F29" s="174"/>
      <c r="G29" s="174"/>
      <c r="H29" s="174"/>
      <c r="I29" s="174"/>
      <c r="J29" s="174"/>
      <c r="K29" s="174"/>
      <c r="L29" s="399"/>
      <c r="M29" s="411"/>
      <c r="N29" s="174"/>
      <c r="O29" s="301"/>
      <c r="P29" s="132"/>
    </row>
    <row r="30" spans="1:20" s="177" customFormat="1" hidden="1" x14ac:dyDescent="0.3">
      <c r="A30" s="29">
        <v>24</v>
      </c>
      <c r="B30" s="30" t="s">
        <v>17</v>
      </c>
      <c r="C30" s="383" t="s">
        <v>260</v>
      </c>
      <c r="D30" s="334"/>
      <c r="E30" s="174"/>
      <c r="F30" s="174"/>
      <c r="G30" s="174"/>
      <c r="H30" s="174"/>
      <c r="I30" s="174"/>
      <c r="J30" s="174"/>
      <c r="K30" s="174"/>
      <c r="L30" s="399"/>
      <c r="M30" s="411"/>
      <c r="N30" s="174"/>
      <c r="O30" s="301"/>
      <c r="P30" s="288"/>
      <c r="S30" s="198"/>
      <c r="T30" s="198"/>
    </row>
    <row r="31" spans="1:20" hidden="1" x14ac:dyDescent="0.3">
      <c r="A31" s="20">
        <v>25</v>
      </c>
      <c r="B31" s="21" t="s">
        <v>18</v>
      </c>
      <c r="C31" s="377" t="s">
        <v>261</v>
      </c>
      <c r="D31" s="35" t="s">
        <v>36</v>
      </c>
      <c r="E31" s="35" t="s">
        <v>36</v>
      </c>
      <c r="F31" s="35" t="s">
        <v>36</v>
      </c>
      <c r="G31" s="35" t="s">
        <v>36</v>
      </c>
      <c r="H31" s="35" t="s">
        <v>36</v>
      </c>
      <c r="I31" s="35" t="s">
        <v>36</v>
      </c>
      <c r="J31" s="35" t="s">
        <v>36</v>
      </c>
      <c r="K31" s="35" t="s">
        <v>36</v>
      </c>
      <c r="L31" s="398" t="s">
        <v>36</v>
      </c>
      <c r="M31" s="407" t="s">
        <v>36</v>
      </c>
      <c r="N31" s="59" t="s">
        <v>36</v>
      </c>
      <c r="O31" s="151" t="s">
        <v>36</v>
      </c>
      <c r="P31" s="132"/>
    </row>
    <row r="32" spans="1:20" hidden="1" x14ac:dyDescent="0.3">
      <c r="A32" s="20">
        <v>26</v>
      </c>
      <c r="B32" s="21" t="s">
        <v>19</v>
      </c>
      <c r="C32" s="380" t="s">
        <v>260</v>
      </c>
      <c r="D32" s="334"/>
      <c r="E32" s="174"/>
      <c r="F32" s="174"/>
      <c r="G32" s="174"/>
      <c r="H32" s="174"/>
      <c r="I32" s="174"/>
      <c r="J32" s="174"/>
      <c r="K32" s="174"/>
      <c r="L32" s="399"/>
      <c r="M32" s="411"/>
      <c r="N32" s="216"/>
      <c r="O32" s="301"/>
      <c r="P32" s="134"/>
    </row>
    <row r="33" spans="1:20" hidden="1" x14ac:dyDescent="0.3">
      <c r="A33" s="33">
        <v>27</v>
      </c>
      <c r="B33" s="34" t="s">
        <v>20</v>
      </c>
      <c r="C33" s="377" t="s">
        <v>261</v>
      </c>
      <c r="D33" s="334"/>
      <c r="E33" s="174"/>
      <c r="F33" s="174"/>
      <c r="G33" s="174"/>
      <c r="H33" s="174"/>
      <c r="I33" s="174"/>
      <c r="J33" s="174"/>
      <c r="K33" s="174"/>
      <c r="L33" s="399"/>
      <c r="M33" s="416"/>
      <c r="N33" s="59"/>
      <c r="O33" s="166"/>
      <c r="P33" s="134"/>
    </row>
    <row r="34" spans="1:20" hidden="1" x14ac:dyDescent="0.3">
      <c r="A34" s="44">
        <v>28</v>
      </c>
      <c r="B34" s="45" t="s">
        <v>21</v>
      </c>
      <c r="C34" s="381" t="s">
        <v>261</v>
      </c>
      <c r="D34" s="334"/>
      <c r="E34" s="174"/>
      <c r="F34" s="174"/>
      <c r="G34" s="174"/>
      <c r="H34" s="174"/>
      <c r="I34" s="174"/>
      <c r="J34" s="174"/>
      <c r="K34" s="174"/>
      <c r="L34" s="399"/>
      <c r="M34" s="412"/>
      <c r="N34" s="216"/>
      <c r="O34" s="27"/>
      <c r="P34" s="32"/>
    </row>
    <row r="35" spans="1:20" ht="19.2" hidden="1" customHeight="1" thickBot="1" x14ac:dyDescent="0.35">
      <c r="A35" s="485" t="s">
        <v>234</v>
      </c>
      <c r="B35" s="503"/>
      <c r="C35" s="378"/>
      <c r="D35" s="335">
        <f t="shared" ref="D35:M35" si="5">SUM(D28:D34)</f>
        <v>0</v>
      </c>
      <c r="E35" s="38">
        <f t="shared" si="5"/>
        <v>0</v>
      </c>
      <c r="F35" s="38">
        <f t="shared" si="5"/>
        <v>0</v>
      </c>
      <c r="G35" s="38">
        <f t="shared" si="5"/>
        <v>0</v>
      </c>
      <c r="H35" s="38">
        <f t="shared" si="5"/>
        <v>0</v>
      </c>
      <c r="I35" s="38">
        <f>SUM(I28:I32)</f>
        <v>0</v>
      </c>
      <c r="J35" s="38">
        <f t="shared" si="5"/>
        <v>0</v>
      </c>
      <c r="K35" s="38">
        <f t="shared" si="5"/>
        <v>0</v>
      </c>
      <c r="L35" s="400">
        <f t="shared" si="5"/>
        <v>0</v>
      </c>
      <c r="M35" s="409">
        <f t="shared" si="5"/>
        <v>0</v>
      </c>
      <c r="N35" s="162">
        <f>SUM(N28:N34)</f>
        <v>0</v>
      </c>
      <c r="O35" s="41">
        <f>SUM(O28:O34)</f>
        <v>0</v>
      </c>
      <c r="P35" s="64"/>
    </row>
    <row r="36" spans="1:20" hidden="1" x14ac:dyDescent="0.3">
      <c r="A36" s="47">
        <v>29</v>
      </c>
      <c r="B36" s="431" t="s">
        <v>16</v>
      </c>
      <c r="C36" s="342" t="s">
        <v>260</v>
      </c>
      <c r="D36" s="334"/>
      <c r="E36" s="174"/>
      <c r="F36" s="174"/>
      <c r="G36" s="174"/>
      <c r="H36" s="174"/>
      <c r="I36" s="174"/>
      <c r="J36" s="174"/>
      <c r="K36" s="174"/>
      <c r="L36" s="399"/>
      <c r="M36" s="413"/>
      <c r="N36" s="262"/>
      <c r="O36" s="302"/>
      <c r="P36" s="260"/>
    </row>
    <row r="37" spans="1:20" hidden="1" x14ac:dyDescent="0.3">
      <c r="A37" s="20">
        <v>30</v>
      </c>
      <c r="B37" s="432" t="s">
        <v>17</v>
      </c>
      <c r="C37" s="340" t="s">
        <v>260</v>
      </c>
      <c r="D37" s="334"/>
      <c r="E37" s="334"/>
      <c r="F37" s="174"/>
      <c r="G37" s="174"/>
      <c r="H37" s="174"/>
      <c r="I37" s="174"/>
      <c r="J37" s="174"/>
      <c r="K37" s="174"/>
      <c r="L37" s="399"/>
      <c r="M37" s="411"/>
      <c r="N37" s="174"/>
      <c r="O37" s="27"/>
      <c r="P37" s="436"/>
    </row>
    <row r="38" spans="1:20" hidden="1" x14ac:dyDescent="0.3">
      <c r="A38" s="434">
        <v>31</v>
      </c>
      <c r="B38" s="271" t="s">
        <v>17</v>
      </c>
      <c r="C38" s="343" t="s">
        <v>260</v>
      </c>
      <c r="D38" s="334"/>
      <c r="E38" s="174"/>
      <c r="F38" s="174"/>
      <c r="G38" s="174"/>
      <c r="H38" s="174"/>
      <c r="I38" s="174"/>
      <c r="J38" s="174"/>
      <c r="K38" s="174"/>
      <c r="L38" s="399"/>
      <c r="M38" s="411"/>
      <c r="N38" s="274"/>
      <c r="O38" s="285"/>
      <c r="P38" s="435"/>
    </row>
    <row r="39" spans="1:20" ht="15.6" hidden="1" customHeight="1" thickBot="1" x14ac:dyDescent="0.35">
      <c r="A39" s="485" t="s">
        <v>237</v>
      </c>
      <c r="B39" s="503"/>
      <c r="C39" s="339"/>
      <c r="D39" s="335">
        <f t="shared" ref="D39:O39" si="6">SUM(D36:D38)</f>
        <v>0</v>
      </c>
      <c r="E39" s="38">
        <f t="shared" si="6"/>
        <v>0</v>
      </c>
      <c r="F39" s="38">
        <f t="shared" si="6"/>
        <v>0</v>
      </c>
      <c r="G39" s="38">
        <f t="shared" si="6"/>
        <v>0</v>
      </c>
      <c r="H39" s="38">
        <f t="shared" si="6"/>
        <v>0</v>
      </c>
      <c r="I39" s="38">
        <f t="shared" si="6"/>
        <v>0</v>
      </c>
      <c r="J39" s="38">
        <f t="shared" si="6"/>
        <v>0</v>
      </c>
      <c r="K39" s="38">
        <f t="shared" si="6"/>
        <v>0</v>
      </c>
      <c r="L39" s="400">
        <f t="shared" si="6"/>
        <v>0</v>
      </c>
      <c r="M39" s="409">
        <f t="shared" si="6"/>
        <v>0</v>
      </c>
      <c r="N39" s="162">
        <f t="shared" si="6"/>
        <v>0</v>
      </c>
      <c r="O39" s="41">
        <f t="shared" si="6"/>
        <v>0</v>
      </c>
      <c r="P39" s="64"/>
    </row>
    <row r="40" spans="1:20" s="141" customFormat="1" ht="23.4" customHeight="1" x14ac:dyDescent="0.3">
      <c r="A40" s="513" t="s">
        <v>243</v>
      </c>
      <c r="B40" s="514"/>
      <c r="C40" s="515"/>
      <c r="D40" s="317">
        <f>D11+D19+D27+D35+D39</f>
        <v>1377</v>
      </c>
      <c r="E40" s="311">
        <f>E11+E19+E27+E35+E39</f>
        <v>484</v>
      </c>
      <c r="F40" s="311">
        <f>F11+F19+F27+F35+F39</f>
        <v>0</v>
      </c>
      <c r="G40" s="311">
        <f>G11+G19+G27+G35+G39</f>
        <v>1032</v>
      </c>
      <c r="H40" s="311">
        <f>H11+H19+H27+H35+H39</f>
        <v>539</v>
      </c>
      <c r="I40" s="314">
        <f>SUM(,I11,I19,I27,I35,I39)</f>
        <v>0</v>
      </c>
      <c r="J40" s="311">
        <f>+J11+J19+J27+J35+J39</f>
        <v>867</v>
      </c>
      <c r="K40" s="311">
        <f>K11+K19+K27+K35+K39</f>
        <v>0</v>
      </c>
      <c r="L40" s="401">
        <f>L11+L19+L27+L35+L39</f>
        <v>1151</v>
      </c>
      <c r="M40" s="417">
        <f>M11+M19+M27+M35+M39</f>
        <v>31013499</v>
      </c>
      <c r="N40" s="311">
        <f>SUM(N11,N19,N27,N35,N39)</f>
        <v>103</v>
      </c>
      <c r="O40" s="316">
        <f>SUM(O11+O19+O27)</f>
        <v>2783208</v>
      </c>
      <c r="P40" s="429" t="s">
        <v>29</v>
      </c>
      <c r="S40" s="308"/>
      <c r="T40" s="308"/>
    </row>
    <row r="41" spans="1:20" s="306" customFormat="1" ht="22.8" customHeight="1" thickBot="1" x14ac:dyDescent="0.35">
      <c r="A41" s="516" t="s">
        <v>30</v>
      </c>
      <c r="B41" s="517"/>
      <c r="C41" s="518"/>
      <c r="D41" s="356">
        <v>12000</v>
      </c>
      <c r="E41" s="356">
        <v>8000</v>
      </c>
      <c r="F41" s="356">
        <v>4000</v>
      </c>
      <c r="G41" s="356">
        <v>12000</v>
      </c>
      <c r="H41" s="356">
        <v>12000</v>
      </c>
      <c r="I41" s="359">
        <v>400</v>
      </c>
      <c r="J41" s="356">
        <v>12000</v>
      </c>
      <c r="K41" s="356">
        <v>0</v>
      </c>
      <c r="L41" s="402">
        <v>12000</v>
      </c>
      <c r="M41" s="418">
        <v>240000000</v>
      </c>
      <c r="N41" s="356"/>
      <c r="O41" s="361"/>
      <c r="P41" s="305">
        <v>1</v>
      </c>
      <c r="S41" s="307"/>
      <c r="T41" s="307"/>
    </row>
    <row r="42" spans="1:20" ht="30" customHeight="1" thickTop="1" thickBot="1" x14ac:dyDescent="0.35">
      <c r="A42" s="519" t="s">
        <v>337</v>
      </c>
      <c r="B42" s="520"/>
      <c r="C42" s="521"/>
      <c r="D42" s="395">
        <f t="shared" ref="D42:J42" si="7">D40/(D41*$O$1)</f>
        <v>1.2048749999999999</v>
      </c>
      <c r="E42" s="395">
        <f t="shared" si="7"/>
        <v>0.63525000000000009</v>
      </c>
      <c r="F42" s="395">
        <f t="shared" si="7"/>
        <v>0</v>
      </c>
      <c r="G42" s="395">
        <f t="shared" si="7"/>
        <v>0.90300000000000002</v>
      </c>
      <c r="H42" s="395">
        <f t="shared" si="7"/>
        <v>0.47162499999999996</v>
      </c>
      <c r="I42" s="395">
        <f t="shared" si="7"/>
        <v>0</v>
      </c>
      <c r="J42" s="395">
        <f t="shared" si="7"/>
        <v>0.75862499999999999</v>
      </c>
      <c r="K42" s="395"/>
      <c r="L42" s="403">
        <f>L40/(L41*$O$1)</f>
        <v>1.007125</v>
      </c>
      <c r="M42" s="419">
        <v>0.48270833333333335</v>
      </c>
      <c r="N42" s="354"/>
      <c r="O42" s="355"/>
      <c r="P42" s="130"/>
    </row>
    <row r="43" spans="1:20" ht="28.8" customHeight="1" thickTop="1" thickBot="1" x14ac:dyDescent="0.35">
      <c r="A43" s="522" t="s">
        <v>338</v>
      </c>
      <c r="B43" s="523"/>
      <c r="C43" s="524"/>
      <c r="D43" s="396">
        <f t="shared" ref="D43:J43" si="8">D40/D41</f>
        <v>0.11475</v>
      </c>
      <c r="E43" s="396">
        <f t="shared" si="8"/>
        <v>6.0499999999999998E-2</v>
      </c>
      <c r="F43" s="396">
        <f t="shared" si="8"/>
        <v>0</v>
      </c>
      <c r="G43" s="396">
        <f t="shared" si="8"/>
        <v>8.5999999999999993E-2</v>
      </c>
      <c r="H43" s="396">
        <f t="shared" si="8"/>
        <v>4.4916666666666667E-2</v>
      </c>
      <c r="I43" s="396">
        <f t="shared" si="8"/>
        <v>0</v>
      </c>
      <c r="J43" s="396">
        <f t="shared" si="8"/>
        <v>7.2249999999999995E-2</v>
      </c>
      <c r="K43" s="397"/>
      <c r="L43" s="404">
        <f>L40/L41</f>
        <v>9.5916666666666664E-2</v>
      </c>
      <c r="M43" s="420">
        <f>M40/M41</f>
        <v>0.12922291250000001</v>
      </c>
      <c r="N43" s="319"/>
      <c r="O43" s="320"/>
      <c r="P43" s="426"/>
    </row>
    <row r="44" spans="1:20" ht="33.6" customHeight="1" thickTop="1" thickBot="1" x14ac:dyDescent="0.35">
      <c r="A44" s="504" t="s">
        <v>334</v>
      </c>
      <c r="B44" s="505"/>
      <c r="C44" s="506"/>
      <c r="D44" s="368">
        <f t="shared" ref="D44:J44" si="9">((D40/$M$1)*$I$1)</f>
        <v>14458.5</v>
      </c>
      <c r="E44" s="370">
        <f t="shared" si="9"/>
        <v>5082</v>
      </c>
      <c r="F44" s="370">
        <f t="shared" si="9"/>
        <v>0</v>
      </c>
      <c r="G44" s="370">
        <f t="shared" si="9"/>
        <v>10836</v>
      </c>
      <c r="H44" s="370">
        <f t="shared" si="9"/>
        <v>5659.5</v>
      </c>
      <c r="I44" s="370">
        <f t="shared" si="9"/>
        <v>0</v>
      </c>
      <c r="J44" s="370">
        <f t="shared" si="9"/>
        <v>9103.5</v>
      </c>
      <c r="K44" s="370"/>
      <c r="L44" s="405">
        <f>((L40/$M$1)*$I$1)</f>
        <v>12085.5</v>
      </c>
      <c r="M44" s="421">
        <f>((M40/$M$1)*$I$1)</f>
        <v>325641739.5</v>
      </c>
      <c r="N44" s="423"/>
      <c r="O44" s="373"/>
      <c r="P44" s="427"/>
    </row>
    <row r="45" spans="1:20" ht="26.4" customHeight="1" thickTop="1" x14ac:dyDescent="0.3">
      <c r="A45" s="507" t="s">
        <v>333</v>
      </c>
      <c r="B45" s="508"/>
      <c r="C45" s="509"/>
      <c r="D45" s="362">
        <f t="shared" ref="D45:J45" si="10">D41-D40</f>
        <v>10623</v>
      </c>
      <c r="E45" s="364">
        <f t="shared" si="10"/>
        <v>7516</v>
      </c>
      <c r="F45" s="364">
        <f t="shared" si="10"/>
        <v>4000</v>
      </c>
      <c r="G45" s="364">
        <f t="shared" si="10"/>
        <v>10968</v>
      </c>
      <c r="H45" s="364">
        <f t="shared" si="10"/>
        <v>11461</v>
      </c>
      <c r="I45" s="364">
        <f t="shared" si="10"/>
        <v>400</v>
      </c>
      <c r="J45" s="364">
        <f t="shared" si="10"/>
        <v>11133</v>
      </c>
      <c r="K45" s="364"/>
      <c r="L45" s="406">
        <f>L41-L40</f>
        <v>10849</v>
      </c>
      <c r="M45" s="422">
        <f>M41-M40</f>
        <v>208986501</v>
      </c>
      <c r="N45" s="424"/>
      <c r="O45" s="367"/>
      <c r="P45" s="427" t="s">
        <v>268</v>
      </c>
      <c r="S45" s="207"/>
      <c r="T45" s="207"/>
    </row>
    <row r="46" spans="1:20" ht="30" customHeight="1" thickBot="1" x14ac:dyDescent="0.35">
      <c r="A46" s="510" t="s">
        <v>336</v>
      </c>
      <c r="B46" s="511"/>
      <c r="C46" s="512"/>
      <c r="D46" s="348">
        <f t="shared" ref="D46:J46" si="11">D45/$K$1</f>
        <v>559.10526315789468</v>
      </c>
      <c r="E46" s="350">
        <f t="shared" si="11"/>
        <v>395.57894736842104</v>
      </c>
      <c r="F46" s="350">
        <f t="shared" si="11"/>
        <v>210.52631578947367</v>
      </c>
      <c r="G46" s="350">
        <f t="shared" si="11"/>
        <v>577.26315789473688</v>
      </c>
      <c r="H46" s="350">
        <f t="shared" si="11"/>
        <v>603.21052631578948</v>
      </c>
      <c r="I46" s="350">
        <f t="shared" si="11"/>
        <v>21.05263157894737</v>
      </c>
      <c r="J46" s="350">
        <f t="shared" si="11"/>
        <v>585.9473684210526</v>
      </c>
      <c r="K46" s="350"/>
      <c r="L46" s="387">
        <f>L45/$K$1</f>
        <v>571</v>
      </c>
      <c r="M46" s="388">
        <f>M45/$K$1</f>
        <v>10999289.52631579</v>
      </c>
      <c r="N46" s="425"/>
      <c r="O46" s="332"/>
      <c r="P46" s="428"/>
      <c r="S46" s="207"/>
      <c r="T46" s="207"/>
    </row>
    <row r="48" spans="1:20" s="112" customFormat="1" x14ac:dyDescent="0.3">
      <c r="D48" s="208" t="s">
        <v>239</v>
      </c>
      <c r="E48" s="208" t="s">
        <v>238</v>
      </c>
      <c r="G48" s="208" t="s">
        <v>239</v>
      </c>
      <c r="H48" s="208" t="s">
        <v>239</v>
      </c>
      <c r="I48" s="208" t="s">
        <v>240</v>
      </c>
      <c r="J48" s="208" t="s">
        <v>239</v>
      </c>
      <c r="L48" s="208" t="s">
        <v>239</v>
      </c>
      <c r="S48" s="209"/>
      <c r="T48" s="209"/>
    </row>
    <row r="49" spans="2:20" s="112" customFormat="1" x14ac:dyDescent="0.3">
      <c r="D49" s="210" t="s">
        <v>245</v>
      </c>
      <c r="E49" s="210" t="s">
        <v>248</v>
      </c>
      <c r="G49" s="210" t="s">
        <v>245</v>
      </c>
      <c r="H49" s="210" t="s">
        <v>245</v>
      </c>
      <c r="I49" s="210" t="s">
        <v>249</v>
      </c>
      <c r="J49" s="210" t="s">
        <v>245</v>
      </c>
      <c r="L49" s="210" t="s">
        <v>245</v>
      </c>
      <c r="M49" s="209"/>
      <c r="N49" s="209"/>
      <c r="O49" s="430"/>
      <c r="S49" s="209"/>
      <c r="T49" s="209"/>
    </row>
    <row r="50" spans="2:20" s="112" customFormat="1" x14ac:dyDescent="0.3">
      <c r="D50" s="211" t="s">
        <v>273</v>
      </c>
      <c r="E50" s="211" t="s">
        <v>272</v>
      </c>
      <c r="G50" s="211" t="s">
        <v>246</v>
      </c>
      <c r="H50" s="211" t="s">
        <v>246</v>
      </c>
      <c r="I50" s="211" t="s">
        <v>250</v>
      </c>
      <c r="J50" s="211" t="s">
        <v>246</v>
      </c>
      <c r="L50" s="211" t="s">
        <v>246</v>
      </c>
      <c r="S50" s="209"/>
      <c r="T50" s="209"/>
    </row>
    <row r="54" spans="2:20" x14ac:dyDescent="0.3">
      <c r="D54" s="168"/>
      <c r="E54" s="168"/>
    </row>
    <row r="58" spans="2:20" ht="31.2" x14ac:dyDescent="0.3">
      <c r="B58" s="328" t="s">
        <v>327</v>
      </c>
    </row>
    <row r="60" spans="2:20" x14ac:dyDescent="0.3">
      <c r="B60" s="329" t="s">
        <v>328</v>
      </c>
    </row>
    <row r="62" spans="2:20" x14ac:dyDescent="0.3">
      <c r="B62" t="s">
        <v>329</v>
      </c>
    </row>
    <row r="63" spans="2:20" x14ac:dyDescent="0.3">
      <c r="B63" t="s">
        <v>330</v>
      </c>
    </row>
    <row r="65" spans="2:2" x14ac:dyDescent="0.3">
      <c r="B65" t="s">
        <v>331</v>
      </c>
    </row>
    <row r="66" spans="2:2" x14ac:dyDescent="0.3">
      <c r="B66" t="s">
        <v>332</v>
      </c>
    </row>
  </sheetData>
  <mergeCells count="16">
    <mergeCell ref="A19:B19"/>
    <mergeCell ref="A1:G1"/>
    <mergeCell ref="A2:B2"/>
    <mergeCell ref="P2:P3"/>
    <mergeCell ref="A3:B3"/>
    <mergeCell ref="A11:B11"/>
    <mergeCell ref="A43:C43"/>
    <mergeCell ref="A44:C44"/>
    <mergeCell ref="A45:C45"/>
    <mergeCell ref="A46:C46"/>
    <mergeCell ref="A27:B27"/>
    <mergeCell ref="A35:B35"/>
    <mergeCell ref="A39:B39"/>
    <mergeCell ref="A40:C40"/>
    <mergeCell ref="A41:C41"/>
    <mergeCell ref="A42:C42"/>
  </mergeCells>
  <conditionalFormatting sqref="D9:D10">
    <cfRule type="containsBlanks" dxfId="36" priority="34">
      <formula>LEN(TRIM(D9))=0</formula>
    </cfRule>
    <cfRule type="cellIs" dxfId="35" priority="37" operator="greaterThanOrEqual">
      <formula>600</formula>
    </cfRule>
    <cfRule type="cellIs" dxfId="34" priority="36" operator="between">
      <formula>500</formula>
      <formula>599</formula>
    </cfRule>
    <cfRule type="cellIs" dxfId="33" priority="35" operator="between">
      <formula>0</formula>
      <formula>499</formula>
    </cfRule>
  </conditionalFormatting>
  <conditionalFormatting sqref="D13:D17">
    <cfRule type="cellIs" dxfId="32" priority="40" operator="greaterThanOrEqual">
      <formula>600</formula>
    </cfRule>
    <cfRule type="cellIs" dxfId="31" priority="39" operator="between">
      <formula>500</formula>
      <formula>599</formula>
    </cfRule>
    <cfRule type="cellIs" dxfId="30" priority="38" operator="between">
      <formula>0</formula>
      <formula>499</formula>
    </cfRule>
  </conditionalFormatting>
  <conditionalFormatting sqref="D42:J43">
    <cfRule type="cellIs" dxfId="29" priority="11" operator="lessThan">
      <formula>0.6</formula>
    </cfRule>
    <cfRule type="cellIs" dxfId="28" priority="12" operator="between">
      <formula>0.6</formula>
      <formula>0.8</formula>
    </cfRule>
    <cfRule type="cellIs" dxfId="27" priority="13" operator="greaterThanOrEqual">
      <formula>0.8</formula>
    </cfRule>
  </conditionalFormatting>
  <conditionalFormatting sqref="D4:L8">
    <cfRule type="cellIs" dxfId="26" priority="2" operator="between">
      <formula>0</formula>
      <formula>499</formula>
    </cfRule>
    <cfRule type="cellIs" dxfId="25" priority="3" operator="between">
      <formula>500</formula>
      <formula>599</formula>
    </cfRule>
    <cfRule type="cellIs" dxfId="24" priority="4" operator="greaterThanOrEqual">
      <formula>600</formula>
    </cfRule>
    <cfRule type="containsBlanks" dxfId="23" priority="1">
      <formula>LEN(TRIM(D4))=0</formula>
    </cfRule>
  </conditionalFormatting>
  <conditionalFormatting sqref="D13:L18">
    <cfRule type="containsBlanks" dxfId="22" priority="26">
      <formula>LEN(TRIM(D13))=0</formula>
    </cfRule>
  </conditionalFormatting>
  <conditionalFormatting sqref="D20:L26">
    <cfRule type="containsBlanks" dxfId="21" priority="22">
      <formula>LEN(TRIM(D20))=0</formula>
    </cfRule>
    <cfRule type="cellIs" dxfId="20" priority="23" operator="between">
      <formula>0</formula>
      <formula>499</formula>
    </cfRule>
    <cfRule type="cellIs" dxfId="19" priority="24" operator="between">
      <formula>500</formula>
      <formula>599</formula>
    </cfRule>
    <cfRule type="cellIs" dxfId="18" priority="25" operator="greaterThanOrEqual">
      <formula>600</formula>
    </cfRule>
  </conditionalFormatting>
  <conditionalFormatting sqref="D28:L30 D32:L34">
    <cfRule type="cellIs" dxfId="17" priority="20" operator="between">
      <formula>500</formula>
      <formula>599</formula>
    </cfRule>
    <cfRule type="cellIs" dxfId="16" priority="19" operator="between">
      <formula>0</formula>
      <formula>499</formula>
    </cfRule>
    <cfRule type="containsBlanks" dxfId="15" priority="18">
      <formula>LEN(TRIM(D28))=0</formula>
    </cfRule>
    <cfRule type="cellIs" dxfId="14" priority="21" operator="greaterThanOrEqual">
      <formula>600</formula>
    </cfRule>
  </conditionalFormatting>
  <conditionalFormatting sqref="D36:L38">
    <cfRule type="containsBlanks" dxfId="13" priority="14">
      <formula>LEN(TRIM(D36))=0</formula>
    </cfRule>
    <cfRule type="cellIs" dxfId="12" priority="17" operator="greaterThanOrEqual">
      <formula>600</formula>
    </cfRule>
    <cfRule type="cellIs" dxfId="11" priority="16" operator="between">
      <formula>500</formula>
      <formula>599</formula>
    </cfRule>
    <cfRule type="cellIs" dxfId="10" priority="15" operator="between">
      <formula>0</formula>
      <formula>499</formula>
    </cfRule>
  </conditionalFormatting>
  <conditionalFormatting sqref="E10">
    <cfRule type="containsBlanks" dxfId="9" priority="30">
      <formula>LEN(TRIM(E10))=0</formula>
    </cfRule>
    <cfRule type="cellIs" dxfId="8" priority="31" operator="between">
      <formula>0</formula>
      <formula>499</formula>
    </cfRule>
    <cfRule type="cellIs" dxfId="7" priority="32" operator="between">
      <formula>500</formula>
      <formula>599</formula>
    </cfRule>
    <cfRule type="cellIs" dxfId="6" priority="33" operator="greaterThanOrEqual">
      <formula>600</formula>
    </cfRule>
  </conditionalFormatting>
  <conditionalFormatting sqref="E13:L18">
    <cfRule type="cellIs" dxfId="5" priority="27" operator="between">
      <formula>0</formula>
      <formula>499</formula>
    </cfRule>
    <cfRule type="cellIs" dxfId="4" priority="28" operator="between">
      <formula>500</formula>
      <formula>599</formula>
    </cfRule>
    <cfRule type="cellIs" dxfId="3" priority="29" operator="greaterThanOrEqual">
      <formula>600</formula>
    </cfRule>
  </conditionalFormatting>
  <conditionalFormatting sqref="L42:M43">
    <cfRule type="cellIs" dxfId="2" priority="8" operator="lessThan">
      <formula>0.6</formula>
    </cfRule>
    <cfRule type="cellIs" dxfId="1" priority="9" operator="between">
      <formula>0.6</formula>
      <formula>0.8</formula>
    </cfRule>
    <cfRule type="cellIs" dxfId="0" priority="10" operator="greaterThanOrEqual">
      <formula>0.8</formula>
    </cfRule>
  </conditionalFormatting>
  <pageMargins left="0.7" right="0.7" top="0.75" bottom="0.75" header="0.3" footer="0.3"/>
  <pageSetup orientation="portrait" horizontalDpi="0" verticalDpi="0"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9C944-9EB9-4F0C-9971-E5088FC86F05}">
  <dimension ref="B1:K41"/>
  <sheetViews>
    <sheetView topLeftCell="C13" workbookViewId="0">
      <selection activeCell="J26" sqref="J26:J33"/>
    </sheetView>
  </sheetViews>
  <sheetFormatPr baseColWidth="10" defaultRowHeight="14.4" x14ac:dyDescent="0.3"/>
  <cols>
    <col min="1" max="3" width="11.5546875" style="168"/>
    <col min="4" max="4" width="13.88671875" style="168" customWidth="1"/>
    <col min="5" max="5" width="12.88671875" style="168" customWidth="1"/>
    <col min="6" max="7" width="11.5546875" style="168"/>
    <col min="8" max="8" width="13.33203125" style="168" bestFit="1" customWidth="1"/>
    <col min="9" max="9" width="13.6640625" style="168" bestFit="1" customWidth="1"/>
    <col min="10" max="10" width="14.5546875" style="168" bestFit="1" customWidth="1"/>
    <col min="11" max="11" width="14.88671875" style="168" bestFit="1" customWidth="1"/>
    <col min="12" max="16384" width="11.5546875" style="168"/>
  </cols>
  <sheetData>
    <row r="1" spans="2:11" x14ac:dyDescent="0.3">
      <c r="B1" s="168" t="s">
        <v>317</v>
      </c>
      <c r="C1" s="168" t="s">
        <v>318</v>
      </c>
      <c r="D1" s="168" t="s">
        <v>319</v>
      </c>
      <c r="E1" s="168" t="s">
        <v>320</v>
      </c>
      <c r="F1" s="168" t="s">
        <v>321</v>
      </c>
      <c r="G1" s="168" t="s">
        <v>5</v>
      </c>
      <c r="H1" s="168" t="s">
        <v>322</v>
      </c>
      <c r="I1" s="168" t="s">
        <v>323</v>
      </c>
      <c r="J1" s="168" t="s">
        <v>324</v>
      </c>
      <c r="K1" s="168" t="s">
        <v>325</v>
      </c>
    </row>
    <row r="2" spans="2:11" x14ac:dyDescent="0.3">
      <c r="B2" s="168">
        <v>126</v>
      </c>
      <c r="C2" s="168">
        <v>8</v>
      </c>
      <c r="E2" s="168">
        <v>1</v>
      </c>
      <c r="G2" s="168">
        <v>500</v>
      </c>
      <c r="I2" s="168">
        <v>4</v>
      </c>
      <c r="J2" s="168">
        <v>1</v>
      </c>
    </row>
    <row r="3" spans="2:11" x14ac:dyDescent="0.3">
      <c r="B3" s="168">
        <v>529</v>
      </c>
      <c r="C3" s="168">
        <v>8</v>
      </c>
      <c r="E3" s="168">
        <v>4</v>
      </c>
      <c r="G3" s="168">
        <v>440</v>
      </c>
      <c r="I3" s="168">
        <v>4</v>
      </c>
      <c r="J3" s="168">
        <v>135</v>
      </c>
    </row>
    <row r="4" spans="2:11" x14ac:dyDescent="0.3">
      <c r="B4" s="168">
        <v>480</v>
      </c>
      <c r="C4" s="168">
        <v>4</v>
      </c>
      <c r="E4" s="168">
        <v>4</v>
      </c>
      <c r="F4" s="168">
        <v>500</v>
      </c>
      <c r="G4" s="168">
        <v>440</v>
      </c>
      <c r="I4" s="168">
        <v>4</v>
      </c>
      <c r="J4" s="168">
        <v>80</v>
      </c>
    </row>
    <row r="5" spans="2:11" x14ac:dyDescent="0.3">
      <c r="B5" s="168">
        <v>508</v>
      </c>
      <c r="C5" s="168">
        <v>4</v>
      </c>
      <c r="E5" s="168">
        <v>8</v>
      </c>
      <c r="F5" s="168">
        <v>438</v>
      </c>
      <c r="G5" s="168">
        <v>204</v>
      </c>
      <c r="I5" s="168">
        <v>1</v>
      </c>
      <c r="J5" s="168">
        <v>113</v>
      </c>
    </row>
    <row r="6" spans="2:11" x14ac:dyDescent="0.3">
      <c r="B6" s="168">
        <v>501</v>
      </c>
      <c r="C6" s="168">
        <v>3</v>
      </c>
      <c r="E6" s="168">
        <v>8</v>
      </c>
      <c r="G6" s="168">
        <v>598</v>
      </c>
      <c r="I6" s="168">
        <v>4</v>
      </c>
      <c r="J6" s="168">
        <v>58</v>
      </c>
    </row>
    <row r="7" spans="2:11" x14ac:dyDescent="0.3">
      <c r="B7" s="168">
        <v>602</v>
      </c>
      <c r="C7" s="168">
        <v>1</v>
      </c>
      <c r="E7" s="168">
        <v>1</v>
      </c>
      <c r="G7" s="168">
        <v>298</v>
      </c>
      <c r="I7" s="168">
        <v>1</v>
      </c>
      <c r="J7" s="168">
        <v>54</v>
      </c>
    </row>
    <row r="8" spans="2:11" x14ac:dyDescent="0.3">
      <c r="B8" s="168">
        <v>502</v>
      </c>
      <c r="C8" s="168">
        <v>1</v>
      </c>
      <c r="E8" s="168">
        <v>1</v>
      </c>
      <c r="G8" s="168">
        <v>225</v>
      </c>
      <c r="I8" s="168">
        <v>4</v>
      </c>
      <c r="K8" s="168">
        <v>22</v>
      </c>
    </row>
    <row r="9" spans="2:11" x14ac:dyDescent="0.3">
      <c r="B9" s="168">
        <v>608</v>
      </c>
      <c r="C9" s="168">
        <v>1</v>
      </c>
      <c r="E9" s="168">
        <v>1</v>
      </c>
      <c r="G9" s="168">
        <v>402</v>
      </c>
      <c r="I9" s="168">
        <v>4</v>
      </c>
      <c r="J9" s="168">
        <v>385</v>
      </c>
    </row>
    <row r="10" spans="2:11" x14ac:dyDescent="0.3">
      <c r="B10" s="168">
        <v>540</v>
      </c>
      <c r="C10" s="168">
        <v>1</v>
      </c>
      <c r="D10" s="168">
        <v>56</v>
      </c>
      <c r="E10" s="168">
        <v>1</v>
      </c>
      <c r="G10" s="168">
        <v>275</v>
      </c>
      <c r="I10" s="168">
        <v>4</v>
      </c>
      <c r="J10" s="168">
        <v>62</v>
      </c>
    </row>
    <row r="11" spans="2:11" x14ac:dyDescent="0.3">
      <c r="C11" s="168">
        <v>8</v>
      </c>
      <c r="D11" s="168">
        <v>402</v>
      </c>
      <c r="E11" s="168">
        <v>1</v>
      </c>
      <c r="G11" s="168">
        <v>452</v>
      </c>
      <c r="I11" s="168">
        <v>4</v>
      </c>
      <c r="J11" s="168">
        <v>51</v>
      </c>
    </row>
    <row r="12" spans="2:11" x14ac:dyDescent="0.3">
      <c r="C12" s="168">
        <v>8</v>
      </c>
      <c r="D12" s="168">
        <v>452</v>
      </c>
      <c r="E12" s="168">
        <v>1</v>
      </c>
      <c r="G12" s="168">
        <v>608</v>
      </c>
      <c r="H12" s="168">
        <v>318</v>
      </c>
      <c r="J12" s="168">
        <v>271</v>
      </c>
    </row>
    <row r="13" spans="2:11" x14ac:dyDescent="0.3">
      <c r="C13" s="168">
        <v>8</v>
      </c>
      <c r="D13" s="168">
        <v>480</v>
      </c>
      <c r="E13" s="168">
        <v>2</v>
      </c>
      <c r="G13" s="168">
        <v>56</v>
      </c>
      <c r="H13" s="168">
        <v>290</v>
      </c>
      <c r="J13" s="168">
        <v>113</v>
      </c>
    </row>
    <row r="14" spans="2:11" x14ac:dyDescent="0.3">
      <c r="C14" s="168">
        <v>1</v>
      </c>
      <c r="D14" s="168">
        <v>608</v>
      </c>
      <c r="E14" s="168">
        <v>4</v>
      </c>
      <c r="G14" s="168">
        <v>126</v>
      </c>
      <c r="H14" s="168">
        <v>437</v>
      </c>
      <c r="J14" s="168">
        <v>33</v>
      </c>
    </row>
    <row r="15" spans="2:11" x14ac:dyDescent="0.3">
      <c r="C15" s="168">
        <v>1</v>
      </c>
      <c r="D15" s="168">
        <v>126</v>
      </c>
      <c r="E15" s="168">
        <v>4</v>
      </c>
      <c r="G15" s="168">
        <v>480</v>
      </c>
      <c r="H15" s="168">
        <v>73</v>
      </c>
      <c r="J15" s="168">
        <v>69</v>
      </c>
    </row>
    <row r="16" spans="2:11" x14ac:dyDescent="0.3">
      <c r="C16" s="168">
        <v>1</v>
      </c>
      <c r="D16" s="168">
        <v>438</v>
      </c>
      <c r="E16" s="168">
        <v>1</v>
      </c>
      <c r="H16" s="168">
        <v>500</v>
      </c>
      <c r="J16" s="168">
        <v>77</v>
      </c>
    </row>
    <row r="17" spans="2:11" x14ac:dyDescent="0.3">
      <c r="C17" s="168">
        <v>1</v>
      </c>
      <c r="D17" s="168">
        <v>501</v>
      </c>
      <c r="E17" s="168">
        <v>4</v>
      </c>
      <c r="I17" s="168">
        <v>5</v>
      </c>
      <c r="J17" s="168">
        <v>170</v>
      </c>
    </row>
    <row r="18" spans="2:11" x14ac:dyDescent="0.3">
      <c r="C18" s="168">
        <v>1</v>
      </c>
      <c r="E18" s="168">
        <v>8</v>
      </c>
      <c r="I18" s="168">
        <v>4</v>
      </c>
      <c r="J18" s="168">
        <v>362</v>
      </c>
    </row>
    <row r="19" spans="2:11" x14ac:dyDescent="0.3">
      <c r="C19" s="168">
        <v>1</v>
      </c>
      <c r="E19" s="168">
        <v>1</v>
      </c>
      <c r="H19" s="168">
        <v>298</v>
      </c>
      <c r="K19" s="168">
        <v>8</v>
      </c>
    </row>
    <row r="20" spans="2:11" x14ac:dyDescent="0.3">
      <c r="E20" s="168">
        <v>1</v>
      </c>
      <c r="H20" s="168">
        <v>211</v>
      </c>
      <c r="J20" s="168">
        <v>147</v>
      </c>
    </row>
    <row r="21" spans="2:11" x14ac:dyDescent="0.3">
      <c r="E21" s="168">
        <v>1</v>
      </c>
      <c r="I21" s="168">
        <v>4</v>
      </c>
      <c r="J21" s="168">
        <v>100</v>
      </c>
    </row>
    <row r="22" spans="2:11" x14ac:dyDescent="0.3">
      <c r="E22" s="168">
        <v>1</v>
      </c>
      <c r="I22" s="168">
        <v>4</v>
      </c>
      <c r="J22" s="168">
        <v>73</v>
      </c>
    </row>
    <row r="23" spans="2:11" x14ac:dyDescent="0.3">
      <c r="E23" s="168">
        <v>1</v>
      </c>
      <c r="I23" s="168">
        <v>8</v>
      </c>
      <c r="J23" s="168">
        <v>231</v>
      </c>
    </row>
    <row r="24" spans="2:11" x14ac:dyDescent="0.3">
      <c r="E24" s="168">
        <v>1</v>
      </c>
      <c r="I24" s="168">
        <v>2</v>
      </c>
      <c r="J24" s="168">
        <v>60</v>
      </c>
    </row>
    <row r="25" spans="2:11" x14ac:dyDescent="0.3">
      <c r="E25" s="168">
        <v>1</v>
      </c>
      <c r="H25" s="168">
        <v>440</v>
      </c>
      <c r="I25" s="168">
        <v>1</v>
      </c>
      <c r="J25" s="168">
        <v>100</v>
      </c>
    </row>
    <row r="26" spans="2:11" x14ac:dyDescent="0.3">
      <c r="E26" s="168">
        <v>8</v>
      </c>
      <c r="I26" s="168">
        <v>1</v>
      </c>
      <c r="J26" s="168">
        <v>154</v>
      </c>
    </row>
    <row r="27" spans="2:11" x14ac:dyDescent="0.3">
      <c r="E27" s="168">
        <v>1</v>
      </c>
      <c r="I27" s="168">
        <v>1</v>
      </c>
      <c r="J27" s="168">
        <v>101</v>
      </c>
    </row>
    <row r="28" spans="2:11" x14ac:dyDescent="0.3">
      <c r="I28" s="168">
        <v>1</v>
      </c>
      <c r="K28" s="168">
        <v>16</v>
      </c>
    </row>
    <row r="29" spans="2:11" x14ac:dyDescent="0.3">
      <c r="B29" s="207">
        <v>4396</v>
      </c>
      <c r="I29" s="168">
        <v>1</v>
      </c>
      <c r="J29" s="168">
        <v>90</v>
      </c>
    </row>
    <row r="30" spans="2:11" x14ac:dyDescent="0.3">
      <c r="I30" s="168">
        <v>1</v>
      </c>
      <c r="J30" s="168">
        <v>10</v>
      </c>
    </row>
    <row r="31" spans="2:11" x14ac:dyDescent="0.3">
      <c r="I31" s="168">
        <v>5</v>
      </c>
      <c r="K31" s="168">
        <v>2</v>
      </c>
    </row>
    <row r="32" spans="2:11" x14ac:dyDescent="0.3">
      <c r="I32" s="168">
        <v>1</v>
      </c>
      <c r="J32" s="168">
        <v>144</v>
      </c>
    </row>
    <row r="33" spans="3:11" x14ac:dyDescent="0.3">
      <c r="I33" s="168">
        <v>1</v>
      </c>
      <c r="J33" s="168">
        <v>437</v>
      </c>
    </row>
    <row r="34" spans="3:11" x14ac:dyDescent="0.3">
      <c r="I34" s="168">
        <v>2</v>
      </c>
      <c r="J34" s="168">
        <v>500</v>
      </c>
    </row>
    <row r="35" spans="3:11" x14ac:dyDescent="0.3">
      <c r="I35" s="168">
        <v>4</v>
      </c>
      <c r="K35" s="168">
        <v>22</v>
      </c>
    </row>
    <row r="36" spans="3:11" x14ac:dyDescent="0.3">
      <c r="I36" s="168">
        <v>4</v>
      </c>
      <c r="J36" s="168">
        <v>212</v>
      </c>
    </row>
    <row r="37" spans="3:11" x14ac:dyDescent="0.3">
      <c r="H37" s="168">
        <v>300</v>
      </c>
      <c r="J37" s="168">
        <v>392</v>
      </c>
    </row>
    <row r="38" spans="3:11" x14ac:dyDescent="0.3">
      <c r="H38" s="168">
        <v>302</v>
      </c>
    </row>
    <row r="41" spans="3:11" x14ac:dyDescent="0.3">
      <c r="C41" s="168">
        <f t="shared" ref="C41:G41" si="0">SUM(C2:C40)</f>
        <v>61</v>
      </c>
      <c r="D41" s="207">
        <f t="shared" si="0"/>
        <v>3063</v>
      </c>
      <c r="E41" s="168">
        <f t="shared" si="0"/>
        <v>70</v>
      </c>
      <c r="F41" s="207">
        <f t="shared" si="0"/>
        <v>938</v>
      </c>
      <c r="G41" s="168">
        <f t="shared" si="0"/>
        <v>5104</v>
      </c>
      <c r="H41" s="207">
        <f>SUM(H2:H40)</f>
        <v>3169</v>
      </c>
      <c r="I41" s="168">
        <f>SUM(I2:I40)</f>
        <v>84</v>
      </c>
      <c r="J41" s="168">
        <f t="shared" ref="J41:K41" si="1">SUM(J2:J40)</f>
        <v>4785</v>
      </c>
      <c r="K41" s="168">
        <f t="shared" si="1"/>
        <v>70</v>
      </c>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3AFD8-4A4D-4118-A3C9-6FFC69BBCF32}">
  <sheetPr>
    <pageSetUpPr fitToPage="1"/>
  </sheetPr>
  <dimension ref="A1:J89"/>
  <sheetViews>
    <sheetView showGridLines="0" workbookViewId="0">
      <selection activeCell="C5" sqref="C5"/>
    </sheetView>
  </sheetViews>
  <sheetFormatPr baseColWidth="10" defaultRowHeight="14.4" x14ac:dyDescent="0.3"/>
  <cols>
    <col min="1" max="1" width="11.88671875" style="141" customWidth="1"/>
    <col min="2" max="2" width="11.5546875" style="142" customWidth="1"/>
    <col min="3" max="3" width="9.77734375" style="142" customWidth="1"/>
    <col min="4" max="9" width="5.77734375" style="142" customWidth="1"/>
    <col min="10" max="10" width="8.88671875" style="143" customWidth="1"/>
    <col min="11" max="16384" width="11.5546875" style="141"/>
  </cols>
  <sheetData>
    <row r="1" spans="1:10" ht="20.399999999999999" customHeight="1" x14ac:dyDescent="0.3">
      <c r="A1" s="528" t="s">
        <v>270</v>
      </c>
      <c r="B1" s="528"/>
      <c r="C1" s="528"/>
      <c r="D1" s="528"/>
      <c r="E1" s="528"/>
      <c r="F1" s="528"/>
      <c r="G1" s="528"/>
      <c r="H1" s="528"/>
      <c r="I1" s="528"/>
      <c r="J1" s="528"/>
    </row>
    <row r="2" spans="1:10" s="150" customFormat="1" ht="18.600000000000001" customHeight="1" x14ac:dyDescent="0.3">
      <c r="A2" s="149" t="s">
        <v>200</v>
      </c>
      <c r="B2" s="149" t="s">
        <v>271</v>
      </c>
      <c r="C2" s="149" t="s">
        <v>199</v>
      </c>
      <c r="D2" s="149">
        <v>36</v>
      </c>
      <c r="E2" s="149">
        <v>38</v>
      </c>
      <c r="F2" s="149">
        <v>40</v>
      </c>
      <c r="G2" s="149">
        <v>42</v>
      </c>
      <c r="H2" s="149">
        <v>44</v>
      </c>
      <c r="I2" s="149">
        <v>46</v>
      </c>
      <c r="J2" s="149" t="s">
        <v>198</v>
      </c>
    </row>
    <row r="3" spans="1:10" s="140" customFormat="1" ht="18" customHeight="1" x14ac:dyDescent="0.3">
      <c r="A3" s="144">
        <v>45756</v>
      </c>
      <c r="B3" s="146">
        <v>3760</v>
      </c>
      <c r="C3" s="145"/>
      <c r="D3" s="145"/>
      <c r="E3" s="145"/>
      <c r="F3" s="145">
        <v>1</v>
      </c>
      <c r="G3" s="145">
        <v>2</v>
      </c>
      <c r="H3" s="145"/>
      <c r="I3" s="145"/>
      <c r="J3" s="146">
        <f>SUM(D3:I3)</f>
        <v>3</v>
      </c>
    </row>
    <row r="4" spans="1:10" s="140" customFormat="1" ht="18" customHeight="1" x14ac:dyDescent="0.3">
      <c r="A4" s="144">
        <v>45756</v>
      </c>
      <c r="B4" s="146">
        <v>3730</v>
      </c>
      <c r="C4" s="145">
        <v>11173</v>
      </c>
      <c r="D4" s="145"/>
      <c r="E4" s="145"/>
      <c r="F4" s="145"/>
      <c r="G4" s="145">
        <v>1</v>
      </c>
      <c r="H4" s="145"/>
      <c r="I4" s="145">
        <v>1</v>
      </c>
      <c r="J4" s="146">
        <f t="shared" ref="J4:J25" si="0">SUM(D4:I4)</f>
        <v>2</v>
      </c>
    </row>
    <row r="5" spans="1:10" s="140" customFormat="1" ht="18" customHeight="1" x14ac:dyDescent="0.3">
      <c r="A5" s="144">
        <v>45756</v>
      </c>
      <c r="B5" s="146">
        <v>3744</v>
      </c>
      <c r="C5" s="145">
        <v>11252</v>
      </c>
      <c r="D5" s="145"/>
      <c r="E5" s="145"/>
      <c r="F5" s="145"/>
      <c r="G5" s="145">
        <v>1</v>
      </c>
      <c r="H5" s="145"/>
      <c r="I5" s="145"/>
      <c r="J5" s="146">
        <f t="shared" si="0"/>
        <v>1</v>
      </c>
    </row>
    <row r="6" spans="1:10" s="140" customFormat="1" ht="18" customHeight="1" x14ac:dyDescent="0.3">
      <c r="A6" s="144">
        <v>45756</v>
      </c>
      <c r="B6" s="146">
        <v>3731</v>
      </c>
      <c r="C6" s="145">
        <v>11191</v>
      </c>
      <c r="D6" s="145">
        <v>1</v>
      </c>
      <c r="E6" s="145">
        <v>1</v>
      </c>
      <c r="F6" s="145"/>
      <c r="G6" s="145">
        <v>7</v>
      </c>
      <c r="H6" s="145">
        <v>2</v>
      </c>
      <c r="I6" s="145"/>
      <c r="J6" s="146">
        <f t="shared" si="0"/>
        <v>11</v>
      </c>
    </row>
    <row r="7" spans="1:10" s="140" customFormat="1" ht="18" customHeight="1" x14ac:dyDescent="0.3">
      <c r="A7" s="144">
        <v>45756</v>
      </c>
      <c r="B7" s="146">
        <v>3704</v>
      </c>
      <c r="C7" s="145">
        <v>11214</v>
      </c>
      <c r="D7" s="145"/>
      <c r="E7" s="145"/>
      <c r="F7" s="145"/>
      <c r="G7" s="145"/>
      <c r="H7" s="145">
        <v>1</v>
      </c>
      <c r="I7" s="145"/>
      <c r="J7" s="146">
        <f t="shared" si="0"/>
        <v>1</v>
      </c>
    </row>
    <row r="8" spans="1:10" s="140" customFormat="1" ht="18" customHeight="1" x14ac:dyDescent="0.3">
      <c r="A8" s="144">
        <v>45756</v>
      </c>
      <c r="B8" s="146">
        <v>3738</v>
      </c>
      <c r="C8" s="145">
        <v>11193</v>
      </c>
      <c r="D8" s="145"/>
      <c r="E8" s="145"/>
      <c r="F8" s="145">
        <v>1</v>
      </c>
      <c r="G8" s="145"/>
      <c r="H8" s="145"/>
      <c r="I8" s="145"/>
      <c r="J8" s="146">
        <f t="shared" si="0"/>
        <v>1</v>
      </c>
    </row>
    <row r="9" spans="1:10" s="140" customFormat="1" ht="18" customHeight="1" x14ac:dyDescent="0.3">
      <c r="A9" s="144">
        <v>45756</v>
      </c>
      <c r="B9" s="146">
        <v>3735</v>
      </c>
      <c r="C9" s="145">
        <v>11198</v>
      </c>
      <c r="D9" s="145"/>
      <c r="E9" s="145"/>
      <c r="F9" s="145"/>
      <c r="G9" s="145">
        <v>1</v>
      </c>
      <c r="H9" s="145"/>
      <c r="I9" s="145"/>
      <c r="J9" s="146">
        <f t="shared" si="0"/>
        <v>1</v>
      </c>
    </row>
    <row r="10" spans="1:10" s="140" customFormat="1" ht="18" customHeight="1" x14ac:dyDescent="0.3">
      <c r="A10" s="144">
        <v>45756</v>
      </c>
      <c r="B10" s="146">
        <v>3786</v>
      </c>
      <c r="C10" s="145">
        <v>11278</v>
      </c>
      <c r="D10" s="145"/>
      <c r="E10" s="145"/>
      <c r="F10" s="145">
        <v>1</v>
      </c>
      <c r="G10" s="145"/>
      <c r="H10" s="145"/>
      <c r="I10" s="145">
        <v>1</v>
      </c>
      <c r="J10" s="146">
        <f t="shared" si="0"/>
        <v>2</v>
      </c>
    </row>
    <row r="11" spans="1:10" s="140" customFormat="1" ht="18" customHeight="1" x14ac:dyDescent="0.3">
      <c r="A11" s="144">
        <v>45756</v>
      </c>
      <c r="B11" s="146">
        <v>3753</v>
      </c>
      <c r="C11" s="145">
        <v>11277</v>
      </c>
      <c r="D11" s="145">
        <v>1</v>
      </c>
      <c r="E11" s="145">
        <v>5</v>
      </c>
      <c r="F11" s="145">
        <v>1</v>
      </c>
      <c r="G11" s="145">
        <v>3</v>
      </c>
      <c r="H11" s="145">
        <v>8</v>
      </c>
      <c r="I11" s="145"/>
      <c r="J11" s="146">
        <f t="shared" si="0"/>
        <v>18</v>
      </c>
    </row>
    <row r="12" spans="1:10" s="140" customFormat="1" ht="18" customHeight="1" x14ac:dyDescent="0.3">
      <c r="A12" s="144">
        <v>45756</v>
      </c>
      <c r="B12" s="146">
        <v>3711</v>
      </c>
      <c r="C12" s="145">
        <v>11276</v>
      </c>
      <c r="D12" s="145">
        <v>1</v>
      </c>
      <c r="E12" s="145">
        <v>2</v>
      </c>
      <c r="F12" s="145">
        <v>1</v>
      </c>
      <c r="G12" s="145"/>
      <c r="H12" s="145"/>
      <c r="I12" s="145"/>
      <c r="J12" s="146">
        <f t="shared" si="0"/>
        <v>4</v>
      </c>
    </row>
    <row r="13" spans="1:10" s="140" customFormat="1" ht="18" customHeight="1" x14ac:dyDescent="0.3">
      <c r="A13" s="144">
        <v>45756</v>
      </c>
      <c r="B13" s="146">
        <v>3723</v>
      </c>
      <c r="C13" s="145">
        <v>11178</v>
      </c>
      <c r="D13" s="145">
        <v>1</v>
      </c>
      <c r="E13" s="145">
        <v>2</v>
      </c>
      <c r="F13" s="145">
        <v>2</v>
      </c>
      <c r="G13" s="145">
        <v>1</v>
      </c>
      <c r="H13" s="145"/>
      <c r="I13" s="145"/>
      <c r="J13" s="146">
        <f t="shared" si="0"/>
        <v>6</v>
      </c>
    </row>
    <row r="14" spans="1:10" s="140" customFormat="1" ht="18" customHeight="1" x14ac:dyDescent="0.3">
      <c r="A14" s="144">
        <v>45756</v>
      </c>
      <c r="B14" s="146">
        <v>3764</v>
      </c>
      <c r="C14" s="145">
        <v>11282</v>
      </c>
      <c r="D14" s="145"/>
      <c r="E14" s="145"/>
      <c r="F14" s="145"/>
      <c r="G14" s="145">
        <v>1</v>
      </c>
      <c r="H14" s="145"/>
      <c r="I14" s="145"/>
      <c r="J14" s="146">
        <f t="shared" si="0"/>
        <v>1</v>
      </c>
    </row>
    <row r="15" spans="1:10" s="140" customFormat="1" ht="18" customHeight="1" x14ac:dyDescent="0.3">
      <c r="A15" s="144">
        <v>45756</v>
      </c>
      <c r="B15" s="146">
        <v>3763</v>
      </c>
      <c r="C15" s="145">
        <v>11284</v>
      </c>
      <c r="D15" s="145"/>
      <c r="E15" s="145">
        <v>2</v>
      </c>
      <c r="F15" s="145"/>
      <c r="G15" s="145"/>
      <c r="H15" s="145"/>
      <c r="I15" s="145">
        <v>1</v>
      </c>
      <c r="J15" s="146">
        <f t="shared" si="0"/>
        <v>3</v>
      </c>
    </row>
    <row r="16" spans="1:10" s="140" customFormat="1" ht="18" customHeight="1" x14ac:dyDescent="0.3">
      <c r="A16" s="144">
        <v>45756</v>
      </c>
      <c r="B16" s="146">
        <v>3745</v>
      </c>
      <c r="C16" s="145">
        <v>11258</v>
      </c>
      <c r="D16" s="145">
        <v>1</v>
      </c>
      <c r="E16" s="145">
        <v>4</v>
      </c>
      <c r="F16" s="145">
        <v>5</v>
      </c>
      <c r="G16" s="145">
        <v>4</v>
      </c>
      <c r="H16" s="145"/>
      <c r="I16" s="145">
        <v>1</v>
      </c>
      <c r="J16" s="146">
        <f t="shared" si="0"/>
        <v>15</v>
      </c>
    </row>
    <row r="17" spans="1:10" s="140" customFormat="1" ht="18" customHeight="1" x14ac:dyDescent="0.3">
      <c r="A17" s="144">
        <v>45756</v>
      </c>
      <c r="B17" s="146">
        <v>3712</v>
      </c>
      <c r="C17" s="145">
        <v>11279</v>
      </c>
      <c r="D17" s="145">
        <v>1</v>
      </c>
      <c r="E17" s="145">
        <v>2</v>
      </c>
      <c r="F17" s="145"/>
      <c r="G17" s="145">
        <v>1</v>
      </c>
      <c r="H17" s="145"/>
      <c r="I17" s="145"/>
      <c r="J17" s="146">
        <f t="shared" si="0"/>
        <v>4</v>
      </c>
    </row>
    <row r="18" spans="1:10" s="140" customFormat="1" ht="18" customHeight="1" x14ac:dyDescent="0.3">
      <c r="A18" s="144">
        <v>45756</v>
      </c>
      <c r="B18" s="146">
        <v>3759</v>
      </c>
      <c r="C18" s="145">
        <v>11267</v>
      </c>
      <c r="D18" s="145"/>
      <c r="E18" s="145"/>
      <c r="F18" s="145"/>
      <c r="G18" s="145">
        <v>2</v>
      </c>
      <c r="H18" s="145">
        <v>2</v>
      </c>
      <c r="I18" s="145"/>
      <c r="J18" s="146">
        <f t="shared" si="0"/>
        <v>4</v>
      </c>
    </row>
    <row r="19" spans="1:10" s="140" customFormat="1" ht="18" customHeight="1" x14ac:dyDescent="0.3">
      <c r="A19" s="144">
        <v>45756</v>
      </c>
      <c r="B19" s="146">
        <v>3729</v>
      </c>
      <c r="C19" s="145">
        <v>11244</v>
      </c>
      <c r="D19" s="145"/>
      <c r="E19" s="145"/>
      <c r="F19" s="145">
        <v>2</v>
      </c>
      <c r="G19" s="145"/>
      <c r="H19" s="145">
        <v>1</v>
      </c>
      <c r="I19" s="145"/>
      <c r="J19" s="146">
        <f t="shared" si="0"/>
        <v>3</v>
      </c>
    </row>
    <row r="20" spans="1:10" s="140" customFormat="1" ht="18" customHeight="1" x14ac:dyDescent="0.3">
      <c r="A20" s="144">
        <v>45756</v>
      </c>
      <c r="B20" s="146">
        <v>3742</v>
      </c>
      <c r="C20" s="145">
        <v>11221</v>
      </c>
      <c r="D20" s="145">
        <v>5</v>
      </c>
      <c r="E20" s="145">
        <v>8</v>
      </c>
      <c r="F20" s="145">
        <v>15</v>
      </c>
      <c r="G20" s="145">
        <v>9</v>
      </c>
      <c r="H20" s="145">
        <v>2</v>
      </c>
      <c r="I20" s="145">
        <v>2</v>
      </c>
      <c r="J20" s="146">
        <f t="shared" si="0"/>
        <v>41</v>
      </c>
    </row>
    <row r="21" spans="1:10" s="140" customFormat="1" ht="18" customHeight="1" x14ac:dyDescent="0.3">
      <c r="A21" s="144">
        <v>45756</v>
      </c>
      <c r="B21" s="146">
        <v>3739</v>
      </c>
      <c r="C21" s="145">
        <v>11220</v>
      </c>
      <c r="D21" s="145">
        <v>2</v>
      </c>
      <c r="E21" s="145">
        <v>1</v>
      </c>
      <c r="F21" s="145">
        <v>1</v>
      </c>
      <c r="G21" s="145">
        <v>2</v>
      </c>
      <c r="H21" s="145">
        <v>1</v>
      </c>
      <c r="I21" s="145">
        <v>1</v>
      </c>
      <c r="J21" s="146">
        <f t="shared" si="0"/>
        <v>8</v>
      </c>
    </row>
    <row r="22" spans="1:10" s="140" customFormat="1" ht="18" customHeight="1" x14ac:dyDescent="0.3">
      <c r="A22" s="144">
        <v>45756</v>
      </c>
      <c r="B22" s="146">
        <v>3765</v>
      </c>
      <c r="C22" s="145"/>
      <c r="D22" s="145"/>
      <c r="E22" s="145"/>
      <c r="F22" s="145">
        <v>1</v>
      </c>
      <c r="G22" s="145"/>
      <c r="H22" s="145"/>
      <c r="I22" s="145"/>
      <c r="J22" s="146">
        <f t="shared" si="0"/>
        <v>1</v>
      </c>
    </row>
    <row r="23" spans="1:10" s="140" customFormat="1" ht="18" customHeight="1" x14ac:dyDescent="0.3">
      <c r="A23" s="144">
        <v>45756</v>
      </c>
      <c r="B23" s="146">
        <v>3752</v>
      </c>
      <c r="C23" s="145">
        <v>11254</v>
      </c>
      <c r="D23" s="145">
        <v>1</v>
      </c>
      <c r="E23" s="145">
        <v>3</v>
      </c>
      <c r="F23" s="145">
        <v>4</v>
      </c>
      <c r="G23" s="145">
        <v>3</v>
      </c>
      <c r="H23" s="145"/>
      <c r="I23" s="145"/>
      <c r="J23" s="146">
        <f t="shared" si="0"/>
        <v>11</v>
      </c>
    </row>
    <row r="24" spans="1:10" s="140" customFormat="1" ht="18" customHeight="1" x14ac:dyDescent="0.3">
      <c r="A24" s="144">
        <v>45756</v>
      </c>
      <c r="B24" s="146">
        <v>3768</v>
      </c>
      <c r="C24" s="145">
        <v>11249</v>
      </c>
      <c r="D24" s="145"/>
      <c r="E24" s="145"/>
      <c r="F24" s="145">
        <v>1</v>
      </c>
      <c r="G24" s="145">
        <v>2</v>
      </c>
      <c r="H24" s="145"/>
      <c r="I24" s="145">
        <v>1</v>
      </c>
      <c r="J24" s="146">
        <f t="shared" si="0"/>
        <v>4</v>
      </c>
    </row>
    <row r="25" spans="1:10" s="140" customFormat="1" ht="18" customHeight="1" x14ac:dyDescent="0.3">
      <c r="A25" s="144">
        <v>45756</v>
      </c>
      <c r="B25" s="146">
        <v>3719</v>
      </c>
      <c r="C25" s="145"/>
      <c r="D25" s="145"/>
      <c r="E25" s="145">
        <v>1</v>
      </c>
      <c r="F25" s="145"/>
      <c r="G25" s="145"/>
      <c r="H25" s="145"/>
      <c r="I25" s="145">
        <v>1</v>
      </c>
      <c r="J25" s="146">
        <f t="shared" si="0"/>
        <v>2</v>
      </c>
    </row>
    <row r="26" spans="1:10" s="148" customFormat="1" ht="16.8" customHeight="1" x14ac:dyDescent="0.3">
      <c r="A26" s="527" t="s">
        <v>201</v>
      </c>
      <c r="B26" s="527"/>
      <c r="C26" s="527"/>
      <c r="D26" s="527"/>
      <c r="E26" s="527"/>
      <c r="F26" s="527"/>
      <c r="G26" s="527"/>
      <c r="H26" s="527"/>
      <c r="I26" s="527"/>
      <c r="J26" s="147">
        <f>SUM(J3:J25)</f>
        <v>147</v>
      </c>
    </row>
    <row r="27" spans="1:10" x14ac:dyDescent="0.3">
      <c r="A27" s="142"/>
    </row>
    <row r="28" spans="1:10" s="150" customFormat="1" ht="18.600000000000001" customHeight="1" x14ac:dyDescent="0.3">
      <c r="A28" s="149" t="s">
        <v>200</v>
      </c>
      <c r="B28" s="149" t="s">
        <v>271</v>
      </c>
      <c r="C28" s="149" t="s">
        <v>199</v>
      </c>
      <c r="D28" s="149">
        <v>36</v>
      </c>
      <c r="E28" s="149">
        <v>38</v>
      </c>
      <c r="F28" s="149">
        <v>40</v>
      </c>
      <c r="G28" s="149">
        <v>42</v>
      </c>
      <c r="H28" s="149">
        <v>44</v>
      </c>
      <c r="I28" s="149">
        <v>46</v>
      </c>
      <c r="J28" s="149" t="s">
        <v>198</v>
      </c>
    </row>
    <row r="29" spans="1:10" x14ac:dyDescent="0.3">
      <c r="A29" s="242">
        <v>45873</v>
      </c>
      <c r="B29" s="142">
        <v>3558</v>
      </c>
      <c r="D29" s="142">
        <v>7</v>
      </c>
      <c r="E29" s="142">
        <v>9</v>
      </c>
      <c r="F29" s="142">
        <v>12</v>
      </c>
      <c r="G29" s="142">
        <v>11</v>
      </c>
      <c r="I29" s="142">
        <v>1</v>
      </c>
      <c r="J29" s="143">
        <f>SUM(D29:I29)</f>
        <v>40</v>
      </c>
    </row>
    <row r="30" spans="1:10" x14ac:dyDescent="0.3">
      <c r="A30" s="242">
        <v>45873</v>
      </c>
      <c r="B30" s="142">
        <v>3510</v>
      </c>
      <c r="D30" s="142">
        <v>3</v>
      </c>
      <c r="E30" s="142">
        <v>18</v>
      </c>
      <c r="F30" s="142">
        <v>8</v>
      </c>
      <c r="G30" s="142">
        <v>11</v>
      </c>
      <c r="H30" s="142">
        <v>3</v>
      </c>
      <c r="I30" s="142">
        <v>1</v>
      </c>
      <c r="J30" s="143">
        <f t="shared" ref="J30:J43" si="1">SUM(D30:I30)</f>
        <v>44</v>
      </c>
    </row>
    <row r="31" spans="1:10" x14ac:dyDescent="0.3">
      <c r="A31" s="242">
        <v>45873</v>
      </c>
      <c r="B31" s="142">
        <v>3559</v>
      </c>
      <c r="D31" s="142">
        <v>5</v>
      </c>
      <c r="E31" s="142">
        <v>28</v>
      </c>
      <c r="F31" s="142">
        <v>15</v>
      </c>
      <c r="G31" s="142">
        <v>9</v>
      </c>
      <c r="H31" s="142">
        <v>1</v>
      </c>
      <c r="I31" s="142">
        <v>2</v>
      </c>
      <c r="J31" s="143">
        <f t="shared" si="1"/>
        <v>60</v>
      </c>
    </row>
    <row r="32" spans="1:10" x14ac:dyDescent="0.3">
      <c r="A32" s="242">
        <v>45873</v>
      </c>
      <c r="B32" s="142">
        <v>3730</v>
      </c>
      <c r="D32" s="142">
        <v>2</v>
      </c>
      <c r="E32" s="142">
        <v>3</v>
      </c>
      <c r="F32" s="142">
        <v>3</v>
      </c>
      <c r="G32" s="142">
        <v>4</v>
      </c>
      <c r="H32" s="142">
        <v>2</v>
      </c>
      <c r="I32" s="142">
        <v>1</v>
      </c>
      <c r="J32" s="143">
        <f t="shared" si="1"/>
        <v>15</v>
      </c>
    </row>
    <row r="33" spans="1:10" x14ac:dyDescent="0.3">
      <c r="A33" s="242">
        <v>45873</v>
      </c>
      <c r="B33" s="142">
        <v>3742</v>
      </c>
      <c r="D33" s="142">
        <v>1</v>
      </c>
      <c r="E33" s="142">
        <v>3</v>
      </c>
      <c r="F33" s="142">
        <v>1</v>
      </c>
      <c r="G33" s="142">
        <v>2</v>
      </c>
      <c r="H33" s="142">
        <v>5</v>
      </c>
      <c r="J33" s="143">
        <f t="shared" si="1"/>
        <v>12</v>
      </c>
    </row>
    <row r="34" spans="1:10" x14ac:dyDescent="0.3">
      <c r="A34" s="242">
        <v>45873</v>
      </c>
      <c r="B34" s="142">
        <v>3846</v>
      </c>
      <c r="D34" s="142">
        <v>13</v>
      </c>
      <c r="E34" s="142">
        <v>5</v>
      </c>
      <c r="J34" s="143">
        <f t="shared" si="1"/>
        <v>18</v>
      </c>
    </row>
    <row r="35" spans="1:10" x14ac:dyDescent="0.3">
      <c r="A35" s="242">
        <v>45873</v>
      </c>
      <c r="B35" s="142">
        <v>3316</v>
      </c>
      <c r="D35" s="142">
        <v>1</v>
      </c>
      <c r="E35" s="142">
        <v>5</v>
      </c>
      <c r="F35" s="142">
        <v>1</v>
      </c>
      <c r="G35" s="142">
        <v>1</v>
      </c>
      <c r="J35" s="143">
        <f t="shared" si="1"/>
        <v>8</v>
      </c>
    </row>
    <row r="36" spans="1:10" x14ac:dyDescent="0.3">
      <c r="A36" s="242">
        <v>45873</v>
      </c>
      <c r="B36" s="142" t="s">
        <v>255</v>
      </c>
      <c r="D36" s="142">
        <v>2</v>
      </c>
      <c r="E36" s="142">
        <v>5</v>
      </c>
      <c r="F36" s="142">
        <v>3</v>
      </c>
      <c r="J36" s="143">
        <f t="shared" si="1"/>
        <v>10</v>
      </c>
    </row>
    <row r="37" spans="1:10" x14ac:dyDescent="0.3">
      <c r="A37" s="242">
        <v>45873</v>
      </c>
      <c r="B37" s="142">
        <v>3739</v>
      </c>
      <c r="E37" s="142">
        <v>1</v>
      </c>
      <c r="F37" s="142">
        <v>2</v>
      </c>
      <c r="H37" s="142">
        <v>1</v>
      </c>
      <c r="J37" s="143">
        <f t="shared" si="1"/>
        <v>4</v>
      </c>
    </row>
    <row r="38" spans="1:10" x14ac:dyDescent="0.3">
      <c r="A38" s="242">
        <v>45873</v>
      </c>
      <c r="B38" s="142">
        <v>3726</v>
      </c>
      <c r="E38" s="142">
        <v>3</v>
      </c>
      <c r="F38" s="142">
        <v>4</v>
      </c>
      <c r="G38" s="142">
        <v>2</v>
      </c>
      <c r="H38" s="142">
        <v>4</v>
      </c>
      <c r="J38" s="143">
        <f t="shared" si="1"/>
        <v>13</v>
      </c>
    </row>
    <row r="39" spans="1:10" x14ac:dyDescent="0.3">
      <c r="A39" s="242">
        <v>45873</v>
      </c>
      <c r="B39" s="142">
        <v>3745</v>
      </c>
      <c r="F39" s="142">
        <v>1</v>
      </c>
      <c r="G39" s="142">
        <v>2</v>
      </c>
      <c r="H39" s="142">
        <v>1</v>
      </c>
      <c r="I39" s="142">
        <v>1</v>
      </c>
      <c r="J39" s="143">
        <f t="shared" si="1"/>
        <v>5</v>
      </c>
    </row>
    <row r="40" spans="1:10" x14ac:dyDescent="0.3">
      <c r="A40" s="242">
        <v>45873</v>
      </c>
      <c r="B40" s="142">
        <v>3764</v>
      </c>
      <c r="E40" s="142">
        <v>1</v>
      </c>
      <c r="F40" s="142">
        <v>3</v>
      </c>
      <c r="G40" s="142">
        <v>2</v>
      </c>
      <c r="I40" s="142">
        <v>1</v>
      </c>
      <c r="J40" s="143">
        <f t="shared" si="1"/>
        <v>7</v>
      </c>
    </row>
    <row r="41" spans="1:10" x14ac:dyDescent="0.3">
      <c r="A41" s="242">
        <v>45873</v>
      </c>
      <c r="B41" s="142">
        <v>3363</v>
      </c>
      <c r="E41" s="142">
        <v>2</v>
      </c>
      <c r="J41" s="143">
        <f t="shared" si="1"/>
        <v>2</v>
      </c>
    </row>
    <row r="42" spans="1:10" x14ac:dyDescent="0.3">
      <c r="A42" s="242">
        <v>45873</v>
      </c>
      <c r="B42" s="142">
        <v>3210</v>
      </c>
      <c r="E42" s="142">
        <v>2</v>
      </c>
      <c r="J42" s="143">
        <f t="shared" si="1"/>
        <v>2</v>
      </c>
    </row>
    <row r="43" spans="1:10" x14ac:dyDescent="0.3">
      <c r="A43" s="242">
        <v>45873</v>
      </c>
      <c r="B43" s="142">
        <v>3318</v>
      </c>
      <c r="E43" s="142">
        <v>3</v>
      </c>
      <c r="J43" s="143">
        <f t="shared" si="1"/>
        <v>3</v>
      </c>
    </row>
    <row r="44" spans="1:10" x14ac:dyDescent="0.3">
      <c r="A44" s="527" t="s">
        <v>256</v>
      </c>
      <c r="B44" s="527"/>
      <c r="C44" s="527"/>
      <c r="D44" s="527"/>
      <c r="E44" s="527"/>
      <c r="F44" s="527"/>
      <c r="G44" s="527"/>
      <c r="H44" s="527"/>
      <c r="I44" s="527"/>
      <c r="J44" s="147">
        <f>SUM(J29:J43)</f>
        <v>243</v>
      </c>
    </row>
    <row r="45" spans="1:10" x14ac:dyDescent="0.3">
      <c r="A45" s="142"/>
    </row>
    <row r="46" spans="1:10" x14ac:dyDescent="0.3">
      <c r="A46" s="142"/>
    </row>
    <row r="47" spans="1:10" x14ac:dyDescent="0.3">
      <c r="A47" s="142"/>
    </row>
    <row r="48" spans="1:10" x14ac:dyDescent="0.3">
      <c r="A48" s="142"/>
    </row>
    <row r="49" spans="1:1" x14ac:dyDescent="0.3">
      <c r="A49" s="142"/>
    </row>
    <row r="50" spans="1:1" x14ac:dyDescent="0.3">
      <c r="A50" s="142"/>
    </row>
    <row r="51" spans="1:1" x14ac:dyDescent="0.3">
      <c r="A51" s="142"/>
    </row>
    <row r="52" spans="1:1" x14ac:dyDescent="0.3">
      <c r="A52" s="142"/>
    </row>
    <row r="53" spans="1:1" x14ac:dyDescent="0.3">
      <c r="A53" s="142"/>
    </row>
    <row r="54" spans="1:1" x14ac:dyDescent="0.3">
      <c r="A54" s="142"/>
    </row>
    <row r="55" spans="1:1" x14ac:dyDescent="0.3">
      <c r="A55" s="142"/>
    </row>
    <row r="56" spans="1:1" x14ac:dyDescent="0.3">
      <c r="A56" s="142"/>
    </row>
    <row r="57" spans="1:1" x14ac:dyDescent="0.3">
      <c r="A57" s="142"/>
    </row>
    <row r="58" spans="1:1" x14ac:dyDescent="0.3">
      <c r="A58" s="142"/>
    </row>
    <row r="59" spans="1:1" x14ac:dyDescent="0.3">
      <c r="A59" s="142"/>
    </row>
    <row r="60" spans="1:1" x14ac:dyDescent="0.3">
      <c r="A60" s="142"/>
    </row>
    <row r="61" spans="1:1" x14ac:dyDescent="0.3">
      <c r="A61" s="142"/>
    </row>
    <row r="62" spans="1:1" x14ac:dyDescent="0.3">
      <c r="A62" s="142"/>
    </row>
    <row r="63" spans="1:1" x14ac:dyDescent="0.3">
      <c r="A63" s="142"/>
    </row>
    <row r="64" spans="1:1" x14ac:dyDescent="0.3">
      <c r="A64" s="142"/>
    </row>
    <row r="65" spans="1:1" x14ac:dyDescent="0.3">
      <c r="A65" s="142"/>
    </row>
    <row r="66" spans="1:1" x14ac:dyDescent="0.3">
      <c r="A66" s="142"/>
    </row>
    <row r="67" spans="1:1" x14ac:dyDescent="0.3">
      <c r="A67" s="142"/>
    </row>
    <row r="68" spans="1:1" x14ac:dyDescent="0.3">
      <c r="A68" s="142"/>
    </row>
    <row r="69" spans="1:1" x14ac:dyDescent="0.3">
      <c r="A69" s="142"/>
    </row>
    <row r="70" spans="1:1" x14ac:dyDescent="0.3">
      <c r="A70" s="142"/>
    </row>
    <row r="71" spans="1:1" x14ac:dyDescent="0.3">
      <c r="A71" s="142"/>
    </row>
    <row r="72" spans="1:1" x14ac:dyDescent="0.3">
      <c r="A72" s="142"/>
    </row>
    <row r="73" spans="1:1" x14ac:dyDescent="0.3">
      <c r="A73" s="142"/>
    </row>
    <row r="74" spans="1:1" x14ac:dyDescent="0.3">
      <c r="A74" s="142"/>
    </row>
    <row r="75" spans="1:1" x14ac:dyDescent="0.3">
      <c r="A75" s="142"/>
    </row>
    <row r="76" spans="1:1" x14ac:dyDescent="0.3">
      <c r="A76" s="142"/>
    </row>
    <row r="77" spans="1:1" x14ac:dyDescent="0.3">
      <c r="A77" s="142"/>
    </row>
    <row r="78" spans="1:1" x14ac:dyDescent="0.3">
      <c r="A78" s="142"/>
    </row>
    <row r="79" spans="1:1" x14ac:dyDescent="0.3">
      <c r="A79" s="142"/>
    </row>
    <row r="80" spans="1:1" x14ac:dyDescent="0.3">
      <c r="A80" s="142"/>
    </row>
    <row r="81" spans="1:1" x14ac:dyDescent="0.3">
      <c r="A81" s="142"/>
    </row>
    <row r="82" spans="1:1" x14ac:dyDescent="0.3">
      <c r="A82" s="142"/>
    </row>
    <row r="83" spans="1:1" x14ac:dyDescent="0.3">
      <c r="A83" s="142"/>
    </row>
    <row r="84" spans="1:1" x14ac:dyDescent="0.3">
      <c r="A84" s="142"/>
    </row>
    <row r="85" spans="1:1" x14ac:dyDescent="0.3">
      <c r="A85" s="142"/>
    </row>
    <row r="86" spans="1:1" x14ac:dyDescent="0.3">
      <c r="A86" s="142"/>
    </row>
    <row r="87" spans="1:1" x14ac:dyDescent="0.3">
      <c r="A87" s="142"/>
    </row>
    <row r="88" spans="1:1" x14ac:dyDescent="0.3">
      <c r="A88" s="142"/>
    </row>
    <row r="89" spans="1:1" x14ac:dyDescent="0.3">
      <c r="A89" s="142"/>
    </row>
  </sheetData>
  <mergeCells count="3">
    <mergeCell ref="A26:I26"/>
    <mergeCell ref="A1:J1"/>
    <mergeCell ref="A44:I44"/>
  </mergeCells>
  <printOptions horizontalCentered="1"/>
  <pageMargins left="0.70866141732283472" right="0.70866141732283472" top="0.74803149606299213" bottom="0.74803149606299213" header="0.31496062992125984" footer="0.31496062992125984"/>
  <pageSetup scale="88" orientation="portrait" horizontalDpi="0" verticalDpi="0" r:id="rId1"/>
  <ignoredErrors>
    <ignoredError sqref="J4:J5 J6:J25" formulaRange="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0B7F7-82CD-42C6-9672-8321A18D7FFE}">
  <sheetPr>
    <pageSetUpPr fitToPage="1"/>
  </sheetPr>
  <dimension ref="A1"/>
  <sheetViews>
    <sheetView workbookViewId="0">
      <selection activeCell="A69" sqref="A69:J102"/>
    </sheetView>
  </sheetViews>
  <sheetFormatPr baseColWidth="10" defaultRowHeight="14.4" x14ac:dyDescent="0.3"/>
  <sheetData/>
  <printOptions horizontalCentered="1"/>
  <pageMargins left="0.70866141732283472" right="0.70866141732283472" top="0.74803149606299213" bottom="0.74803149606299213" header="0.31496062992125984" footer="0.31496062992125984"/>
  <pageSetup scale="78" orientation="portrait" horizontalDpi="360" verticalDpi="36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C8F45-8FAC-47C3-884A-F53B6F1E647A}">
  <dimension ref="A1"/>
  <sheetViews>
    <sheetView topLeftCell="A13" workbookViewId="0">
      <selection activeCell="K35" sqref="K35"/>
    </sheetView>
  </sheetViews>
  <sheetFormatPr baseColWidth="10"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4</vt:i4>
      </vt:variant>
    </vt:vector>
  </HeadingPairs>
  <TitlesOfParts>
    <vt:vector size="22" baseType="lpstr">
      <vt:lpstr>Seguimiento temas Adecom</vt:lpstr>
      <vt:lpstr>ENE-25</vt:lpstr>
      <vt:lpstr>FEB-25</vt:lpstr>
      <vt:lpstr>MAR-25</vt:lpstr>
      <vt:lpstr>ABR-25</vt:lpstr>
      <vt:lpstr>MAY-25</vt:lpstr>
      <vt:lpstr>JUN-25</vt:lpstr>
      <vt:lpstr>JUL-25</vt:lpstr>
      <vt:lpstr>AGO-25</vt:lpstr>
      <vt:lpstr>SEP-25</vt:lpstr>
      <vt:lpstr>OCT-25</vt:lpstr>
      <vt:lpstr>NOV-25</vt:lpstr>
      <vt:lpstr>NOV-25 SOLO PRODUCCION</vt:lpstr>
      <vt:lpstr>DIC-25 SOLO PRODUCCION</vt:lpstr>
      <vt:lpstr>Hoja2</vt:lpstr>
      <vt:lpstr>REPROCESOS</vt:lpstr>
      <vt:lpstr>Movtos Automáticos</vt:lpstr>
      <vt:lpstr>Hoja1</vt:lpstr>
      <vt:lpstr>'JUL-25'!Área_de_impresión</vt:lpstr>
      <vt:lpstr>'MAR-25'!Área_de_impresión</vt:lpstr>
      <vt:lpstr>'Movtos Automáticos'!Área_de_impresión</vt:lpstr>
      <vt:lpstr>REPROCESOS!Área_de_impresión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Recursos Humanos</dc:creator>
  <cp:lastModifiedBy>Recursos Humanos</cp:lastModifiedBy>
  <cp:lastPrinted>2025-09-09T16:12:00Z</cp:lastPrinted>
  <dcterms:created xsi:type="dcterms:W3CDTF">2025-01-14T14:47:28Z</dcterms:created>
  <dcterms:modified xsi:type="dcterms:W3CDTF">2025-12-04T20:50:52Z</dcterms:modified>
</cp:coreProperties>
</file>