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filterPrivacy="1" codeName="ThisWorkbook"/>
  <xr:revisionPtr revIDLastSave="0" documentId="8_{19C6A2E6-AA31-4BBE-B7E3-261AF4C3E693}" xr6:coauthVersionLast="47" xr6:coauthVersionMax="47" xr10:uidLastSave="{00000000-0000-0000-0000-000000000000}"/>
  <bookViews>
    <workbookView xWindow="-120" yWindow="-120" windowWidth="29040" windowHeight="15720" tabRatio="988" firstSheet="2" activeTab="2" xr2:uid="{00000000-000D-0000-FFFF-FFFF00000000}"/>
  </bookViews>
  <sheets>
    <sheet name="CORTE 4200" sheetId="10" r:id="rId1"/>
    <sheet name="BASE DATOS" sheetId="20" r:id="rId2"/>
    <sheet name="Ranking 42" sheetId="33" r:id="rId3"/>
    <sheet name="Precios Lavandería" sheetId="88" r:id="rId4"/>
    <sheet name="Lista de precios" sheetId="81" r:id="rId5"/>
    <sheet name="4201  00   01" sheetId="67" r:id="rId6"/>
    <sheet name="4203" sheetId="99" r:id="rId7"/>
    <sheet name="4204 00 01 02" sheetId="82" r:id="rId8"/>
    <sheet name="4205 00  01  02" sheetId="91" r:id="rId9"/>
    <sheet name="4211 00  01" sheetId="94" r:id="rId10"/>
    <sheet name="4209" sheetId="97" r:id="rId11"/>
    <sheet name="4206 00" sheetId="90" r:id="rId12"/>
    <sheet name="4213  00  01  Ex 4110" sheetId="68" r:id="rId13"/>
    <sheet name="4214  00  02" sheetId="84" r:id="rId14"/>
    <sheet name="4218 00  01 Ex 4122" sheetId="69" r:id="rId15"/>
    <sheet name="4219   Ex 4166" sheetId="74" r:id="rId16"/>
    <sheet name="4220   Ex 4021" sheetId="79" r:id="rId17"/>
    <sheet name="4221 00  01   Ex 4015" sheetId="65" r:id="rId18"/>
    <sheet name="4222  Ex 4165" sheetId="73" r:id="rId19"/>
    <sheet name="4223" sheetId="83" r:id="rId20"/>
    <sheet name="4225   Ex 4169 00" sheetId="71" r:id="rId21"/>
    <sheet name="4226 00 01" sheetId="85" r:id="rId22"/>
    <sheet name="4227 00  01" sheetId="86" r:id="rId23"/>
    <sheet name="4228" sheetId="98" r:id="rId24"/>
    <sheet name="4229" sheetId="87" r:id="rId25"/>
    <sheet name="4230" sheetId="89" r:id="rId26"/>
    <sheet name="4232  Ex 4124" sheetId="72" r:id="rId27"/>
    <sheet name="4233 colores" sheetId="95" r:id="rId28"/>
    <sheet name="4234  Colores" sheetId="92" r:id="rId29"/>
    <sheet name="4235  00  01" sheetId="93" r:id="rId30"/>
    <sheet name="4239  Ex 4169 01" sheetId="66" r:id="rId31"/>
    <sheet name="4240 Ex 4170" sheetId="70" r:id="rId32"/>
    <sheet name="4243    Ex 4142" sheetId="76" r:id="rId33"/>
    <sheet name="4244    Ex 4168" sheetId="77" r:id="rId34"/>
    <sheet name="4245    Ex 4128" sheetId="78" r:id="rId35"/>
    <sheet name="4246   Ex 4157" sheetId="75" r:id="rId36"/>
    <sheet name="4247  Ex 4189" sheetId="80" r:id="rId37"/>
    <sheet name="4248" sheetId="96" r:id="rId38"/>
  </sheets>
  <definedNames>
    <definedName name="_xlnm._FilterDatabase" localSheetId="0" hidden="1">'CORTE 4200'!$A$4:$O$853</definedName>
    <definedName name="_xlnm._FilterDatabase" localSheetId="2" hidden="1">'Ranking 42'!$S$1:$AI$192</definedName>
    <definedName name="Años_préstamo">#REF!</definedName>
    <definedName name="_xlnm.Print_Area" localSheetId="15">'4219   Ex 4166'!$M$26:$AA$32</definedName>
    <definedName name="_xlnm.Print_Area" localSheetId="1">'BASE DATOS'!$A$1:$M$98</definedName>
    <definedName name="_xlnm.Print_Area" localSheetId="0">'CORTE 4200'!$A$1:$O$854</definedName>
    <definedName name="_xlnm.Print_Area" localSheetId="2">'Ranking 42'!$S$2:$AI$145</definedName>
    <definedName name="Capital">#REF!</definedName>
    <definedName name="Datos">#REF!</definedName>
    <definedName name="Día_de_pago">DATE(YEAR(Inicio_prestamo),MONTH(Inicio_prestamo)+Payment_Number,DAY(Inicio_prestamo))</definedName>
    <definedName name="Fecha_de_pago">#REF!</definedName>
    <definedName name="Fila_de_encabezado">ROW(#REF!)</definedName>
    <definedName name="Importe_del_préstamo">#REF!</definedName>
    <definedName name="Impresión_completa">#REF!</definedName>
    <definedName name="Inicio_prestamo">#REF!</definedName>
    <definedName name="Int">#REF!</definedName>
    <definedName name="Int_acum">#REF!</definedName>
    <definedName name="Interés_total">#REF!</definedName>
    <definedName name="Núm_de_pago">#REF!</definedName>
    <definedName name="Núm_pagos_al_año">#REF!</definedName>
    <definedName name="Número_de_pagos">MATCH(0.01,Saldo_final,-1)+1</definedName>
    <definedName name="Pago_adicional">#REF!</definedName>
    <definedName name="Pago_mensual_programado">#REF!</definedName>
    <definedName name="Pago_progr">#REF!</definedName>
    <definedName name="Pago_total">#REF!</definedName>
    <definedName name="Pagos_adicionales_programados">#REF!</definedName>
    <definedName name="Restablecer_área_de_impresión">OFFSET(Impresión_completa,0,0,Última_fila)</definedName>
    <definedName name="Saldo_final">#REF!</definedName>
    <definedName name="Saldo_inicial">#REF!</definedName>
    <definedName name="Tasa_de_interés">#REF!</definedName>
    <definedName name="Tasa_de_interés_programada">#REF!</definedName>
    <definedName name="Última_fila">IF(Valores_especificados,Fila_de_encabezado+Número_de_pagos,Fila_de_encabezado)</definedName>
    <definedName name="Valores_especificados">IF(Importe_del_préstamo*Tasa_de_interés*Años_préstamo*Inicio_prestamo&gt;0,1,0)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20" l="1"/>
  <c r="E103" i="20"/>
  <c r="F103" i="20"/>
  <c r="G103" i="20"/>
  <c r="H103" i="20"/>
  <c r="C103" i="20"/>
  <c r="J102" i="20"/>
  <c r="D102" i="20"/>
  <c r="E102" i="20"/>
  <c r="F102" i="20"/>
  <c r="G102" i="20"/>
  <c r="H102" i="20"/>
  <c r="C102" i="20"/>
  <c r="D101" i="20"/>
  <c r="E101" i="20"/>
  <c r="F101" i="20"/>
  <c r="G101" i="20"/>
  <c r="H101" i="20"/>
  <c r="C101" i="20"/>
  <c r="J103" i="20" l="1"/>
  <c r="H137" i="10" l="1"/>
  <c r="O32" i="95"/>
  <c r="Z5" i="20" l="1"/>
  <c r="Z98" i="20" s="1"/>
  <c r="Z6" i="20"/>
  <c r="Z7" i="20"/>
  <c r="Z8" i="20"/>
  <c r="Z9" i="20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Z40" i="20"/>
  <c r="Z41" i="20"/>
  <c r="Z42" i="20"/>
  <c r="Z43" i="20"/>
  <c r="Z44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57" i="20"/>
  <c r="Z58" i="20"/>
  <c r="Z59" i="20"/>
  <c r="Z60" i="20"/>
  <c r="Z61" i="20"/>
  <c r="Z62" i="20"/>
  <c r="Z63" i="20"/>
  <c r="Z64" i="20"/>
  <c r="Z65" i="20"/>
  <c r="Z66" i="20"/>
  <c r="Z67" i="20"/>
  <c r="Z68" i="20"/>
  <c r="Z69" i="20"/>
  <c r="Z70" i="20"/>
  <c r="Z71" i="20"/>
  <c r="Z72" i="20"/>
  <c r="Z73" i="20"/>
  <c r="Z74" i="20"/>
  <c r="Z75" i="20"/>
  <c r="Z76" i="20"/>
  <c r="Z77" i="20"/>
  <c r="Z78" i="20"/>
  <c r="Z79" i="20"/>
  <c r="Z80" i="20"/>
  <c r="Z81" i="20"/>
  <c r="Z82" i="20"/>
  <c r="Z83" i="20"/>
  <c r="Z84" i="20"/>
  <c r="Z85" i="20"/>
  <c r="Z86" i="20"/>
  <c r="Z87" i="20"/>
  <c r="Z88" i="20"/>
  <c r="Z89" i="20"/>
  <c r="Z90" i="20"/>
  <c r="Z91" i="20"/>
  <c r="Z92" i="20"/>
  <c r="Z93" i="20"/>
  <c r="Z94" i="20"/>
  <c r="Z95" i="20"/>
  <c r="Z96" i="20"/>
  <c r="Z97" i="20"/>
  <c r="Z4" i="20"/>
  <c r="M407" i="10"/>
  <c r="L407" i="10"/>
  <c r="K407" i="10"/>
  <c r="J407" i="10"/>
  <c r="I407" i="10"/>
  <c r="H407" i="10"/>
  <c r="AK405" i="10"/>
  <c r="AK747" i="10"/>
  <c r="AK801" i="10"/>
  <c r="L47" i="10"/>
  <c r="AK702" i="10"/>
  <c r="AK666" i="10"/>
  <c r="AK693" i="10"/>
  <c r="H173" i="10"/>
  <c r="M173" i="10"/>
  <c r="L173" i="10"/>
  <c r="K173" i="10"/>
  <c r="J173" i="10"/>
  <c r="I173" i="10"/>
  <c r="AK171" i="10"/>
  <c r="M137" i="10"/>
  <c r="L137" i="10"/>
  <c r="K137" i="10"/>
  <c r="J137" i="10"/>
  <c r="I137" i="10"/>
  <c r="AK135" i="10"/>
  <c r="H46" i="10"/>
  <c r="AA148" i="33" s="1"/>
  <c r="I46" i="10"/>
  <c r="AB148" i="33" s="1"/>
  <c r="J46" i="10"/>
  <c r="AC148" i="33" s="1"/>
  <c r="K46" i="10"/>
  <c r="AD148" i="33" s="1"/>
  <c r="L46" i="10"/>
  <c r="AE148" i="33" s="1"/>
  <c r="M46" i="10"/>
  <c r="AF148" i="33" s="1"/>
  <c r="AM4" i="20"/>
  <c r="U192" i="33"/>
  <c r="V192" i="33"/>
  <c r="X192" i="33"/>
  <c r="Y192" i="33"/>
  <c r="Z192" i="33"/>
  <c r="AG192" i="33"/>
  <c r="U191" i="33"/>
  <c r="V191" i="33"/>
  <c r="X191" i="33"/>
  <c r="Y191" i="33"/>
  <c r="Z191" i="33"/>
  <c r="AG191" i="33"/>
  <c r="U190" i="33"/>
  <c r="V190" i="33"/>
  <c r="X190" i="33"/>
  <c r="Y190" i="33"/>
  <c r="Z190" i="33"/>
  <c r="AG190" i="33"/>
  <c r="U189" i="33"/>
  <c r="V189" i="33"/>
  <c r="X189" i="33"/>
  <c r="Y189" i="33"/>
  <c r="Z189" i="33"/>
  <c r="AG189" i="33"/>
  <c r="U188" i="33"/>
  <c r="V188" i="33"/>
  <c r="X188" i="33"/>
  <c r="Y188" i="33"/>
  <c r="Z188" i="33"/>
  <c r="AG188" i="33"/>
  <c r="U187" i="33"/>
  <c r="V187" i="33"/>
  <c r="X187" i="33"/>
  <c r="Y187" i="33"/>
  <c r="Z187" i="33"/>
  <c r="AG187" i="33"/>
  <c r="U186" i="33"/>
  <c r="V186" i="33"/>
  <c r="X186" i="33"/>
  <c r="Y186" i="33"/>
  <c r="Z186" i="33"/>
  <c r="AG186" i="33"/>
  <c r="U185" i="33"/>
  <c r="V185" i="33"/>
  <c r="X185" i="33"/>
  <c r="Y185" i="33"/>
  <c r="Z185" i="33"/>
  <c r="AG185" i="33"/>
  <c r="U124" i="33"/>
  <c r="V124" i="33"/>
  <c r="X124" i="33"/>
  <c r="Y124" i="33"/>
  <c r="Z124" i="33"/>
  <c r="AG124" i="33"/>
  <c r="U123" i="33"/>
  <c r="V123" i="33"/>
  <c r="X123" i="33"/>
  <c r="Y123" i="33"/>
  <c r="Z123" i="33"/>
  <c r="AG123" i="33"/>
  <c r="U94" i="33"/>
  <c r="V94" i="33"/>
  <c r="X94" i="33"/>
  <c r="Y94" i="33"/>
  <c r="Z94" i="33"/>
  <c r="AG94" i="33"/>
  <c r="U93" i="33"/>
  <c r="V93" i="33"/>
  <c r="X93" i="33"/>
  <c r="Y93" i="33"/>
  <c r="Z93" i="33"/>
  <c r="AG93" i="33"/>
  <c r="U99" i="33"/>
  <c r="V99" i="33"/>
  <c r="X99" i="33"/>
  <c r="Y99" i="33"/>
  <c r="Z99" i="33"/>
  <c r="AG99" i="33"/>
  <c r="U184" i="33"/>
  <c r="V184" i="33"/>
  <c r="X184" i="33"/>
  <c r="Y184" i="33"/>
  <c r="Z184" i="33"/>
  <c r="AG184" i="33"/>
  <c r="U183" i="33"/>
  <c r="V183" i="33"/>
  <c r="X183" i="33"/>
  <c r="Y183" i="33"/>
  <c r="Z183" i="33"/>
  <c r="AG183" i="33"/>
  <c r="U182" i="33"/>
  <c r="V182" i="33"/>
  <c r="X182" i="33"/>
  <c r="Y182" i="33"/>
  <c r="Z182" i="33"/>
  <c r="AG182" i="33"/>
  <c r="U181" i="33"/>
  <c r="V181" i="33"/>
  <c r="X181" i="33"/>
  <c r="Y181" i="33"/>
  <c r="Z181" i="33"/>
  <c r="AG181" i="33"/>
  <c r="U180" i="33"/>
  <c r="V180" i="33"/>
  <c r="X180" i="33"/>
  <c r="Y180" i="33"/>
  <c r="Z180" i="33"/>
  <c r="AG180" i="33"/>
  <c r="U115" i="33"/>
  <c r="V115" i="33"/>
  <c r="X115" i="33"/>
  <c r="Y115" i="33"/>
  <c r="Z115" i="33"/>
  <c r="AG115" i="33"/>
  <c r="U103" i="33"/>
  <c r="V103" i="33"/>
  <c r="X103" i="33"/>
  <c r="Y103" i="33"/>
  <c r="Z103" i="33"/>
  <c r="AG103" i="33"/>
  <c r="U179" i="33"/>
  <c r="V179" i="33"/>
  <c r="X179" i="33"/>
  <c r="Y179" i="33"/>
  <c r="Z179" i="33"/>
  <c r="AG179" i="33"/>
  <c r="U178" i="33"/>
  <c r="V178" i="33"/>
  <c r="X178" i="33"/>
  <c r="Y178" i="33"/>
  <c r="Z178" i="33"/>
  <c r="AG178" i="33"/>
  <c r="U64" i="33"/>
  <c r="V64" i="33"/>
  <c r="X64" i="33"/>
  <c r="Y64" i="33"/>
  <c r="Z64" i="33"/>
  <c r="AG64" i="33"/>
  <c r="U63" i="33"/>
  <c r="V63" i="33"/>
  <c r="X63" i="33"/>
  <c r="Y63" i="33"/>
  <c r="Z63" i="33"/>
  <c r="AG63" i="33"/>
  <c r="U50" i="33"/>
  <c r="V50" i="33"/>
  <c r="X50" i="33"/>
  <c r="Y50" i="33"/>
  <c r="Z50" i="33"/>
  <c r="AG50" i="33"/>
  <c r="U49" i="33"/>
  <c r="V49" i="33"/>
  <c r="X49" i="33"/>
  <c r="Y49" i="33"/>
  <c r="Z49" i="33"/>
  <c r="AG49" i="33"/>
  <c r="U48" i="33"/>
  <c r="V48" i="33"/>
  <c r="X48" i="33"/>
  <c r="Y48" i="33"/>
  <c r="Z48" i="33"/>
  <c r="AG48" i="33"/>
  <c r="U47" i="33"/>
  <c r="V47" i="33"/>
  <c r="X47" i="33"/>
  <c r="Y47" i="33"/>
  <c r="Z47" i="33"/>
  <c r="AG47" i="33"/>
  <c r="U46" i="33"/>
  <c r="V46" i="33"/>
  <c r="X46" i="33"/>
  <c r="Y46" i="33"/>
  <c r="Z46" i="33"/>
  <c r="AG46" i="33"/>
  <c r="U45" i="33"/>
  <c r="V45" i="33"/>
  <c r="X45" i="33"/>
  <c r="Y45" i="33"/>
  <c r="Z45" i="33"/>
  <c r="AG45" i="33"/>
  <c r="U177" i="33"/>
  <c r="V177" i="33"/>
  <c r="X177" i="33"/>
  <c r="Y177" i="33"/>
  <c r="Z177" i="33"/>
  <c r="AG177" i="33"/>
  <c r="U176" i="33"/>
  <c r="V176" i="33"/>
  <c r="X176" i="33"/>
  <c r="Y176" i="33"/>
  <c r="Z176" i="33"/>
  <c r="AG176" i="33"/>
  <c r="U175" i="33"/>
  <c r="V175" i="33"/>
  <c r="X175" i="33"/>
  <c r="Y175" i="33"/>
  <c r="Z175" i="33"/>
  <c r="AG175" i="33"/>
  <c r="U174" i="33"/>
  <c r="V174" i="33"/>
  <c r="X174" i="33"/>
  <c r="Y174" i="33"/>
  <c r="Z174" i="33"/>
  <c r="AG174" i="33"/>
  <c r="U173" i="33"/>
  <c r="V173" i="33"/>
  <c r="X173" i="33"/>
  <c r="Y173" i="33"/>
  <c r="Z173" i="33"/>
  <c r="AG173" i="33"/>
  <c r="U172" i="33"/>
  <c r="V172" i="33"/>
  <c r="X172" i="33"/>
  <c r="Y172" i="33"/>
  <c r="Z172" i="33"/>
  <c r="AG172" i="33"/>
  <c r="U171" i="33"/>
  <c r="V171" i="33"/>
  <c r="X171" i="33"/>
  <c r="Y171" i="33"/>
  <c r="Z171" i="33"/>
  <c r="AG171" i="33"/>
  <c r="U170" i="33"/>
  <c r="V170" i="33"/>
  <c r="X170" i="33"/>
  <c r="Y170" i="33"/>
  <c r="Z170" i="33"/>
  <c r="AG170" i="33"/>
  <c r="U169" i="33"/>
  <c r="V169" i="33"/>
  <c r="X169" i="33"/>
  <c r="Y169" i="33"/>
  <c r="Z169" i="33"/>
  <c r="AG169" i="33"/>
  <c r="U135" i="33"/>
  <c r="V135" i="33"/>
  <c r="X135" i="33"/>
  <c r="Y135" i="33"/>
  <c r="Z135" i="33"/>
  <c r="AG135" i="33"/>
  <c r="U143" i="33"/>
  <c r="V143" i="33"/>
  <c r="X143" i="33"/>
  <c r="Y143" i="33"/>
  <c r="Z143" i="33"/>
  <c r="AG143" i="33"/>
  <c r="U30" i="33"/>
  <c r="V30" i="33"/>
  <c r="X30" i="33"/>
  <c r="Y30" i="33"/>
  <c r="Z30" i="33"/>
  <c r="AG30" i="33"/>
  <c r="U29" i="33"/>
  <c r="V29" i="33"/>
  <c r="X29" i="33"/>
  <c r="Y29" i="33"/>
  <c r="Z29" i="33"/>
  <c r="AG29" i="33"/>
  <c r="U28" i="33"/>
  <c r="V28" i="33"/>
  <c r="X28" i="33"/>
  <c r="Y28" i="33"/>
  <c r="Z28" i="33"/>
  <c r="AG28" i="33"/>
  <c r="U71" i="33"/>
  <c r="V71" i="33"/>
  <c r="X71" i="33"/>
  <c r="Y71" i="33"/>
  <c r="Z71" i="33"/>
  <c r="AG71" i="33"/>
  <c r="U70" i="33"/>
  <c r="V70" i="33"/>
  <c r="X70" i="33"/>
  <c r="Y70" i="33"/>
  <c r="Z70" i="33"/>
  <c r="AG70" i="33"/>
  <c r="U130" i="33"/>
  <c r="V130" i="33"/>
  <c r="X130" i="33"/>
  <c r="Y130" i="33"/>
  <c r="Z130" i="33"/>
  <c r="AG130" i="33"/>
  <c r="U129" i="33"/>
  <c r="V129" i="33"/>
  <c r="X129" i="33"/>
  <c r="Y129" i="33"/>
  <c r="Z129" i="33"/>
  <c r="AG129" i="33"/>
  <c r="U168" i="33"/>
  <c r="V168" i="33"/>
  <c r="X168" i="33"/>
  <c r="Y168" i="33"/>
  <c r="Z168" i="33"/>
  <c r="AG168" i="33"/>
  <c r="U167" i="33"/>
  <c r="V167" i="33"/>
  <c r="X167" i="33"/>
  <c r="Y167" i="33"/>
  <c r="Z167" i="33"/>
  <c r="AG167" i="33"/>
  <c r="U166" i="33"/>
  <c r="V166" i="33"/>
  <c r="X166" i="33"/>
  <c r="Y166" i="33"/>
  <c r="Z166" i="33"/>
  <c r="AG166" i="33"/>
  <c r="U139" i="33"/>
  <c r="V139" i="33"/>
  <c r="X139" i="33"/>
  <c r="Y139" i="33"/>
  <c r="Z139" i="33"/>
  <c r="AG139" i="33"/>
  <c r="U87" i="33"/>
  <c r="V87" i="33"/>
  <c r="X87" i="33"/>
  <c r="Y87" i="33"/>
  <c r="Z87" i="33"/>
  <c r="AG87" i="33"/>
  <c r="U86" i="33"/>
  <c r="V86" i="33"/>
  <c r="X86" i="33"/>
  <c r="Y86" i="33"/>
  <c r="Z86" i="33"/>
  <c r="AG86" i="33"/>
  <c r="U85" i="33"/>
  <c r="V85" i="33"/>
  <c r="X85" i="33"/>
  <c r="Y85" i="33"/>
  <c r="Z85" i="33"/>
  <c r="AG85" i="33"/>
  <c r="U165" i="33"/>
  <c r="V165" i="33"/>
  <c r="X165" i="33"/>
  <c r="Y165" i="33"/>
  <c r="Z165" i="33"/>
  <c r="AG165" i="33"/>
  <c r="U164" i="33"/>
  <c r="V164" i="33"/>
  <c r="X164" i="33"/>
  <c r="Y164" i="33"/>
  <c r="Z164" i="33"/>
  <c r="AG164" i="33"/>
  <c r="U163" i="33"/>
  <c r="V163" i="33"/>
  <c r="X163" i="33"/>
  <c r="Y163" i="33"/>
  <c r="Z163" i="33"/>
  <c r="AG163" i="33"/>
  <c r="U162" i="33"/>
  <c r="V162" i="33"/>
  <c r="X162" i="33"/>
  <c r="Y162" i="33"/>
  <c r="Z162" i="33"/>
  <c r="AG162" i="33"/>
  <c r="U12" i="33"/>
  <c r="V12" i="33"/>
  <c r="X12" i="33"/>
  <c r="Y12" i="33"/>
  <c r="Z12" i="33"/>
  <c r="AG12" i="33"/>
  <c r="U11" i="33"/>
  <c r="V11" i="33"/>
  <c r="X11" i="33"/>
  <c r="Y11" i="33"/>
  <c r="Z11" i="33"/>
  <c r="AG11" i="33"/>
  <c r="U10" i="33"/>
  <c r="V10" i="33"/>
  <c r="X10" i="33"/>
  <c r="Y10" i="33"/>
  <c r="Z10" i="33"/>
  <c r="AG10" i="33"/>
  <c r="U161" i="33"/>
  <c r="V161" i="33"/>
  <c r="X161" i="33"/>
  <c r="Y161" i="33"/>
  <c r="Z161" i="33"/>
  <c r="AG161" i="33"/>
  <c r="U160" i="33"/>
  <c r="V160" i="33"/>
  <c r="X160" i="33"/>
  <c r="Y160" i="33"/>
  <c r="Z160" i="33"/>
  <c r="AG160" i="33"/>
  <c r="U21" i="33"/>
  <c r="V21" i="33"/>
  <c r="X21" i="33"/>
  <c r="Y21" i="33"/>
  <c r="Z21" i="33"/>
  <c r="AG21" i="33"/>
  <c r="U20" i="33"/>
  <c r="V20" i="33"/>
  <c r="X20" i="33"/>
  <c r="Y20" i="33"/>
  <c r="Z20" i="33"/>
  <c r="AG20" i="33"/>
  <c r="U19" i="33"/>
  <c r="V19" i="33"/>
  <c r="X19" i="33"/>
  <c r="Y19" i="33"/>
  <c r="Z19" i="33"/>
  <c r="AG19" i="33"/>
  <c r="U18" i="33"/>
  <c r="V18" i="33"/>
  <c r="X18" i="33"/>
  <c r="Y18" i="33"/>
  <c r="Z18" i="33"/>
  <c r="AG18" i="33"/>
  <c r="U109" i="33"/>
  <c r="V109" i="33"/>
  <c r="X109" i="33"/>
  <c r="Y109" i="33"/>
  <c r="Z109" i="33"/>
  <c r="AG109" i="33"/>
  <c r="U108" i="33"/>
  <c r="V108" i="33"/>
  <c r="X108" i="33"/>
  <c r="Y108" i="33"/>
  <c r="Z108" i="33"/>
  <c r="AG108" i="33"/>
  <c r="U107" i="33"/>
  <c r="V107" i="33"/>
  <c r="X107" i="33"/>
  <c r="Y107" i="33"/>
  <c r="Z107" i="33"/>
  <c r="AG107" i="33"/>
  <c r="U159" i="33"/>
  <c r="V159" i="33"/>
  <c r="X159" i="33"/>
  <c r="Y159" i="33"/>
  <c r="Z159" i="33"/>
  <c r="AG159" i="33"/>
  <c r="U158" i="33"/>
  <c r="V158" i="33"/>
  <c r="X158" i="33"/>
  <c r="Y158" i="33"/>
  <c r="Z158" i="33"/>
  <c r="AG158" i="33"/>
  <c r="U157" i="33"/>
  <c r="V157" i="33"/>
  <c r="X157" i="33"/>
  <c r="Y157" i="33"/>
  <c r="Z157" i="33"/>
  <c r="AG157" i="33"/>
  <c r="U156" i="33"/>
  <c r="V156" i="33"/>
  <c r="X156" i="33"/>
  <c r="Y156" i="33"/>
  <c r="Z156" i="33"/>
  <c r="AG156" i="33"/>
  <c r="U155" i="33"/>
  <c r="V155" i="33"/>
  <c r="X155" i="33"/>
  <c r="Y155" i="33"/>
  <c r="Z155" i="33"/>
  <c r="AG155" i="33"/>
  <c r="U119" i="33"/>
  <c r="V119" i="33"/>
  <c r="X119" i="33"/>
  <c r="Y119" i="33"/>
  <c r="Z119" i="33"/>
  <c r="AG119" i="33"/>
  <c r="U154" i="33"/>
  <c r="V154" i="33"/>
  <c r="X154" i="33"/>
  <c r="Y154" i="33"/>
  <c r="Z154" i="33"/>
  <c r="AG154" i="33"/>
  <c r="U153" i="33"/>
  <c r="V153" i="33"/>
  <c r="X153" i="33"/>
  <c r="Y153" i="33"/>
  <c r="Z153" i="33"/>
  <c r="AG153" i="33"/>
  <c r="U152" i="33"/>
  <c r="V152" i="33"/>
  <c r="X152" i="33"/>
  <c r="Y152" i="33"/>
  <c r="Z152" i="33"/>
  <c r="AG152" i="33"/>
  <c r="U151" i="33"/>
  <c r="V151" i="33"/>
  <c r="X151" i="33"/>
  <c r="Y151" i="33"/>
  <c r="Z151" i="33"/>
  <c r="AG151" i="33"/>
  <c r="U150" i="33"/>
  <c r="V150" i="33"/>
  <c r="X150" i="33"/>
  <c r="Y150" i="33"/>
  <c r="Z150" i="33"/>
  <c r="AG150" i="33"/>
  <c r="U38" i="33"/>
  <c r="V38" i="33"/>
  <c r="X38" i="33"/>
  <c r="Y38" i="33"/>
  <c r="Z38" i="33"/>
  <c r="AG38" i="33"/>
  <c r="U37" i="33"/>
  <c r="V37" i="33"/>
  <c r="X37" i="33"/>
  <c r="Y37" i="33"/>
  <c r="Z37" i="33"/>
  <c r="AG37" i="33"/>
  <c r="U36" i="33"/>
  <c r="V36" i="33"/>
  <c r="X36" i="33"/>
  <c r="Y36" i="33"/>
  <c r="Z36" i="33"/>
  <c r="AG36" i="33"/>
  <c r="U79" i="33"/>
  <c r="V79" i="33"/>
  <c r="X79" i="33"/>
  <c r="Y79" i="33"/>
  <c r="Z79" i="33"/>
  <c r="AG79" i="33"/>
  <c r="U78" i="33"/>
  <c r="V78" i="33"/>
  <c r="X78" i="33"/>
  <c r="Y78" i="33"/>
  <c r="Z78" i="33"/>
  <c r="AG78" i="33"/>
  <c r="U77" i="33"/>
  <c r="V77" i="33"/>
  <c r="X77" i="33"/>
  <c r="Y77" i="33"/>
  <c r="Z77" i="33"/>
  <c r="AG77" i="33"/>
  <c r="U149" i="33"/>
  <c r="V149" i="33"/>
  <c r="X149" i="33"/>
  <c r="Y149" i="33"/>
  <c r="Z149" i="33"/>
  <c r="AA149" i="33"/>
  <c r="AB149" i="33"/>
  <c r="AC149" i="33"/>
  <c r="AD149" i="33"/>
  <c r="AE149" i="33"/>
  <c r="AF149" i="33"/>
  <c r="AG149" i="33"/>
  <c r="U148" i="33"/>
  <c r="V148" i="33"/>
  <c r="X148" i="33"/>
  <c r="Y148" i="33"/>
  <c r="Z148" i="33"/>
  <c r="AG148" i="33"/>
  <c r="U59" i="33"/>
  <c r="V59" i="33"/>
  <c r="X59" i="33"/>
  <c r="Y59" i="33"/>
  <c r="Z59" i="33"/>
  <c r="AG59" i="33"/>
  <c r="U4" i="33"/>
  <c r="V4" i="33"/>
  <c r="W4" i="33"/>
  <c r="X4" i="33"/>
  <c r="Y4" i="33"/>
  <c r="Z4" i="33"/>
  <c r="AG4" i="33"/>
  <c r="U3" i="33"/>
  <c r="V3" i="33"/>
  <c r="W3" i="33"/>
  <c r="X3" i="33"/>
  <c r="Y3" i="33"/>
  <c r="Z3" i="33"/>
  <c r="AG3" i="33"/>
  <c r="U2" i="33"/>
  <c r="V2" i="33"/>
  <c r="W2" i="33"/>
  <c r="X2" i="33"/>
  <c r="Y2" i="33"/>
  <c r="Z2" i="33"/>
  <c r="AG2" i="33"/>
  <c r="B95" i="33" l="1"/>
  <c r="C95" i="33"/>
  <c r="D95" i="33"/>
  <c r="E95" i="33"/>
  <c r="G95" i="33"/>
  <c r="N95" i="33"/>
  <c r="B94" i="33"/>
  <c r="C94" i="33"/>
  <c r="D94" i="33"/>
  <c r="E94" i="33"/>
  <c r="G94" i="33"/>
  <c r="N94" i="33"/>
  <c r="B93" i="33"/>
  <c r="C93" i="33"/>
  <c r="D93" i="33"/>
  <c r="E93" i="33"/>
  <c r="G93" i="33"/>
  <c r="N93" i="33"/>
  <c r="B92" i="33"/>
  <c r="C92" i="33"/>
  <c r="D92" i="33"/>
  <c r="E92" i="33"/>
  <c r="G92" i="33"/>
  <c r="N92" i="33"/>
  <c r="B91" i="33"/>
  <c r="C91" i="33"/>
  <c r="D91" i="33"/>
  <c r="E91" i="33"/>
  <c r="G91" i="33"/>
  <c r="N91" i="33"/>
  <c r="B90" i="33"/>
  <c r="C90" i="33"/>
  <c r="D90" i="33"/>
  <c r="E90" i="33"/>
  <c r="G90" i="33"/>
  <c r="N90" i="33"/>
  <c r="B89" i="33"/>
  <c r="C89" i="33"/>
  <c r="D89" i="33"/>
  <c r="E89" i="33"/>
  <c r="G89" i="33"/>
  <c r="N89" i="33"/>
  <c r="B88" i="33"/>
  <c r="C88" i="33"/>
  <c r="D88" i="33"/>
  <c r="E88" i="33"/>
  <c r="G88" i="33"/>
  <c r="N88" i="33"/>
  <c r="B87" i="33"/>
  <c r="U127" i="33" s="1"/>
  <c r="C87" i="33"/>
  <c r="V127" i="33" s="1"/>
  <c r="D87" i="33"/>
  <c r="W127" i="33" s="1"/>
  <c r="E87" i="33"/>
  <c r="X127" i="33" s="1"/>
  <c r="G87" i="33"/>
  <c r="Z127" i="33" s="1"/>
  <c r="N87" i="33"/>
  <c r="AG127" i="33" s="1"/>
  <c r="B86" i="33"/>
  <c r="U126" i="33" s="1"/>
  <c r="C86" i="33"/>
  <c r="V126" i="33" s="1"/>
  <c r="D86" i="33"/>
  <c r="W126" i="33" s="1"/>
  <c r="E86" i="33"/>
  <c r="X126" i="33" s="1"/>
  <c r="G86" i="33"/>
  <c r="Z126" i="33" s="1"/>
  <c r="N86" i="33"/>
  <c r="AG126" i="33" s="1"/>
  <c r="B85" i="33"/>
  <c r="U97" i="33" s="1"/>
  <c r="C85" i="33"/>
  <c r="V97" i="33" s="1"/>
  <c r="D85" i="33"/>
  <c r="W97" i="33" s="1"/>
  <c r="E85" i="33"/>
  <c r="X97" i="33" s="1"/>
  <c r="G85" i="33"/>
  <c r="Z97" i="33" s="1"/>
  <c r="N85" i="33"/>
  <c r="AG97" i="33" s="1"/>
  <c r="B84" i="33"/>
  <c r="U96" i="33" s="1"/>
  <c r="C84" i="33"/>
  <c r="V96" i="33" s="1"/>
  <c r="D84" i="33"/>
  <c r="W96" i="33" s="1"/>
  <c r="E84" i="33"/>
  <c r="X96" i="33" s="1"/>
  <c r="G84" i="33"/>
  <c r="Z96" i="33" s="1"/>
  <c r="N84" i="33"/>
  <c r="AG96" i="33" s="1"/>
  <c r="B83" i="33"/>
  <c r="U101" i="33" s="1"/>
  <c r="C83" i="33"/>
  <c r="V101" i="33" s="1"/>
  <c r="D83" i="33"/>
  <c r="W101" i="33" s="1"/>
  <c r="E83" i="33"/>
  <c r="X101" i="33" s="1"/>
  <c r="G83" i="33"/>
  <c r="Z101" i="33" s="1"/>
  <c r="N83" i="33"/>
  <c r="AG101" i="33" s="1"/>
  <c r="B82" i="33"/>
  <c r="C82" i="33"/>
  <c r="D82" i="33"/>
  <c r="E82" i="33"/>
  <c r="G82" i="33"/>
  <c r="N82" i="33"/>
  <c r="B81" i="33"/>
  <c r="C81" i="33"/>
  <c r="D81" i="33"/>
  <c r="E81" i="33"/>
  <c r="G81" i="33"/>
  <c r="N81" i="33"/>
  <c r="B80" i="33"/>
  <c r="C80" i="33"/>
  <c r="D80" i="33"/>
  <c r="E80" i="33"/>
  <c r="G80" i="33"/>
  <c r="N80" i="33"/>
  <c r="B79" i="33"/>
  <c r="C79" i="33"/>
  <c r="D79" i="33"/>
  <c r="E79" i="33"/>
  <c r="G79" i="33"/>
  <c r="N79" i="33"/>
  <c r="B78" i="33"/>
  <c r="C78" i="33"/>
  <c r="D78" i="33"/>
  <c r="E78" i="33"/>
  <c r="G78" i="33"/>
  <c r="N78" i="33"/>
  <c r="B77" i="33"/>
  <c r="U117" i="33" s="1"/>
  <c r="C77" i="33"/>
  <c r="V117" i="33" s="1"/>
  <c r="D77" i="33"/>
  <c r="W117" i="33" s="1"/>
  <c r="E77" i="33"/>
  <c r="X117" i="33" s="1"/>
  <c r="G77" i="33"/>
  <c r="Z117" i="33" s="1"/>
  <c r="N77" i="33"/>
  <c r="AG117" i="33" s="1"/>
  <c r="B76" i="33"/>
  <c r="U105" i="33" s="1"/>
  <c r="C76" i="33"/>
  <c r="V105" i="33" s="1"/>
  <c r="D76" i="33"/>
  <c r="W105" i="33" s="1"/>
  <c r="E76" i="33"/>
  <c r="X105" i="33" s="1"/>
  <c r="G76" i="33"/>
  <c r="Z105" i="33" s="1"/>
  <c r="N76" i="33"/>
  <c r="AG105" i="33" s="1"/>
  <c r="B75" i="33"/>
  <c r="C75" i="33"/>
  <c r="D75" i="33"/>
  <c r="E75" i="33"/>
  <c r="G75" i="33"/>
  <c r="N75" i="33"/>
  <c r="B74" i="33"/>
  <c r="C74" i="33"/>
  <c r="D74" i="33"/>
  <c r="E74" i="33"/>
  <c r="G74" i="33"/>
  <c r="N74" i="33"/>
  <c r="B73" i="33"/>
  <c r="U67" i="33" s="1"/>
  <c r="C73" i="33"/>
  <c r="V67" i="33" s="1"/>
  <c r="D73" i="33"/>
  <c r="W67" i="33" s="1"/>
  <c r="E73" i="33"/>
  <c r="X67" i="33" s="1"/>
  <c r="G73" i="33"/>
  <c r="Z67" i="33" s="1"/>
  <c r="N73" i="33"/>
  <c r="AG67" i="33" s="1"/>
  <c r="B72" i="33"/>
  <c r="U66" i="33" s="1"/>
  <c r="C72" i="33"/>
  <c r="V66" i="33" s="1"/>
  <c r="D72" i="33"/>
  <c r="W66" i="33" s="1"/>
  <c r="E72" i="33"/>
  <c r="X66" i="33" s="1"/>
  <c r="G72" i="33"/>
  <c r="Z66" i="33" s="1"/>
  <c r="N72" i="33"/>
  <c r="AG66" i="33" s="1"/>
  <c r="B71" i="33"/>
  <c r="U57" i="33" s="1"/>
  <c r="C71" i="33"/>
  <c r="V57" i="33" s="1"/>
  <c r="D71" i="33"/>
  <c r="W57" i="33" s="1"/>
  <c r="E71" i="33"/>
  <c r="X57" i="33" s="1"/>
  <c r="G71" i="33"/>
  <c r="Z57" i="33" s="1"/>
  <c r="N71" i="33"/>
  <c r="AG57" i="33" s="1"/>
  <c r="B70" i="33"/>
  <c r="U56" i="33" s="1"/>
  <c r="C70" i="33"/>
  <c r="V56" i="33" s="1"/>
  <c r="D70" i="33"/>
  <c r="W56" i="33" s="1"/>
  <c r="E70" i="33"/>
  <c r="X56" i="33" s="1"/>
  <c r="G70" i="33"/>
  <c r="Z56" i="33" s="1"/>
  <c r="N70" i="33"/>
  <c r="AG56" i="33" s="1"/>
  <c r="B69" i="33"/>
  <c r="U55" i="33" s="1"/>
  <c r="C69" i="33"/>
  <c r="V55" i="33" s="1"/>
  <c r="D69" i="33"/>
  <c r="W55" i="33" s="1"/>
  <c r="E69" i="33"/>
  <c r="X55" i="33" s="1"/>
  <c r="G69" i="33"/>
  <c r="Z55" i="33" s="1"/>
  <c r="N69" i="33"/>
  <c r="AG55" i="33" s="1"/>
  <c r="B68" i="33"/>
  <c r="U54" i="33" s="1"/>
  <c r="C68" i="33"/>
  <c r="V54" i="33" s="1"/>
  <c r="D68" i="33"/>
  <c r="W54" i="33" s="1"/>
  <c r="E68" i="33"/>
  <c r="X54" i="33" s="1"/>
  <c r="G68" i="33"/>
  <c r="Z54" i="33" s="1"/>
  <c r="N68" i="33"/>
  <c r="AG54" i="33" s="1"/>
  <c r="B67" i="33"/>
  <c r="U53" i="33" s="1"/>
  <c r="C67" i="33"/>
  <c r="V53" i="33" s="1"/>
  <c r="D67" i="33"/>
  <c r="W53" i="33" s="1"/>
  <c r="E67" i="33"/>
  <c r="X53" i="33" s="1"/>
  <c r="G67" i="33"/>
  <c r="Z53" i="33" s="1"/>
  <c r="N67" i="33"/>
  <c r="AG53" i="33" s="1"/>
  <c r="B66" i="33"/>
  <c r="U52" i="33" s="1"/>
  <c r="C66" i="33"/>
  <c r="V52" i="33" s="1"/>
  <c r="D66" i="33"/>
  <c r="W52" i="33" s="1"/>
  <c r="E66" i="33"/>
  <c r="X52" i="33" s="1"/>
  <c r="G66" i="33"/>
  <c r="Z52" i="33" s="1"/>
  <c r="N66" i="33"/>
  <c r="AG52" i="33" s="1"/>
  <c r="B65" i="33"/>
  <c r="C65" i="33"/>
  <c r="D65" i="33"/>
  <c r="E65" i="33"/>
  <c r="G65" i="33"/>
  <c r="N65" i="33"/>
  <c r="B64" i="33"/>
  <c r="C64" i="33"/>
  <c r="D64" i="33"/>
  <c r="E64" i="33"/>
  <c r="G64" i="33"/>
  <c r="N64" i="33"/>
  <c r="B63" i="33"/>
  <c r="C63" i="33"/>
  <c r="D63" i="33"/>
  <c r="E63" i="33"/>
  <c r="G63" i="33"/>
  <c r="N63" i="33"/>
  <c r="B62" i="33"/>
  <c r="C62" i="33"/>
  <c r="D62" i="33"/>
  <c r="E62" i="33"/>
  <c r="G62" i="33"/>
  <c r="N62" i="33"/>
  <c r="B61" i="33"/>
  <c r="C61" i="33"/>
  <c r="D61" i="33"/>
  <c r="E61" i="33"/>
  <c r="G61" i="33"/>
  <c r="N61" i="33"/>
  <c r="B60" i="33"/>
  <c r="C60" i="33"/>
  <c r="D60" i="33"/>
  <c r="E60" i="33"/>
  <c r="G60" i="33"/>
  <c r="N60" i="33"/>
  <c r="B59" i="33"/>
  <c r="C59" i="33"/>
  <c r="D59" i="33"/>
  <c r="E59" i="33"/>
  <c r="G59" i="33"/>
  <c r="N59" i="33"/>
  <c r="B58" i="33"/>
  <c r="C58" i="33"/>
  <c r="D58" i="33"/>
  <c r="E58" i="33"/>
  <c r="G58" i="33"/>
  <c r="N58" i="33"/>
  <c r="B57" i="33"/>
  <c r="C57" i="33"/>
  <c r="D57" i="33"/>
  <c r="E57" i="33"/>
  <c r="G57" i="33"/>
  <c r="N57" i="33"/>
  <c r="B56" i="33"/>
  <c r="U137" i="33" s="1"/>
  <c r="C56" i="33"/>
  <c r="V137" i="33" s="1"/>
  <c r="D56" i="33"/>
  <c r="W137" i="33" s="1"/>
  <c r="E56" i="33"/>
  <c r="X137" i="33" s="1"/>
  <c r="G56" i="33"/>
  <c r="Z137" i="33" s="1"/>
  <c r="N56" i="33"/>
  <c r="AG137" i="33" s="1"/>
  <c r="B55" i="33"/>
  <c r="U145" i="33" s="1"/>
  <c r="C55" i="33"/>
  <c r="V145" i="33" s="1"/>
  <c r="D55" i="33"/>
  <c r="W145" i="33" s="1"/>
  <c r="E55" i="33"/>
  <c r="X145" i="33" s="1"/>
  <c r="G55" i="33"/>
  <c r="Z145" i="33" s="1"/>
  <c r="N55" i="33"/>
  <c r="AG145" i="33" s="1"/>
  <c r="B54" i="33"/>
  <c r="U34" i="33" s="1"/>
  <c r="C54" i="33"/>
  <c r="V34" i="33" s="1"/>
  <c r="D54" i="33"/>
  <c r="W34" i="33" s="1"/>
  <c r="E54" i="33"/>
  <c r="X34" i="33" s="1"/>
  <c r="G54" i="33"/>
  <c r="Z34" i="33" s="1"/>
  <c r="N54" i="33"/>
  <c r="AG34" i="33" s="1"/>
  <c r="B53" i="33"/>
  <c r="U33" i="33" s="1"/>
  <c r="C53" i="33"/>
  <c r="V33" i="33" s="1"/>
  <c r="D53" i="33"/>
  <c r="W33" i="33" s="1"/>
  <c r="E53" i="33"/>
  <c r="X33" i="33" s="1"/>
  <c r="G53" i="33"/>
  <c r="Z33" i="33" s="1"/>
  <c r="N53" i="33"/>
  <c r="AG33" i="33" s="1"/>
  <c r="B52" i="33"/>
  <c r="U32" i="33" s="1"/>
  <c r="C52" i="33"/>
  <c r="V32" i="33" s="1"/>
  <c r="D52" i="33"/>
  <c r="W32" i="33" s="1"/>
  <c r="E52" i="33"/>
  <c r="X32" i="33" s="1"/>
  <c r="G52" i="33"/>
  <c r="Z32" i="33" s="1"/>
  <c r="N52" i="33"/>
  <c r="AG32" i="33" s="1"/>
  <c r="B51" i="33"/>
  <c r="U74" i="33" s="1"/>
  <c r="C51" i="33"/>
  <c r="V74" i="33" s="1"/>
  <c r="D51" i="33"/>
  <c r="W74" i="33" s="1"/>
  <c r="E51" i="33"/>
  <c r="X74" i="33" s="1"/>
  <c r="G51" i="33"/>
  <c r="Z74" i="33" s="1"/>
  <c r="N51" i="33"/>
  <c r="AG74" i="33" s="1"/>
  <c r="B50" i="33"/>
  <c r="U73" i="33" s="1"/>
  <c r="C50" i="33"/>
  <c r="V73" i="33" s="1"/>
  <c r="D50" i="33"/>
  <c r="W73" i="33" s="1"/>
  <c r="E50" i="33"/>
  <c r="X73" i="33" s="1"/>
  <c r="G50" i="33"/>
  <c r="Z73" i="33" s="1"/>
  <c r="N50" i="33"/>
  <c r="AG73" i="33" s="1"/>
  <c r="B49" i="33"/>
  <c r="U133" i="33" s="1"/>
  <c r="C49" i="33"/>
  <c r="V133" i="33" s="1"/>
  <c r="D49" i="33"/>
  <c r="W133" i="33" s="1"/>
  <c r="E49" i="33"/>
  <c r="X133" i="33" s="1"/>
  <c r="G49" i="33"/>
  <c r="Z133" i="33" s="1"/>
  <c r="N49" i="33"/>
  <c r="AG133" i="33" s="1"/>
  <c r="B48" i="33"/>
  <c r="U132" i="33" s="1"/>
  <c r="C48" i="33"/>
  <c r="V132" i="33" s="1"/>
  <c r="D48" i="33"/>
  <c r="W132" i="33" s="1"/>
  <c r="E48" i="33"/>
  <c r="X132" i="33" s="1"/>
  <c r="G48" i="33"/>
  <c r="Z132" i="33" s="1"/>
  <c r="N48" i="33"/>
  <c r="AG132" i="33" s="1"/>
  <c r="B47" i="33"/>
  <c r="C47" i="33"/>
  <c r="D47" i="33"/>
  <c r="E47" i="33"/>
  <c r="G47" i="33"/>
  <c r="N47" i="33"/>
  <c r="B46" i="33"/>
  <c r="C46" i="33"/>
  <c r="D46" i="33"/>
  <c r="E46" i="33"/>
  <c r="G46" i="33"/>
  <c r="N46" i="33"/>
  <c r="B45" i="33"/>
  <c r="C45" i="33"/>
  <c r="D45" i="33"/>
  <c r="E45" i="33"/>
  <c r="G45" i="33"/>
  <c r="N45" i="33"/>
  <c r="B44" i="33"/>
  <c r="U141" i="33" s="1"/>
  <c r="C44" i="33"/>
  <c r="V141" i="33" s="1"/>
  <c r="D44" i="33"/>
  <c r="W141" i="33" s="1"/>
  <c r="E44" i="33"/>
  <c r="X141" i="33" s="1"/>
  <c r="G44" i="33"/>
  <c r="Z141" i="33" s="1"/>
  <c r="N44" i="33"/>
  <c r="AG141" i="33" s="1"/>
  <c r="B43" i="33"/>
  <c r="U91" i="33" s="1"/>
  <c r="C43" i="33"/>
  <c r="V91" i="33" s="1"/>
  <c r="D43" i="33"/>
  <c r="W91" i="33" s="1"/>
  <c r="E43" i="33"/>
  <c r="X91" i="33" s="1"/>
  <c r="G43" i="33"/>
  <c r="Z91" i="33" s="1"/>
  <c r="N43" i="33"/>
  <c r="AG91" i="33" s="1"/>
  <c r="B42" i="33"/>
  <c r="U90" i="33" s="1"/>
  <c r="C42" i="33"/>
  <c r="V90" i="33" s="1"/>
  <c r="D42" i="33"/>
  <c r="W90" i="33" s="1"/>
  <c r="E42" i="33"/>
  <c r="X90" i="33" s="1"/>
  <c r="G42" i="33"/>
  <c r="Z90" i="33" s="1"/>
  <c r="N42" i="33"/>
  <c r="AG90" i="33" s="1"/>
  <c r="B41" i="33"/>
  <c r="U89" i="33" s="1"/>
  <c r="C41" i="33"/>
  <c r="V89" i="33" s="1"/>
  <c r="D41" i="33"/>
  <c r="W89" i="33" s="1"/>
  <c r="E41" i="33"/>
  <c r="X89" i="33" s="1"/>
  <c r="G41" i="33"/>
  <c r="Z89" i="33" s="1"/>
  <c r="N41" i="33"/>
  <c r="AG89" i="33" s="1"/>
  <c r="B40" i="33"/>
  <c r="C40" i="33"/>
  <c r="D40" i="33"/>
  <c r="E40" i="33"/>
  <c r="N40" i="33"/>
  <c r="B39" i="33"/>
  <c r="C39" i="33"/>
  <c r="D39" i="33"/>
  <c r="E39" i="33"/>
  <c r="N39" i="33"/>
  <c r="B38" i="33"/>
  <c r="C38" i="33"/>
  <c r="D38" i="33"/>
  <c r="E38" i="33"/>
  <c r="N38" i="33"/>
  <c r="B37" i="33"/>
  <c r="C37" i="33"/>
  <c r="D37" i="33"/>
  <c r="E37" i="33"/>
  <c r="N37" i="33"/>
  <c r="B36" i="33"/>
  <c r="U16" i="33" s="1"/>
  <c r="C36" i="33"/>
  <c r="V16" i="33" s="1"/>
  <c r="D36" i="33"/>
  <c r="W16" i="33" s="1"/>
  <c r="E36" i="33"/>
  <c r="X16" i="33" s="1"/>
  <c r="G36" i="33"/>
  <c r="Z16" i="33" s="1"/>
  <c r="N36" i="33"/>
  <c r="AG16" i="33" s="1"/>
  <c r="B35" i="33"/>
  <c r="U15" i="33" s="1"/>
  <c r="C35" i="33"/>
  <c r="V15" i="33" s="1"/>
  <c r="D35" i="33"/>
  <c r="W15" i="33" s="1"/>
  <c r="E35" i="33"/>
  <c r="X15" i="33" s="1"/>
  <c r="G35" i="33"/>
  <c r="Z15" i="33" s="1"/>
  <c r="N35" i="33"/>
  <c r="AG15" i="33" s="1"/>
  <c r="B34" i="33"/>
  <c r="U14" i="33" s="1"/>
  <c r="C34" i="33"/>
  <c r="V14" i="33" s="1"/>
  <c r="D34" i="33"/>
  <c r="W14" i="33" s="1"/>
  <c r="E34" i="33"/>
  <c r="X14" i="33" s="1"/>
  <c r="G34" i="33"/>
  <c r="Z14" i="33" s="1"/>
  <c r="N34" i="33"/>
  <c r="AG14" i="33" s="1"/>
  <c r="B33" i="33"/>
  <c r="C33" i="33"/>
  <c r="D33" i="33"/>
  <c r="E33" i="33"/>
  <c r="G33" i="33"/>
  <c r="N33" i="33"/>
  <c r="B32" i="33"/>
  <c r="C32" i="33"/>
  <c r="D32" i="33"/>
  <c r="E32" i="33"/>
  <c r="G32" i="33"/>
  <c r="N32" i="33"/>
  <c r="B31" i="33"/>
  <c r="U26" i="33" s="1"/>
  <c r="C31" i="33"/>
  <c r="V26" i="33" s="1"/>
  <c r="D31" i="33"/>
  <c r="W26" i="33" s="1"/>
  <c r="E31" i="33"/>
  <c r="X26" i="33" s="1"/>
  <c r="G31" i="33"/>
  <c r="Z26" i="33" s="1"/>
  <c r="N31" i="33"/>
  <c r="AG26" i="33" s="1"/>
  <c r="B30" i="33"/>
  <c r="U25" i="33" s="1"/>
  <c r="C30" i="33"/>
  <c r="V25" i="33" s="1"/>
  <c r="D30" i="33"/>
  <c r="W25" i="33" s="1"/>
  <c r="E30" i="33"/>
  <c r="X25" i="33" s="1"/>
  <c r="G30" i="33"/>
  <c r="Z25" i="33" s="1"/>
  <c r="N30" i="33"/>
  <c r="AG25" i="33" s="1"/>
  <c r="B29" i="33"/>
  <c r="U24" i="33" s="1"/>
  <c r="C29" i="33"/>
  <c r="V24" i="33" s="1"/>
  <c r="D29" i="33"/>
  <c r="W24" i="33" s="1"/>
  <c r="E29" i="33"/>
  <c r="X24" i="33" s="1"/>
  <c r="G29" i="33"/>
  <c r="Z24" i="33" s="1"/>
  <c r="N29" i="33"/>
  <c r="AG24" i="33" s="1"/>
  <c r="B28" i="33"/>
  <c r="U23" i="33" s="1"/>
  <c r="C28" i="33"/>
  <c r="V23" i="33" s="1"/>
  <c r="D28" i="33"/>
  <c r="W23" i="33" s="1"/>
  <c r="E28" i="33"/>
  <c r="X23" i="33" s="1"/>
  <c r="G28" i="33"/>
  <c r="Z23" i="33" s="1"/>
  <c r="N28" i="33"/>
  <c r="AG23" i="33" s="1"/>
  <c r="B27" i="33"/>
  <c r="U113" i="33" s="1"/>
  <c r="C27" i="33"/>
  <c r="V113" i="33" s="1"/>
  <c r="D27" i="33"/>
  <c r="W113" i="33" s="1"/>
  <c r="E27" i="33"/>
  <c r="X113" i="33" s="1"/>
  <c r="G27" i="33"/>
  <c r="Z113" i="33" s="1"/>
  <c r="N27" i="33"/>
  <c r="AG113" i="33" s="1"/>
  <c r="B26" i="33"/>
  <c r="U112" i="33" s="1"/>
  <c r="C26" i="33"/>
  <c r="V112" i="33" s="1"/>
  <c r="D26" i="33"/>
  <c r="W112" i="33" s="1"/>
  <c r="E26" i="33"/>
  <c r="X112" i="33" s="1"/>
  <c r="G26" i="33"/>
  <c r="Z112" i="33" s="1"/>
  <c r="N26" i="33"/>
  <c r="AG112" i="33" s="1"/>
  <c r="B25" i="33"/>
  <c r="U111" i="33" s="1"/>
  <c r="C25" i="33"/>
  <c r="V111" i="33" s="1"/>
  <c r="D25" i="33"/>
  <c r="W111" i="33" s="1"/>
  <c r="E25" i="33"/>
  <c r="X111" i="33" s="1"/>
  <c r="G25" i="33"/>
  <c r="Z111" i="33" s="1"/>
  <c r="N25" i="33"/>
  <c r="AG111" i="33" s="1"/>
  <c r="B24" i="33"/>
  <c r="C24" i="33"/>
  <c r="D24" i="33"/>
  <c r="E24" i="33"/>
  <c r="G24" i="33"/>
  <c r="N24" i="33"/>
  <c r="B23" i="33"/>
  <c r="C23" i="33"/>
  <c r="D23" i="33"/>
  <c r="E23" i="33"/>
  <c r="G23" i="33"/>
  <c r="N23" i="33"/>
  <c r="B22" i="33"/>
  <c r="C22" i="33"/>
  <c r="D22" i="33"/>
  <c r="E22" i="33"/>
  <c r="G22" i="33"/>
  <c r="N22" i="33"/>
  <c r="B21" i="33"/>
  <c r="C21" i="33"/>
  <c r="D21" i="33"/>
  <c r="E21" i="33"/>
  <c r="G21" i="33"/>
  <c r="N21" i="33"/>
  <c r="B20" i="33"/>
  <c r="C20" i="33"/>
  <c r="D20" i="33"/>
  <c r="E20" i="33"/>
  <c r="G20" i="33"/>
  <c r="N20" i="33"/>
  <c r="B19" i="33"/>
  <c r="U121" i="33" s="1"/>
  <c r="C19" i="33"/>
  <c r="V121" i="33" s="1"/>
  <c r="D19" i="33"/>
  <c r="W121" i="33" s="1"/>
  <c r="E19" i="33"/>
  <c r="X121" i="33" s="1"/>
  <c r="G19" i="33"/>
  <c r="Z121" i="33" s="1"/>
  <c r="N19" i="33"/>
  <c r="AG121" i="33" s="1"/>
  <c r="B18" i="33"/>
  <c r="C18" i="33"/>
  <c r="D18" i="33"/>
  <c r="E18" i="33"/>
  <c r="G18" i="33"/>
  <c r="N18" i="33"/>
  <c r="B17" i="33"/>
  <c r="C17" i="33"/>
  <c r="D17" i="33"/>
  <c r="E17" i="33"/>
  <c r="G17" i="33"/>
  <c r="N17" i="33"/>
  <c r="B16" i="33"/>
  <c r="C16" i="33"/>
  <c r="D16" i="33"/>
  <c r="E16" i="33"/>
  <c r="G16" i="33"/>
  <c r="N16" i="33"/>
  <c r="B15" i="33"/>
  <c r="C15" i="33"/>
  <c r="D15" i="33"/>
  <c r="E15" i="33"/>
  <c r="G15" i="33"/>
  <c r="N15" i="33"/>
  <c r="B14" i="33"/>
  <c r="C14" i="33"/>
  <c r="D14" i="33"/>
  <c r="E14" i="33"/>
  <c r="G14" i="33"/>
  <c r="N14" i="33"/>
  <c r="B13" i="33"/>
  <c r="U42" i="33" s="1"/>
  <c r="C13" i="33"/>
  <c r="V42" i="33" s="1"/>
  <c r="D13" i="33"/>
  <c r="W42" i="33" s="1"/>
  <c r="E13" i="33"/>
  <c r="X42" i="33" s="1"/>
  <c r="G13" i="33"/>
  <c r="Z42" i="33" s="1"/>
  <c r="N13" i="33"/>
  <c r="AG42" i="33" s="1"/>
  <c r="B12" i="33"/>
  <c r="U41" i="33" s="1"/>
  <c r="C12" i="33"/>
  <c r="V41" i="33" s="1"/>
  <c r="D12" i="33"/>
  <c r="W41" i="33" s="1"/>
  <c r="E12" i="33"/>
  <c r="X41" i="33" s="1"/>
  <c r="G12" i="33"/>
  <c r="Z41" i="33" s="1"/>
  <c r="N12" i="33"/>
  <c r="AG41" i="33" s="1"/>
  <c r="B11" i="33"/>
  <c r="U40" i="33" s="1"/>
  <c r="C11" i="33"/>
  <c r="V40" i="33" s="1"/>
  <c r="D11" i="33"/>
  <c r="W40" i="33" s="1"/>
  <c r="E11" i="33"/>
  <c r="X40" i="33" s="1"/>
  <c r="G11" i="33"/>
  <c r="Z40" i="33" s="1"/>
  <c r="N11" i="33"/>
  <c r="AG40" i="33" s="1"/>
  <c r="B10" i="33"/>
  <c r="U83" i="33" s="1"/>
  <c r="C10" i="33"/>
  <c r="V83" i="33" s="1"/>
  <c r="D10" i="33"/>
  <c r="W83" i="33" s="1"/>
  <c r="E10" i="33"/>
  <c r="X83" i="33" s="1"/>
  <c r="G10" i="33"/>
  <c r="Z83" i="33" s="1"/>
  <c r="N10" i="33"/>
  <c r="AG83" i="33" s="1"/>
  <c r="B9" i="33"/>
  <c r="U82" i="33" s="1"/>
  <c r="C9" i="33"/>
  <c r="V82" i="33" s="1"/>
  <c r="D9" i="33"/>
  <c r="W82" i="33" s="1"/>
  <c r="E9" i="33"/>
  <c r="X82" i="33" s="1"/>
  <c r="G9" i="33"/>
  <c r="Z82" i="33" s="1"/>
  <c r="N9" i="33"/>
  <c r="AG82" i="33" s="1"/>
  <c r="B8" i="33"/>
  <c r="U81" i="33" s="1"/>
  <c r="C8" i="33"/>
  <c r="V81" i="33" s="1"/>
  <c r="D8" i="33"/>
  <c r="W81" i="33" s="1"/>
  <c r="E8" i="33"/>
  <c r="X81" i="33" s="1"/>
  <c r="G8" i="33"/>
  <c r="Z81" i="33" s="1"/>
  <c r="N8" i="33"/>
  <c r="AG81" i="33" s="1"/>
  <c r="B7" i="33"/>
  <c r="C7" i="33"/>
  <c r="D7" i="33"/>
  <c r="E7" i="33"/>
  <c r="G7" i="33"/>
  <c r="N7" i="33"/>
  <c r="B6" i="33"/>
  <c r="C6" i="33"/>
  <c r="D6" i="33"/>
  <c r="E6" i="33"/>
  <c r="G6" i="33"/>
  <c r="N6" i="33"/>
  <c r="B5" i="33"/>
  <c r="U61" i="33" s="1"/>
  <c r="C5" i="33"/>
  <c r="V61" i="33" s="1"/>
  <c r="D5" i="33"/>
  <c r="W61" i="33" s="1"/>
  <c r="E5" i="33"/>
  <c r="X61" i="33" s="1"/>
  <c r="G5" i="33"/>
  <c r="Z61" i="33" s="1"/>
  <c r="N5" i="33"/>
  <c r="AG61" i="33" s="1"/>
  <c r="B4" i="33"/>
  <c r="U8" i="33" s="1"/>
  <c r="C4" i="33"/>
  <c r="V8" i="33" s="1"/>
  <c r="D4" i="33"/>
  <c r="W8" i="33" s="1"/>
  <c r="E4" i="33"/>
  <c r="X8" i="33" s="1"/>
  <c r="G4" i="33"/>
  <c r="Z8" i="33" s="1"/>
  <c r="N4" i="33"/>
  <c r="AG8" i="33" s="1"/>
  <c r="B3" i="33"/>
  <c r="U7" i="33" s="1"/>
  <c r="C3" i="33"/>
  <c r="V7" i="33" s="1"/>
  <c r="D3" i="33"/>
  <c r="W7" i="33" s="1"/>
  <c r="E3" i="33"/>
  <c r="X7" i="33" s="1"/>
  <c r="G3" i="33"/>
  <c r="Z7" i="33" s="1"/>
  <c r="N3" i="33"/>
  <c r="AG7" i="33" s="1"/>
  <c r="B2" i="33"/>
  <c r="U6" i="33" s="1"/>
  <c r="C2" i="33"/>
  <c r="V6" i="33" s="1"/>
  <c r="D2" i="33"/>
  <c r="W6" i="33" s="1"/>
  <c r="E2" i="33"/>
  <c r="X6" i="33" s="1"/>
  <c r="G2" i="33"/>
  <c r="Z6" i="33" s="1"/>
  <c r="N2" i="33"/>
  <c r="AG6" i="33" s="1"/>
  <c r="AQ19" i="74"/>
  <c r="AQ12" i="74"/>
  <c r="AQ5" i="74"/>
  <c r="H93" i="10"/>
  <c r="AQ22" i="74" l="1"/>
  <c r="AM5" i="20"/>
  <c r="AM6" i="20"/>
  <c r="AM7" i="20"/>
  <c r="AM8" i="20"/>
  <c r="AM9" i="20"/>
  <c r="AM10" i="20"/>
  <c r="AM11" i="20"/>
  <c r="AM12" i="20"/>
  <c r="AM13" i="20"/>
  <c r="AM14" i="20"/>
  <c r="AM15" i="20"/>
  <c r="AM16" i="20"/>
  <c r="AM17" i="20"/>
  <c r="AM18" i="20"/>
  <c r="AM19" i="20"/>
  <c r="AM20" i="20"/>
  <c r="AM21" i="20"/>
  <c r="AM22" i="20"/>
  <c r="AM23" i="20"/>
  <c r="AM24" i="20"/>
  <c r="AM25" i="20"/>
  <c r="AM26" i="20"/>
  <c r="AM27" i="20"/>
  <c r="AM28" i="20"/>
  <c r="AM29" i="20"/>
  <c r="AM30" i="20"/>
  <c r="AM31" i="20"/>
  <c r="AM32" i="20"/>
  <c r="AM33" i="20"/>
  <c r="AM34" i="20"/>
  <c r="AM35" i="20"/>
  <c r="AM36" i="20"/>
  <c r="AM37" i="20"/>
  <c r="AM38" i="20"/>
  <c r="AM39" i="20"/>
  <c r="AM40" i="20"/>
  <c r="AM41" i="20"/>
  <c r="AM42" i="20"/>
  <c r="AM43" i="20"/>
  <c r="AM44" i="20"/>
  <c r="AM45" i="20"/>
  <c r="AM46" i="20"/>
  <c r="AM47" i="20"/>
  <c r="AM48" i="20"/>
  <c r="AM49" i="20"/>
  <c r="AM50" i="20"/>
  <c r="AM51" i="20"/>
  <c r="AM52" i="20"/>
  <c r="AM53" i="20"/>
  <c r="AM54" i="20"/>
  <c r="AM55" i="20"/>
  <c r="AM56" i="20"/>
  <c r="AM57" i="20"/>
  <c r="AM58" i="20"/>
  <c r="AM59" i="20"/>
  <c r="AM60" i="20"/>
  <c r="AM61" i="20"/>
  <c r="AM62" i="20"/>
  <c r="AM63" i="20"/>
  <c r="AM64" i="20"/>
  <c r="AM65" i="20"/>
  <c r="AM66" i="20"/>
  <c r="AM67" i="20"/>
  <c r="AM68" i="20"/>
  <c r="AM69" i="20"/>
  <c r="AM70" i="20"/>
  <c r="AM71" i="20"/>
  <c r="AM72" i="20"/>
  <c r="AM73" i="20"/>
  <c r="AM74" i="20"/>
  <c r="AM75" i="20"/>
  <c r="AM76" i="20"/>
  <c r="AM77" i="20"/>
  <c r="AM78" i="20"/>
  <c r="AM79" i="20"/>
  <c r="AM80" i="20"/>
  <c r="AM81" i="20"/>
  <c r="AM82" i="20"/>
  <c r="AM83" i="20"/>
  <c r="AM84" i="20"/>
  <c r="AM85" i="20"/>
  <c r="AM86" i="20"/>
  <c r="AM87" i="20"/>
  <c r="AM88" i="20"/>
  <c r="AM89" i="20"/>
  <c r="AM90" i="20"/>
  <c r="AM91" i="20"/>
  <c r="AM92" i="20"/>
  <c r="AM93" i="20"/>
  <c r="AM94" i="20"/>
  <c r="AM95" i="20"/>
  <c r="AM96" i="20"/>
  <c r="AM97" i="20"/>
  <c r="J100" i="10"/>
  <c r="AC37" i="33" s="1"/>
  <c r="M444" i="10"/>
  <c r="L444" i="10"/>
  <c r="K444" i="10"/>
  <c r="J444" i="10"/>
  <c r="I444" i="10"/>
  <c r="H444" i="10"/>
  <c r="O4" i="98"/>
  <c r="A4" i="98"/>
  <c r="A5" i="98" s="1"/>
  <c r="O3" i="98"/>
  <c r="D3" i="98"/>
  <c r="A3" i="98"/>
  <c r="A52" i="67"/>
  <c r="A51" i="67"/>
  <c r="O50" i="67"/>
  <c r="A50" i="67"/>
  <c r="I100" i="10"/>
  <c r="AB37" i="33" s="1"/>
  <c r="AK595" i="10"/>
  <c r="AM98" i="20" l="1"/>
  <c r="AK387" i="10"/>
  <c r="M93" i="10"/>
  <c r="L93" i="10"/>
  <c r="K93" i="10"/>
  <c r="J93" i="10"/>
  <c r="I93" i="10"/>
  <c r="AK90" i="10"/>
  <c r="M47" i="10"/>
  <c r="K47" i="10"/>
  <c r="J47" i="10"/>
  <c r="I47" i="10"/>
  <c r="H47" i="10"/>
  <c r="AK45" i="10"/>
  <c r="O16" i="66"/>
  <c r="D14" i="66"/>
  <c r="A14" i="66"/>
  <c r="A15" i="66" s="1"/>
  <c r="A16" i="66" s="1"/>
  <c r="A17" i="66" s="1"/>
  <c r="O44" i="67"/>
  <c r="O41" i="67"/>
  <c r="A41" i="67"/>
  <c r="A42" i="67" s="1"/>
  <c r="A43" i="67" s="1"/>
  <c r="A40" i="67"/>
  <c r="O33" i="67"/>
  <c r="A32" i="67"/>
  <c r="A33" i="67" s="1"/>
  <c r="A34" i="67" s="1"/>
  <c r="A31" i="67"/>
  <c r="M24" i="67"/>
  <c r="L24" i="67"/>
  <c r="O24" i="67" s="1"/>
  <c r="K24" i="67"/>
  <c r="J24" i="67"/>
  <c r="I24" i="67"/>
  <c r="H24" i="67"/>
  <c r="A22" i="67"/>
  <c r="A23" i="67" s="1"/>
  <c r="A24" i="67" s="1"/>
  <c r="A25" i="67" s="1"/>
  <c r="L642" i="10" l="1"/>
  <c r="J642" i="10"/>
  <c r="AZ97" i="20" l="1"/>
  <c r="AZ5" i="20"/>
  <c r="AZ6" i="20"/>
  <c r="AZ7" i="20"/>
  <c r="AZ99" i="20"/>
  <c r="AZ8" i="20"/>
  <c r="AZ9" i="20"/>
  <c r="AZ10" i="20"/>
  <c r="AZ11" i="20"/>
  <c r="AZ12" i="20"/>
  <c r="AZ13" i="20"/>
  <c r="AZ14" i="20"/>
  <c r="AZ15" i="20"/>
  <c r="AZ16" i="20"/>
  <c r="AZ17" i="20"/>
  <c r="AZ18" i="20"/>
  <c r="AZ19" i="20"/>
  <c r="AZ20" i="20"/>
  <c r="AZ21" i="20"/>
  <c r="AZ22" i="20"/>
  <c r="AZ23" i="20"/>
  <c r="AZ24" i="20"/>
  <c r="AZ25" i="20"/>
  <c r="AZ26" i="20"/>
  <c r="AZ27" i="20"/>
  <c r="AZ28" i="20"/>
  <c r="AZ29" i="20"/>
  <c r="AZ30" i="20"/>
  <c r="AZ31" i="20"/>
  <c r="AZ32" i="20"/>
  <c r="AZ33" i="20"/>
  <c r="AZ34" i="20"/>
  <c r="AZ35" i="20"/>
  <c r="AZ36" i="20"/>
  <c r="AZ37" i="20"/>
  <c r="AZ38" i="20"/>
  <c r="AZ39" i="20"/>
  <c r="AZ40" i="20"/>
  <c r="AZ41" i="20"/>
  <c r="AZ42" i="20"/>
  <c r="AZ43" i="20"/>
  <c r="AZ44" i="20"/>
  <c r="AZ45" i="20"/>
  <c r="AZ46" i="20"/>
  <c r="AZ47" i="20"/>
  <c r="AZ48" i="20"/>
  <c r="AZ49" i="20"/>
  <c r="AZ50" i="20"/>
  <c r="AZ51" i="20"/>
  <c r="AZ52" i="20"/>
  <c r="AZ53" i="20"/>
  <c r="AZ54" i="20"/>
  <c r="AZ55" i="20"/>
  <c r="AZ56" i="20"/>
  <c r="AZ57" i="20"/>
  <c r="AZ58" i="20"/>
  <c r="AZ59" i="20"/>
  <c r="AZ60" i="20"/>
  <c r="AZ61" i="20"/>
  <c r="AZ63" i="20"/>
  <c r="AZ64" i="20"/>
  <c r="AZ65" i="20"/>
  <c r="AZ66" i="20"/>
  <c r="AZ67" i="20"/>
  <c r="AZ68" i="20"/>
  <c r="AZ69" i="20"/>
  <c r="AZ70" i="20"/>
  <c r="AZ71" i="20"/>
  <c r="AZ72" i="20"/>
  <c r="AZ73" i="20"/>
  <c r="AZ74" i="20"/>
  <c r="AZ75" i="20"/>
  <c r="AZ76" i="20"/>
  <c r="AZ77" i="20"/>
  <c r="AZ78" i="20"/>
  <c r="AZ79" i="20"/>
  <c r="AZ80" i="20"/>
  <c r="AZ81" i="20"/>
  <c r="AZ82" i="20"/>
  <c r="AZ83" i="20"/>
  <c r="AZ84" i="20"/>
  <c r="AZ85" i="20"/>
  <c r="AZ86" i="20"/>
  <c r="AZ87" i="20"/>
  <c r="AZ88" i="20"/>
  <c r="AZ89" i="20"/>
  <c r="AZ90" i="20"/>
  <c r="AZ91" i="20"/>
  <c r="AZ100" i="20"/>
  <c r="AZ92" i="20"/>
  <c r="AZ93" i="20"/>
  <c r="AZ94" i="20"/>
  <c r="AZ95" i="20"/>
  <c r="AZ96" i="20"/>
  <c r="AZ4" i="20"/>
  <c r="J100" i="20"/>
  <c r="AZ98" i="20" l="1"/>
  <c r="M363" i="10"/>
  <c r="L363" i="10"/>
  <c r="K363" i="10"/>
  <c r="J363" i="10"/>
  <c r="I363" i="10"/>
  <c r="H363" i="10"/>
  <c r="I847" i="10"/>
  <c r="J847" i="10"/>
  <c r="K847" i="10"/>
  <c r="L847" i="10"/>
  <c r="M847" i="10"/>
  <c r="H847" i="10"/>
  <c r="A847" i="10"/>
  <c r="F853" i="10"/>
  <c r="F95" i="33" s="1"/>
  <c r="O852" i="10"/>
  <c r="O851" i="10"/>
  <c r="O850" i="10"/>
  <c r="O849" i="10"/>
  <c r="O848" i="10"/>
  <c r="D847" i="10"/>
  <c r="W192" i="33" s="1"/>
  <c r="BM6" i="20"/>
  <c r="BM7" i="20"/>
  <c r="BM8" i="20"/>
  <c r="BM9" i="20"/>
  <c r="BM10" i="20"/>
  <c r="BM11" i="20"/>
  <c r="BM12" i="20"/>
  <c r="BM13" i="20"/>
  <c r="BM14" i="20"/>
  <c r="BM15" i="20"/>
  <c r="BM16" i="20"/>
  <c r="BM17" i="20"/>
  <c r="BM18" i="20"/>
  <c r="BM19" i="20"/>
  <c r="BM20" i="20"/>
  <c r="BM21" i="20"/>
  <c r="BM22" i="20"/>
  <c r="BM23" i="20"/>
  <c r="BM24" i="20"/>
  <c r="BM25" i="20"/>
  <c r="BM26" i="20"/>
  <c r="BM27" i="20"/>
  <c r="BM28" i="20"/>
  <c r="BM29" i="20"/>
  <c r="BM30" i="20"/>
  <c r="BM31" i="20"/>
  <c r="BM32" i="20"/>
  <c r="BM33" i="20"/>
  <c r="BM34" i="20"/>
  <c r="BM35" i="20"/>
  <c r="BM36" i="20"/>
  <c r="BM37" i="20"/>
  <c r="BM38" i="20"/>
  <c r="BM39" i="20"/>
  <c r="BM40" i="20"/>
  <c r="BM41" i="20"/>
  <c r="BM42" i="20"/>
  <c r="BM43" i="20"/>
  <c r="BM44" i="20"/>
  <c r="BM45" i="20"/>
  <c r="BM46" i="20"/>
  <c r="BM47" i="20"/>
  <c r="BM48" i="20"/>
  <c r="BM49" i="20"/>
  <c r="BM50" i="20"/>
  <c r="BM51" i="20"/>
  <c r="BM52" i="20"/>
  <c r="BM53" i="20"/>
  <c r="BM54" i="20"/>
  <c r="BM55" i="20"/>
  <c r="BM56" i="20"/>
  <c r="BM57" i="20"/>
  <c r="BM58" i="20"/>
  <c r="BM59" i="20"/>
  <c r="BM60" i="20"/>
  <c r="BM61" i="20"/>
  <c r="BM62" i="20"/>
  <c r="BM63" i="20"/>
  <c r="BM64" i="20"/>
  <c r="BM65" i="20"/>
  <c r="BM66" i="20"/>
  <c r="BM67" i="20"/>
  <c r="BM68" i="20"/>
  <c r="BM69" i="20"/>
  <c r="BM70" i="20"/>
  <c r="BM71" i="20"/>
  <c r="BM72" i="20"/>
  <c r="BM73" i="20"/>
  <c r="BM74" i="20"/>
  <c r="BM75" i="20"/>
  <c r="BM76" i="20"/>
  <c r="BM77" i="20"/>
  <c r="BM78" i="20"/>
  <c r="BM79" i="20"/>
  <c r="BM80" i="20"/>
  <c r="BM81" i="20"/>
  <c r="BM82" i="20"/>
  <c r="BM83" i="20"/>
  <c r="BM84" i="20"/>
  <c r="BM85" i="20"/>
  <c r="BM86" i="20"/>
  <c r="BM87" i="20"/>
  <c r="BM88" i="20"/>
  <c r="BM89" i="20"/>
  <c r="BM90" i="20"/>
  <c r="BM91" i="20"/>
  <c r="BM92" i="20"/>
  <c r="BM93" i="20"/>
  <c r="BM94" i="20"/>
  <c r="BM95" i="20"/>
  <c r="BM96" i="20"/>
  <c r="BM97" i="20"/>
  <c r="M642" i="10"/>
  <c r="K642" i="10"/>
  <c r="I642" i="10"/>
  <c r="H642" i="10"/>
  <c r="AK642" i="10"/>
  <c r="L853" i="10" l="1"/>
  <c r="L95" i="33" s="1"/>
  <c r="AE192" i="33"/>
  <c r="I853" i="10"/>
  <c r="I95" i="33" s="1"/>
  <c r="AB192" i="33"/>
  <c r="K853" i="10"/>
  <c r="K95" i="33" s="1"/>
  <c r="AD192" i="33"/>
  <c r="M853" i="10"/>
  <c r="M95" i="33" s="1"/>
  <c r="AF192" i="33"/>
  <c r="J853" i="10"/>
  <c r="J95" i="33" s="1"/>
  <c r="AC192" i="33"/>
  <c r="H853" i="10"/>
  <c r="H95" i="33" s="1"/>
  <c r="AA192" i="33"/>
  <c r="A848" i="10"/>
  <c r="A849" i="10" s="1"/>
  <c r="A850" i="10" s="1"/>
  <c r="A851" i="10" s="1"/>
  <c r="A852" i="10" s="1"/>
  <c r="A853" i="10" s="1"/>
  <c r="A95" i="33" s="1"/>
  <c r="T192" i="33"/>
  <c r="O847" i="10"/>
  <c r="AH192" i="33" s="1"/>
  <c r="BM98" i="20"/>
  <c r="O853" i="10" l="1"/>
  <c r="O95" i="33" s="1"/>
  <c r="AA30" i="74"/>
  <c r="Y29" i="74"/>
  <c r="X29" i="74"/>
  <c r="W29" i="74"/>
  <c r="V29" i="74"/>
  <c r="U29" i="74"/>
  <c r="T29" i="74"/>
  <c r="P29" i="74"/>
  <c r="M29" i="74"/>
  <c r="M30" i="74" s="1"/>
  <c r="M31" i="74" s="1"/>
  <c r="AA20" i="74"/>
  <c r="AA19" i="74"/>
  <c r="Y18" i="74"/>
  <c r="X18" i="74"/>
  <c r="W18" i="74"/>
  <c r="V18" i="74"/>
  <c r="U18" i="74"/>
  <c r="T18" i="74"/>
  <c r="P18" i="74"/>
  <c r="M18" i="74"/>
  <c r="M19" i="74" s="1"/>
  <c r="M20" i="74" s="1"/>
  <c r="AA13" i="74"/>
  <c r="AA12" i="74"/>
  <c r="Y11" i="74"/>
  <c r="X11" i="74"/>
  <c r="W11" i="74"/>
  <c r="V11" i="74"/>
  <c r="U11" i="74"/>
  <c r="T11" i="74"/>
  <c r="P11" i="74"/>
  <c r="M11" i="74"/>
  <c r="M12" i="74" s="1"/>
  <c r="M13" i="74" s="1"/>
  <c r="AA6" i="74"/>
  <c r="AA5" i="74"/>
  <c r="AA4" i="74"/>
  <c r="P4" i="74"/>
  <c r="M4" i="74"/>
  <c r="M5" i="74" s="1"/>
  <c r="M6" i="74" s="1"/>
  <c r="H11" i="10"/>
  <c r="I11" i="10"/>
  <c r="J11" i="10"/>
  <c r="K11" i="10"/>
  <c r="L11" i="10"/>
  <c r="M11" i="10"/>
  <c r="H12" i="10"/>
  <c r="I12" i="10"/>
  <c r="J12" i="10"/>
  <c r="K12" i="10"/>
  <c r="L12" i="10"/>
  <c r="M12" i="10"/>
  <c r="AD12" i="10"/>
  <c r="O42" i="69"/>
  <c r="A42" i="69"/>
  <c r="A43" i="69" s="1"/>
  <c r="A44" i="69" s="1"/>
  <c r="D41" i="69"/>
  <c r="A41" i="69"/>
  <c r="O35" i="69"/>
  <c r="D33" i="69"/>
  <c r="A33" i="69"/>
  <c r="A34" i="69" s="1"/>
  <c r="A35" i="69" s="1"/>
  <c r="A36" i="69" s="1"/>
  <c r="D25" i="69"/>
  <c r="A25" i="69"/>
  <c r="A26" i="69" s="1"/>
  <c r="A27" i="69" s="1"/>
  <c r="A28" i="69" s="1"/>
  <c r="O17" i="80"/>
  <c r="BZ5" i="20"/>
  <c r="BZ6" i="20"/>
  <c r="BZ7" i="20"/>
  <c r="BZ100" i="20"/>
  <c r="BZ8" i="20"/>
  <c r="BZ9" i="20"/>
  <c r="BZ10" i="20"/>
  <c r="BZ11" i="20"/>
  <c r="BZ12" i="20"/>
  <c r="BZ13" i="20"/>
  <c r="BZ14" i="20"/>
  <c r="BZ15" i="20"/>
  <c r="BZ16" i="20"/>
  <c r="BZ17" i="20"/>
  <c r="BZ18" i="20"/>
  <c r="BZ19" i="20"/>
  <c r="BZ20" i="20"/>
  <c r="BZ21" i="20"/>
  <c r="BZ22" i="20"/>
  <c r="BZ23" i="20"/>
  <c r="BZ24" i="20"/>
  <c r="BZ25" i="20"/>
  <c r="BZ26" i="20"/>
  <c r="BZ27" i="20"/>
  <c r="BZ28" i="20"/>
  <c r="BZ29" i="20"/>
  <c r="BZ30" i="20"/>
  <c r="BZ31" i="20"/>
  <c r="BZ32" i="20"/>
  <c r="BZ33" i="20"/>
  <c r="BZ34" i="20"/>
  <c r="BZ35" i="20"/>
  <c r="BZ36" i="20"/>
  <c r="BZ37" i="20"/>
  <c r="BZ38" i="20"/>
  <c r="BZ39" i="20"/>
  <c r="BZ40" i="20"/>
  <c r="BZ41" i="20"/>
  <c r="BZ42" i="20"/>
  <c r="BZ43" i="20"/>
  <c r="BZ44" i="20"/>
  <c r="BZ45" i="20"/>
  <c r="BZ46" i="20"/>
  <c r="BZ47" i="20"/>
  <c r="BZ48" i="20"/>
  <c r="BZ49" i="20"/>
  <c r="BZ50" i="20"/>
  <c r="BZ51" i="20"/>
  <c r="BZ52" i="20"/>
  <c r="BZ53" i="20"/>
  <c r="BZ54" i="20"/>
  <c r="BZ55" i="20"/>
  <c r="BZ56" i="20"/>
  <c r="BZ57" i="20"/>
  <c r="BZ58" i="20"/>
  <c r="BZ59" i="20"/>
  <c r="BZ60" i="20"/>
  <c r="BZ61" i="20"/>
  <c r="BZ63" i="20"/>
  <c r="BZ64" i="20"/>
  <c r="BZ65" i="20"/>
  <c r="BZ66" i="20"/>
  <c r="BZ67" i="20"/>
  <c r="BZ69" i="20"/>
  <c r="BZ70" i="20"/>
  <c r="BZ71" i="20"/>
  <c r="BZ72" i="20"/>
  <c r="BZ73" i="20"/>
  <c r="BZ74" i="20"/>
  <c r="BZ75" i="20"/>
  <c r="BZ76" i="20"/>
  <c r="BZ77" i="20"/>
  <c r="BZ78" i="20"/>
  <c r="BZ79" i="20"/>
  <c r="BZ80" i="20"/>
  <c r="BZ81" i="20"/>
  <c r="BZ82" i="20"/>
  <c r="BZ83" i="20"/>
  <c r="BZ84" i="20"/>
  <c r="BZ85" i="20"/>
  <c r="BZ86" i="20"/>
  <c r="BZ87" i="20"/>
  <c r="BZ88" i="20"/>
  <c r="BZ89" i="20"/>
  <c r="BZ90" i="20"/>
  <c r="BZ91" i="20"/>
  <c r="BZ101" i="20"/>
  <c r="BZ92" i="20"/>
  <c r="BZ93" i="20"/>
  <c r="BZ94" i="20"/>
  <c r="BZ95" i="20"/>
  <c r="BZ96" i="20"/>
  <c r="BZ97" i="20"/>
  <c r="BZ4" i="20"/>
  <c r="O27" i="84"/>
  <c r="O46" i="84"/>
  <c r="D45" i="84"/>
  <c r="A45" i="84"/>
  <c r="A46" i="84" s="1"/>
  <c r="A47" i="84" s="1"/>
  <c r="D38" i="84"/>
  <c r="A38" i="84"/>
  <c r="O33" i="84"/>
  <c r="D31" i="84"/>
  <c r="A31" i="84"/>
  <c r="A32" i="84" s="1"/>
  <c r="A33" i="84" s="1"/>
  <c r="A34" i="84" s="1"/>
  <c r="D26" i="84"/>
  <c r="A26" i="84"/>
  <c r="A27" i="84" s="1"/>
  <c r="A28" i="84" s="1"/>
  <c r="A6" i="97"/>
  <c r="O5" i="97"/>
  <c r="A5" i="97"/>
  <c r="D4" i="97"/>
  <c r="A4" i="97"/>
  <c r="AK69" i="10"/>
  <c r="H66" i="10"/>
  <c r="L66" i="10"/>
  <c r="M66" i="10"/>
  <c r="K66" i="10"/>
  <c r="I66" i="10"/>
  <c r="J66" i="10"/>
  <c r="AK63" i="10"/>
  <c r="K97" i="20" l="1"/>
  <c r="AA29" i="74"/>
  <c r="AA18" i="74"/>
  <c r="AA11" i="74"/>
  <c r="O27" i="69"/>
  <c r="O41" i="69"/>
  <c r="BZ98" i="20"/>
  <c r="BZ103" i="20" s="1"/>
  <c r="O48" i="84"/>
  <c r="O45" i="69" l="1"/>
  <c r="AK360" i="10"/>
  <c r="O15" i="96"/>
  <c r="O13" i="96"/>
  <c r="A13" i="96"/>
  <c r="A14" i="96" s="1"/>
  <c r="D12" i="96"/>
  <c r="A12" i="96"/>
  <c r="A5" i="96"/>
  <c r="M4" i="96"/>
  <c r="L4" i="96"/>
  <c r="K4" i="96"/>
  <c r="J4" i="96"/>
  <c r="I4" i="96"/>
  <c r="H4" i="96"/>
  <c r="O4" i="96" s="1"/>
  <c r="A4" i="96"/>
  <c r="D3" i="96"/>
  <c r="A3" i="96"/>
  <c r="O15" i="94"/>
  <c r="O13" i="94"/>
  <c r="A13" i="94"/>
  <c r="A14" i="94" s="1"/>
  <c r="D12" i="94"/>
  <c r="A12" i="94"/>
  <c r="M4" i="94"/>
  <c r="L4" i="94"/>
  <c r="K4" i="94"/>
  <c r="J4" i="94"/>
  <c r="I4" i="94"/>
  <c r="H4" i="94"/>
  <c r="O4" i="94" s="1"/>
  <c r="A4" i="94"/>
  <c r="A5" i="94" s="1"/>
  <c r="D3" i="94"/>
  <c r="A3" i="94"/>
  <c r="O16" i="93"/>
  <c r="O13" i="93"/>
  <c r="D12" i="93"/>
  <c r="A12" i="93"/>
  <c r="A13" i="93" s="1"/>
  <c r="A14" i="93" s="1"/>
  <c r="A15" i="93" s="1"/>
  <c r="M4" i="93"/>
  <c r="L4" i="93"/>
  <c r="K4" i="93"/>
  <c r="J4" i="93"/>
  <c r="I4" i="93"/>
  <c r="H4" i="93"/>
  <c r="O4" i="93" s="1"/>
  <c r="A4" i="93"/>
  <c r="A5" i="93" s="1"/>
  <c r="A6" i="93" s="1"/>
  <c r="D3" i="93"/>
  <c r="A3" i="93"/>
  <c r="AP536" i="10"/>
  <c r="AQ536" i="10" s="1"/>
  <c r="AP535" i="10"/>
  <c r="AQ535" i="10" s="1"/>
  <c r="AP534" i="10"/>
  <c r="AQ534" i="10" s="1"/>
  <c r="AP533" i="10"/>
  <c r="AQ533" i="10" s="1"/>
  <c r="AP532" i="10"/>
  <c r="AQ532" i="10" s="1"/>
  <c r="AK36" i="10" l="1"/>
  <c r="AQ537" i="10"/>
  <c r="O12" i="93"/>
  <c r="AK532" i="10"/>
  <c r="O11" i="89"/>
  <c r="O10" i="89"/>
  <c r="D10" i="89"/>
  <c r="A10" i="89"/>
  <c r="A11" i="89" s="1"/>
  <c r="A12" i="89" s="1"/>
  <c r="I10" i="79"/>
  <c r="J10" i="79"/>
  <c r="K10" i="79"/>
  <c r="L10" i="79"/>
  <c r="M10" i="79"/>
  <c r="H10" i="79"/>
  <c r="F10" i="79"/>
  <c r="O6" i="79"/>
  <c r="O5" i="79"/>
  <c r="A5" i="79"/>
  <c r="A6" i="79" s="1"/>
  <c r="A7" i="79" s="1"/>
  <c r="A8" i="79" s="1"/>
  <c r="A9" i="79" s="1"/>
  <c r="A10" i="79" s="1"/>
  <c r="O4" i="79"/>
  <c r="D4" i="79"/>
  <c r="A4" i="79"/>
  <c r="AO533" i="10" l="1"/>
  <c r="AO536" i="10"/>
  <c r="AO532" i="10"/>
  <c r="AO534" i="10"/>
  <c r="AO535" i="10"/>
  <c r="O10" i="79"/>
  <c r="O14" i="83" l="1"/>
  <c r="O13" i="83"/>
  <c r="A13" i="83"/>
  <c r="A14" i="83" s="1"/>
  <c r="O12" i="83"/>
  <c r="D12" i="83"/>
  <c r="A12" i="83"/>
  <c r="CM4" i="20"/>
  <c r="CM5" i="20"/>
  <c r="CM6" i="20"/>
  <c r="CM7" i="20"/>
  <c r="CM8" i="20"/>
  <c r="CM9" i="20"/>
  <c r="CM10" i="20"/>
  <c r="CM11" i="20"/>
  <c r="CM12" i="20"/>
  <c r="CM13" i="20"/>
  <c r="CM14" i="20"/>
  <c r="CM15" i="20"/>
  <c r="CM16" i="20"/>
  <c r="CM17" i="20"/>
  <c r="CM18" i="20"/>
  <c r="CM19" i="20"/>
  <c r="CM20" i="20"/>
  <c r="CM21" i="20"/>
  <c r="CM22" i="20"/>
  <c r="CM23" i="20"/>
  <c r="CM24" i="20"/>
  <c r="CM25" i="20"/>
  <c r="CM26" i="20"/>
  <c r="CM27" i="20"/>
  <c r="CM28" i="20"/>
  <c r="CM29" i="20"/>
  <c r="CM30" i="20"/>
  <c r="CM31" i="20"/>
  <c r="CM32" i="20"/>
  <c r="CM33" i="20"/>
  <c r="CM34" i="20"/>
  <c r="CM35" i="20"/>
  <c r="CM36" i="20"/>
  <c r="CM37" i="20"/>
  <c r="CM38" i="20"/>
  <c r="CM39" i="20"/>
  <c r="CM40" i="20"/>
  <c r="CM41" i="20"/>
  <c r="CM42" i="20"/>
  <c r="CM43" i="20"/>
  <c r="CM44" i="20"/>
  <c r="CM45" i="20"/>
  <c r="CM46" i="20"/>
  <c r="CM47" i="20"/>
  <c r="CM48" i="20"/>
  <c r="CM49" i="20"/>
  <c r="CM50" i="20"/>
  <c r="CM51" i="20"/>
  <c r="CM52" i="20"/>
  <c r="CM53" i="20"/>
  <c r="CM54" i="20"/>
  <c r="CM55" i="20"/>
  <c r="CM56" i="20"/>
  <c r="CM57" i="20"/>
  <c r="CM58" i="20"/>
  <c r="CM59" i="20"/>
  <c r="CM60" i="20"/>
  <c r="CM61" i="20"/>
  <c r="CM62" i="20"/>
  <c r="CM63" i="20"/>
  <c r="CM64" i="20"/>
  <c r="CM65" i="20"/>
  <c r="CM66" i="20"/>
  <c r="CM67" i="20"/>
  <c r="CM68" i="20"/>
  <c r="CM69" i="20"/>
  <c r="CM70" i="20"/>
  <c r="CM71" i="20"/>
  <c r="CM72" i="20"/>
  <c r="CM73" i="20"/>
  <c r="CM74" i="20"/>
  <c r="CM75" i="20"/>
  <c r="CM76" i="20"/>
  <c r="CM77" i="20"/>
  <c r="CM78" i="20"/>
  <c r="CM79" i="20"/>
  <c r="CM80" i="20"/>
  <c r="CM81" i="20"/>
  <c r="CM82" i="20"/>
  <c r="CM83" i="20"/>
  <c r="CM84" i="20"/>
  <c r="CM85" i="20"/>
  <c r="CM86" i="20"/>
  <c r="CM87" i="20"/>
  <c r="CM88" i="20"/>
  <c r="CM89" i="20"/>
  <c r="CM90" i="20"/>
  <c r="CM91" i="20"/>
  <c r="CM92" i="20"/>
  <c r="CM93" i="20"/>
  <c r="CM94" i="20"/>
  <c r="CM95" i="20"/>
  <c r="CM96" i="20"/>
  <c r="CM97" i="20"/>
  <c r="M300" i="10"/>
  <c r="J300" i="10"/>
  <c r="I300" i="10"/>
  <c r="M767" i="10"/>
  <c r="L767" i="10"/>
  <c r="K767" i="10"/>
  <c r="J767" i="10"/>
  <c r="I767" i="10"/>
  <c r="H767" i="10"/>
  <c r="O29" i="92"/>
  <c r="D28" i="92"/>
  <c r="A28" i="92"/>
  <c r="A29" i="92" s="1"/>
  <c r="A30" i="92" s="1"/>
  <c r="O23" i="92"/>
  <c r="D22" i="92"/>
  <c r="A22" i="92"/>
  <c r="A23" i="92" s="1"/>
  <c r="A24" i="92" s="1"/>
  <c r="O17" i="92"/>
  <c r="D16" i="92"/>
  <c r="A16" i="92"/>
  <c r="A17" i="92" s="1"/>
  <c r="A18" i="92" s="1"/>
  <c r="O11" i="92"/>
  <c r="D10" i="92"/>
  <c r="A10" i="92"/>
  <c r="A11" i="92" s="1"/>
  <c r="A12" i="92" s="1"/>
  <c r="O5" i="92"/>
  <c r="D4" i="92"/>
  <c r="A4" i="92"/>
  <c r="A5" i="92" s="1"/>
  <c r="A6" i="92" s="1"/>
  <c r="AF586" i="10"/>
  <c r="AG586" i="10"/>
  <c r="AH586" i="10"/>
  <c r="AI586" i="10"/>
  <c r="AJ586" i="10"/>
  <c r="AE586" i="10"/>
  <c r="AP584" i="10"/>
  <c r="AR584" i="10" s="1"/>
  <c r="AP587" i="10"/>
  <c r="AR587" i="10" s="1"/>
  <c r="AP586" i="10"/>
  <c r="AR586" i="10" s="1"/>
  <c r="AP585" i="10"/>
  <c r="AR585" i="10" s="1"/>
  <c r="AP583" i="10"/>
  <c r="AR583" i="10" s="1"/>
  <c r="AK583" i="10"/>
  <c r="H245" i="10"/>
  <c r="O19" i="91"/>
  <c r="H5" i="91"/>
  <c r="I5" i="91"/>
  <c r="J5" i="91"/>
  <c r="K5" i="91"/>
  <c r="L5" i="91"/>
  <c r="M5" i="91"/>
  <c r="O17" i="91"/>
  <c r="D16" i="91"/>
  <c r="A16" i="91"/>
  <c r="A17" i="91" s="1"/>
  <c r="A18" i="91" s="1"/>
  <c r="O11" i="91"/>
  <c r="D10" i="91"/>
  <c r="A10" i="91"/>
  <c r="A11" i="91" s="1"/>
  <c r="A12" i="91" s="1"/>
  <c r="D4" i="91"/>
  <c r="A4" i="91"/>
  <c r="A5" i="91" s="1"/>
  <c r="A6" i="91" s="1"/>
  <c r="CM98" i="20" l="1"/>
  <c r="O31" i="92"/>
  <c r="O5" i="91"/>
  <c r="O10" i="91"/>
  <c r="O4" i="91"/>
  <c r="O16" i="91"/>
  <c r="AK586" i="10" l="1"/>
  <c r="O8" i="70"/>
  <c r="O6" i="70"/>
  <c r="O5" i="70"/>
  <c r="A5" i="70"/>
  <c r="A6" i="70" s="1"/>
  <c r="A7" i="70" s="1"/>
  <c r="D4" i="70"/>
  <c r="A4" i="70"/>
  <c r="L462" i="10"/>
  <c r="DM98" i="20" l="1"/>
  <c r="AF657" i="10"/>
  <c r="AG657" i="10"/>
  <c r="AH657" i="10"/>
  <c r="AI657" i="10"/>
  <c r="AJ657" i="10"/>
  <c r="AF675" i="10"/>
  <c r="AG675" i="10"/>
  <c r="AH675" i="10"/>
  <c r="AI675" i="10"/>
  <c r="AJ675" i="10"/>
  <c r="AE675" i="10"/>
  <c r="AE657" i="10"/>
  <c r="AJ765" i="10"/>
  <c r="AH765" i="10"/>
  <c r="AF765" i="10"/>
  <c r="AI765" i="10"/>
  <c r="AE765" i="10"/>
  <c r="AG765" i="10"/>
  <c r="I307" i="10"/>
  <c r="AB11" i="33" s="1"/>
  <c r="J307" i="10"/>
  <c r="AC11" i="33" s="1"/>
  <c r="K307" i="10"/>
  <c r="L307" i="10"/>
  <c r="M307" i="10"/>
  <c r="M313" i="10" l="1"/>
  <c r="M35" i="33" s="1"/>
  <c r="AF15" i="33" s="1"/>
  <c r="AF11" i="33"/>
  <c r="L313" i="10"/>
  <c r="L35" i="33" s="1"/>
  <c r="AE15" i="33" s="1"/>
  <c r="AE11" i="33"/>
  <c r="K313" i="10"/>
  <c r="K35" i="33" s="1"/>
  <c r="AD15" i="33" s="1"/>
  <c r="AD11" i="33"/>
  <c r="AK657" i="10"/>
  <c r="AK675" i="10"/>
  <c r="AK765" i="10"/>
  <c r="M247" i="10"/>
  <c r="AJ244" i="10" s="1"/>
  <c r="L247" i="10"/>
  <c r="AI244" i="10" s="1"/>
  <c r="K247" i="10"/>
  <c r="AH244" i="10" s="1"/>
  <c r="J247" i="10"/>
  <c r="AG244" i="10" s="1"/>
  <c r="I247" i="10"/>
  <c r="AF244" i="10" s="1"/>
  <c r="AE244" i="10"/>
  <c r="M462" i="10"/>
  <c r="K462" i="10"/>
  <c r="J462" i="10"/>
  <c r="I462" i="10"/>
  <c r="H462" i="10"/>
  <c r="J101" i="20"/>
  <c r="I514" i="10"/>
  <c r="J514" i="10"/>
  <c r="K514" i="10"/>
  <c r="L514" i="10"/>
  <c r="M514" i="10"/>
  <c r="H514" i="10"/>
  <c r="AA170" i="33" s="1"/>
  <c r="F520" i="10"/>
  <c r="F58" i="33" s="1"/>
  <c r="X519" i="10"/>
  <c r="X520" i="10" s="1"/>
  <c r="W519" i="10"/>
  <c r="W520" i="10" s="1"/>
  <c r="V519" i="10"/>
  <c r="V520" i="10" s="1"/>
  <c r="U519" i="10"/>
  <c r="U520" i="10" s="1"/>
  <c r="T519" i="10"/>
  <c r="T520" i="10" s="1"/>
  <c r="S519" i="10"/>
  <c r="S520" i="10" s="1"/>
  <c r="R519" i="10"/>
  <c r="O519" i="10"/>
  <c r="Z518" i="10"/>
  <c r="O518" i="10"/>
  <c r="Z517" i="10"/>
  <c r="R517" i="10"/>
  <c r="O517" i="10"/>
  <c r="Z516" i="10"/>
  <c r="R516" i="10"/>
  <c r="O516" i="10"/>
  <c r="Z515" i="10"/>
  <c r="O515" i="10"/>
  <c r="Z514" i="10"/>
  <c r="D514" i="10"/>
  <c r="W170" i="33" s="1"/>
  <c r="A514" i="10"/>
  <c r="DZ98" i="20"/>
  <c r="J520" i="10" l="1"/>
  <c r="J58" i="33" s="1"/>
  <c r="AC170" i="33"/>
  <c r="I520" i="10"/>
  <c r="I58" i="33" s="1"/>
  <c r="AB170" i="33"/>
  <c r="M520" i="10"/>
  <c r="M58" i="33" s="1"/>
  <c r="AF170" i="33"/>
  <c r="K520" i="10"/>
  <c r="K58" i="33" s="1"/>
  <c r="AD170" i="33"/>
  <c r="L520" i="10"/>
  <c r="L58" i="33" s="1"/>
  <c r="AE170" i="33"/>
  <c r="A515" i="10"/>
  <c r="A516" i="10" s="1"/>
  <c r="A517" i="10" s="1"/>
  <c r="A518" i="10" s="1"/>
  <c r="A519" i="10" s="1"/>
  <c r="A520" i="10" s="1"/>
  <c r="A58" i="33" s="1"/>
  <c r="T170" i="33"/>
  <c r="O514" i="10"/>
  <c r="AH170" i="33" s="1"/>
  <c r="Z520" i="10"/>
  <c r="Z519" i="10"/>
  <c r="H520" i="10"/>
  <c r="H58" i="33" s="1"/>
  <c r="AK244" i="10"/>
  <c r="O520" i="10" l="1"/>
  <c r="O58" i="33" s="1"/>
  <c r="AF462" i="10"/>
  <c r="AG462" i="10"/>
  <c r="AH462" i="10"/>
  <c r="AI462" i="10"/>
  <c r="AJ462" i="10"/>
  <c r="AE462" i="10"/>
  <c r="K60" i="20" l="1"/>
  <c r="AK462" i="10"/>
  <c r="J60" i="20" l="1"/>
  <c r="O6" i="90"/>
  <c r="O5" i="90"/>
  <c r="A5" i="90"/>
  <c r="A6" i="90" s="1"/>
  <c r="O4" i="90"/>
  <c r="D4" i="90"/>
  <c r="A4" i="90"/>
  <c r="O5" i="89"/>
  <c r="A5" i="89"/>
  <c r="A6" i="89" s="1"/>
  <c r="O4" i="89"/>
  <c r="D4" i="89"/>
  <c r="A4" i="89"/>
  <c r="I793" i="10"/>
  <c r="J793" i="10"/>
  <c r="K793" i="10"/>
  <c r="L793" i="10"/>
  <c r="M793" i="10"/>
  <c r="H793" i="10"/>
  <c r="F799" i="10"/>
  <c r="F89" i="33" s="1"/>
  <c r="X798" i="10"/>
  <c r="X799" i="10" s="1"/>
  <c r="W798" i="10"/>
  <c r="W799" i="10" s="1"/>
  <c r="V798" i="10"/>
  <c r="V799" i="10" s="1"/>
  <c r="U798" i="10"/>
  <c r="U799" i="10" s="1"/>
  <c r="T798" i="10"/>
  <c r="T799" i="10" s="1"/>
  <c r="S798" i="10"/>
  <c r="S799" i="10" s="1"/>
  <c r="R798" i="10"/>
  <c r="O798" i="10"/>
  <c r="Z797" i="10"/>
  <c r="O797" i="10"/>
  <c r="Z796" i="10"/>
  <c r="R796" i="10"/>
  <c r="O796" i="10"/>
  <c r="Z795" i="10"/>
  <c r="R795" i="10"/>
  <c r="O795" i="10"/>
  <c r="Z794" i="10"/>
  <c r="O794" i="10"/>
  <c r="Z793" i="10"/>
  <c r="D793" i="10"/>
  <c r="W186" i="33" s="1"/>
  <c r="A793" i="10"/>
  <c r="I208" i="10"/>
  <c r="J208" i="10"/>
  <c r="K208" i="10"/>
  <c r="L208" i="10"/>
  <c r="M208" i="10"/>
  <c r="H208" i="10"/>
  <c r="F214" i="10"/>
  <c r="F24" i="33" s="1"/>
  <c r="X213" i="10"/>
  <c r="X214" i="10" s="1"/>
  <c r="W213" i="10"/>
  <c r="W214" i="10" s="1"/>
  <c r="V213" i="10"/>
  <c r="V214" i="10" s="1"/>
  <c r="U213" i="10"/>
  <c r="U214" i="10" s="1"/>
  <c r="T213" i="10"/>
  <c r="T214" i="10" s="1"/>
  <c r="S213" i="10"/>
  <c r="S214" i="10" s="1"/>
  <c r="R213" i="10"/>
  <c r="O213" i="10"/>
  <c r="Z212" i="10"/>
  <c r="O212" i="10"/>
  <c r="Z211" i="10"/>
  <c r="R211" i="10"/>
  <c r="O211" i="10"/>
  <c r="Z210" i="10"/>
  <c r="R210" i="10"/>
  <c r="O210" i="10"/>
  <c r="Z209" i="10"/>
  <c r="O209" i="10"/>
  <c r="Z208" i="10"/>
  <c r="D208" i="10"/>
  <c r="W159" i="33" s="1"/>
  <c r="A208" i="10"/>
  <c r="J91" i="20"/>
  <c r="J26" i="20"/>
  <c r="EM97" i="20"/>
  <c r="O24" i="82"/>
  <c r="O23" i="82"/>
  <c r="D22" i="82"/>
  <c r="A22" i="82"/>
  <c r="A23" i="82" s="1"/>
  <c r="A24" i="82" s="1"/>
  <c r="O15" i="82"/>
  <c r="O14" i="82"/>
  <c r="A14" i="82"/>
  <c r="A15" i="82" s="1"/>
  <c r="D13" i="82"/>
  <c r="A13" i="82"/>
  <c r="O6" i="82"/>
  <c r="A6" i="82"/>
  <c r="M5" i="82"/>
  <c r="L5" i="82"/>
  <c r="K5" i="82"/>
  <c r="J5" i="82"/>
  <c r="I5" i="82"/>
  <c r="H5" i="82"/>
  <c r="A5" i="82"/>
  <c r="D4" i="82"/>
  <c r="A4" i="82"/>
  <c r="O5" i="77"/>
  <c r="A5" i="77"/>
  <c r="A6" i="77" s="1"/>
  <c r="O4" i="77"/>
  <c r="D4" i="77"/>
  <c r="A4" i="77"/>
  <c r="O6" i="83"/>
  <c r="O5" i="83"/>
  <c r="O4" i="83"/>
  <c r="D4" i="83"/>
  <c r="A4" i="83"/>
  <c r="A5" i="83" s="1"/>
  <c r="A6" i="83" s="1"/>
  <c r="O6" i="75"/>
  <c r="O5" i="75"/>
  <c r="A5" i="75"/>
  <c r="A6" i="75" s="1"/>
  <c r="D4" i="75"/>
  <c r="A4" i="75"/>
  <c r="L214" i="10" l="1"/>
  <c r="L24" i="33" s="1"/>
  <c r="AE159" i="33"/>
  <c r="H799" i="10"/>
  <c r="H89" i="33" s="1"/>
  <c r="AA186" i="33"/>
  <c r="H214" i="10"/>
  <c r="H24" i="33" s="1"/>
  <c r="AA159" i="33"/>
  <c r="M214" i="10"/>
  <c r="M24" i="33" s="1"/>
  <c r="AF159" i="33"/>
  <c r="K214" i="10"/>
  <c r="K24" i="33" s="1"/>
  <c r="AD159" i="33"/>
  <c r="I214" i="10"/>
  <c r="I24" i="33" s="1"/>
  <c r="AB159" i="33"/>
  <c r="L799" i="10"/>
  <c r="L89" i="33" s="1"/>
  <c r="AE186" i="33"/>
  <c r="J799" i="10"/>
  <c r="J89" i="33" s="1"/>
  <c r="AC186" i="33"/>
  <c r="J214" i="10"/>
  <c r="J24" i="33" s="1"/>
  <c r="AC159" i="33"/>
  <c r="M799" i="10"/>
  <c r="M89" i="33" s="1"/>
  <c r="AF186" i="33"/>
  <c r="K799" i="10"/>
  <c r="K89" i="33" s="1"/>
  <c r="AD186" i="33"/>
  <c r="I799" i="10"/>
  <c r="I89" i="33" s="1"/>
  <c r="AB186" i="33"/>
  <c r="A209" i="10"/>
  <c r="A210" i="10" s="1"/>
  <c r="A211" i="10" s="1"/>
  <c r="A212" i="10" s="1"/>
  <c r="A213" i="10" s="1"/>
  <c r="A214" i="10" s="1"/>
  <c r="A24" i="33" s="1"/>
  <c r="T159" i="33"/>
  <c r="A794" i="10"/>
  <c r="A795" i="10" s="1"/>
  <c r="A796" i="10" s="1"/>
  <c r="A797" i="10" s="1"/>
  <c r="A798" i="10" s="1"/>
  <c r="A799" i="10" s="1"/>
  <c r="A89" i="33" s="1"/>
  <c r="T186" i="33"/>
  <c r="Z798" i="10"/>
  <c r="Z799" i="10"/>
  <c r="O793" i="10"/>
  <c r="AH186" i="33" s="1"/>
  <c r="AI186" i="33" s="1"/>
  <c r="Z214" i="10"/>
  <c r="Z213" i="10"/>
  <c r="O208" i="10"/>
  <c r="AH159" i="33" s="1"/>
  <c r="AI159" i="33" s="1"/>
  <c r="O5" i="82"/>
  <c r="O4" i="75"/>
  <c r="O799" i="10" l="1"/>
  <c r="O89" i="33" s="1"/>
  <c r="O214" i="10"/>
  <c r="O24" i="33" s="1"/>
  <c r="M362" i="10"/>
  <c r="L362" i="10"/>
  <c r="K362" i="10"/>
  <c r="J362" i="10"/>
  <c r="I362" i="10"/>
  <c r="H362" i="10"/>
  <c r="M92" i="10"/>
  <c r="L92" i="10"/>
  <c r="K92" i="10"/>
  <c r="I92" i="10"/>
  <c r="H92" i="10"/>
  <c r="M191" i="10"/>
  <c r="L191" i="10"/>
  <c r="K191" i="10"/>
  <c r="J191" i="10"/>
  <c r="I191" i="10"/>
  <c r="H191" i="10"/>
  <c r="I289" i="10"/>
  <c r="J289" i="10"/>
  <c r="K289" i="10"/>
  <c r="L289" i="10"/>
  <c r="M289" i="10"/>
  <c r="H289" i="10"/>
  <c r="F295" i="10"/>
  <c r="F33" i="33" s="1"/>
  <c r="X294" i="10"/>
  <c r="X295" i="10" s="1"/>
  <c r="W294" i="10"/>
  <c r="W295" i="10" s="1"/>
  <c r="V294" i="10"/>
  <c r="V295" i="10" s="1"/>
  <c r="U294" i="10"/>
  <c r="U295" i="10" s="1"/>
  <c r="T294" i="10"/>
  <c r="T295" i="10" s="1"/>
  <c r="S294" i="10"/>
  <c r="R294" i="10"/>
  <c r="O294" i="10"/>
  <c r="Z293" i="10"/>
  <c r="O293" i="10"/>
  <c r="Z292" i="10"/>
  <c r="R292" i="10"/>
  <c r="O292" i="10"/>
  <c r="Z291" i="10"/>
  <c r="R291" i="10"/>
  <c r="O291" i="10"/>
  <c r="Z290" i="10"/>
  <c r="O290" i="10"/>
  <c r="Z289" i="10"/>
  <c r="D289" i="10"/>
  <c r="W161" i="33" s="1"/>
  <c r="A289" i="10"/>
  <c r="I235" i="10"/>
  <c r="J235" i="10"/>
  <c r="K235" i="10"/>
  <c r="L235" i="10"/>
  <c r="M235" i="10"/>
  <c r="H235" i="10"/>
  <c r="F241" i="10"/>
  <c r="F27" i="33" s="1"/>
  <c r="Y113" i="33" s="1"/>
  <c r="X240" i="10"/>
  <c r="X241" i="10" s="1"/>
  <c r="W240" i="10"/>
  <c r="W241" i="10" s="1"/>
  <c r="V240" i="10"/>
  <c r="V241" i="10" s="1"/>
  <c r="U240" i="10"/>
  <c r="U241" i="10" s="1"/>
  <c r="T240" i="10"/>
  <c r="T241" i="10" s="1"/>
  <c r="S240" i="10"/>
  <c r="R240" i="10"/>
  <c r="O240" i="10"/>
  <c r="Z239" i="10"/>
  <c r="O239" i="10"/>
  <c r="Z238" i="10"/>
  <c r="R238" i="10"/>
  <c r="O238" i="10"/>
  <c r="Z237" i="10"/>
  <c r="R237" i="10"/>
  <c r="O237" i="10"/>
  <c r="Z236" i="10"/>
  <c r="O236" i="10"/>
  <c r="Z235" i="10"/>
  <c r="D235" i="10"/>
  <c r="W109" i="33" s="1"/>
  <c r="A235" i="10"/>
  <c r="K26" i="20" l="1"/>
  <c r="K91" i="20"/>
  <c r="I295" i="10"/>
  <c r="I33" i="33" s="1"/>
  <c r="AB161" i="33"/>
  <c r="H241" i="10"/>
  <c r="H27" i="33" s="1"/>
  <c r="AA113" i="33" s="1"/>
  <c r="AA109" i="33"/>
  <c r="L241" i="10"/>
  <c r="L27" i="33" s="1"/>
  <c r="AE113" i="33" s="1"/>
  <c r="AE109" i="33"/>
  <c r="J241" i="10"/>
  <c r="J27" i="33" s="1"/>
  <c r="AC113" i="33" s="1"/>
  <c r="AC109" i="33"/>
  <c r="H295" i="10"/>
  <c r="H33" i="33" s="1"/>
  <c r="AA161" i="33"/>
  <c r="K295" i="10"/>
  <c r="K33" i="33" s="1"/>
  <c r="AD161" i="33"/>
  <c r="M241" i="10"/>
  <c r="M27" i="33" s="1"/>
  <c r="AF113" i="33" s="1"/>
  <c r="AF109" i="33"/>
  <c r="I241" i="10"/>
  <c r="I27" i="33" s="1"/>
  <c r="AB113" i="33" s="1"/>
  <c r="AB109" i="33"/>
  <c r="M295" i="10"/>
  <c r="M33" i="33" s="1"/>
  <c r="AF161" i="33"/>
  <c r="J295" i="10"/>
  <c r="J33" i="33" s="1"/>
  <c r="AC161" i="33"/>
  <c r="K241" i="10"/>
  <c r="K27" i="33" s="1"/>
  <c r="AD113" i="33" s="1"/>
  <c r="AD109" i="33"/>
  <c r="L295" i="10"/>
  <c r="L33" i="33" s="1"/>
  <c r="AE161" i="33"/>
  <c r="A290" i="10"/>
  <c r="A291" i="10" s="1"/>
  <c r="A292" i="10" s="1"/>
  <c r="A293" i="10" s="1"/>
  <c r="A294" i="10" s="1"/>
  <c r="A295" i="10" s="1"/>
  <c r="A33" i="33" s="1"/>
  <c r="T161" i="33"/>
  <c r="A236" i="10"/>
  <c r="A237" i="10" s="1"/>
  <c r="A238" i="10" s="1"/>
  <c r="A239" i="10" s="1"/>
  <c r="A240" i="10" s="1"/>
  <c r="A241" i="10" s="1"/>
  <c r="A27" i="33" s="1"/>
  <c r="T113" i="33" s="1"/>
  <c r="T109" i="33"/>
  <c r="Z294" i="10"/>
  <c r="S295" i="10"/>
  <c r="Z295" i="10" s="1"/>
  <c r="O289" i="10"/>
  <c r="AH161" i="33" s="1"/>
  <c r="AI161" i="33" s="1"/>
  <c r="Z240" i="10"/>
  <c r="S241" i="10"/>
  <c r="Z241" i="10" s="1"/>
  <c r="O235" i="10"/>
  <c r="AH109" i="33" s="1"/>
  <c r="O241" i="10" l="1"/>
  <c r="O27" i="33" s="1"/>
  <c r="AH113" i="33" s="1"/>
  <c r="O295" i="10"/>
  <c r="O33" i="33" s="1"/>
  <c r="J35" i="20"/>
  <c r="J29" i="20"/>
  <c r="EZ95" i="20"/>
  <c r="K29" i="20" l="1"/>
  <c r="K35" i="20"/>
  <c r="D99" i="20"/>
  <c r="E99" i="20"/>
  <c r="F99" i="20"/>
  <c r="G99" i="20"/>
  <c r="H99" i="20"/>
  <c r="C99" i="20"/>
  <c r="O353" i="10" l="1"/>
  <c r="M328" i="10"/>
  <c r="L328" i="10"/>
  <c r="K326" i="10"/>
  <c r="J326" i="10"/>
  <c r="I326" i="10"/>
  <c r="H326" i="10"/>
  <c r="L326" i="10"/>
  <c r="H65" i="10"/>
  <c r="I65" i="10"/>
  <c r="J65" i="10"/>
  <c r="K65" i="10"/>
  <c r="L65" i="10"/>
  <c r="M65" i="10"/>
  <c r="L300" i="10" l="1"/>
  <c r="K300" i="10"/>
  <c r="H300" i="10"/>
  <c r="M749" i="10"/>
  <c r="L749" i="10"/>
  <c r="K749" i="10"/>
  <c r="J749" i="10"/>
  <c r="I749" i="10"/>
  <c r="H749" i="10"/>
  <c r="O6" i="80"/>
  <c r="O5" i="80"/>
  <c r="A5" i="80"/>
  <c r="A6" i="80" s="1"/>
  <c r="O4" i="80"/>
  <c r="D4" i="80"/>
  <c r="A4" i="80"/>
  <c r="O6" i="76"/>
  <c r="O5" i="76"/>
  <c r="O4" i="76"/>
  <c r="D4" i="76"/>
  <c r="A4" i="76"/>
  <c r="A5" i="76" s="1"/>
  <c r="A6" i="76" s="1"/>
  <c r="M641" i="10"/>
  <c r="L641" i="10"/>
  <c r="K641" i="10"/>
  <c r="J641" i="10"/>
  <c r="I641" i="10"/>
  <c r="H641" i="10"/>
  <c r="O6" i="87"/>
  <c r="O5" i="87"/>
  <c r="A5" i="87"/>
  <c r="A6" i="87" s="1"/>
  <c r="D4" i="87"/>
  <c r="A4" i="87"/>
  <c r="O16" i="86"/>
  <c r="O5" i="86"/>
  <c r="O15" i="86"/>
  <c r="O14" i="86"/>
  <c r="D13" i="86"/>
  <c r="A13" i="86"/>
  <c r="A14" i="86" s="1"/>
  <c r="A15" i="86" s="1"/>
  <c r="D4" i="86"/>
  <c r="A4" i="86"/>
  <c r="A5" i="86" s="1"/>
  <c r="A6" i="86" s="1"/>
  <c r="FM93" i="20"/>
  <c r="I478" i="10"/>
  <c r="J478" i="10"/>
  <c r="K478" i="10"/>
  <c r="L478" i="10"/>
  <c r="M478" i="10"/>
  <c r="H478" i="10"/>
  <c r="F484" i="10"/>
  <c r="F54" i="33" s="1"/>
  <c r="Y34" i="33" s="1"/>
  <c r="X483" i="10"/>
  <c r="X484" i="10" s="1"/>
  <c r="W483" i="10"/>
  <c r="W484" i="10" s="1"/>
  <c r="V483" i="10"/>
  <c r="V484" i="10" s="1"/>
  <c r="U483" i="10"/>
  <c r="U484" i="10" s="1"/>
  <c r="T483" i="10"/>
  <c r="T484" i="10" s="1"/>
  <c r="S483" i="10"/>
  <c r="S484" i="10" s="1"/>
  <c r="R483" i="10"/>
  <c r="O483" i="10"/>
  <c r="Z482" i="10"/>
  <c r="O482" i="10"/>
  <c r="Z481" i="10"/>
  <c r="R481" i="10"/>
  <c r="O481" i="10"/>
  <c r="Z480" i="10"/>
  <c r="R480" i="10"/>
  <c r="O480" i="10"/>
  <c r="Z479" i="10"/>
  <c r="O479" i="10"/>
  <c r="Z478" i="10"/>
  <c r="D478" i="10"/>
  <c r="W30" i="33" s="1"/>
  <c r="A478" i="10"/>
  <c r="J56" i="20"/>
  <c r="H461" i="10"/>
  <c r="M461" i="10"/>
  <c r="L461" i="10"/>
  <c r="K461" i="10"/>
  <c r="J461" i="10"/>
  <c r="I461" i="10"/>
  <c r="AW15" i="85"/>
  <c r="AW6" i="85"/>
  <c r="O14" i="85"/>
  <c r="D13" i="85"/>
  <c r="A13" i="85"/>
  <c r="A14" i="85" s="1"/>
  <c r="A15" i="85" s="1"/>
  <c r="O5" i="85"/>
  <c r="O16" i="85" s="1"/>
  <c r="A5" i="85"/>
  <c r="A6" i="85" s="1"/>
  <c r="D4" i="85"/>
  <c r="A4" i="85"/>
  <c r="M443" i="10"/>
  <c r="L443" i="10"/>
  <c r="K443" i="10"/>
  <c r="J443" i="10"/>
  <c r="I443" i="10"/>
  <c r="H443" i="10"/>
  <c r="O8" i="73"/>
  <c r="O7" i="73"/>
  <c r="O6" i="73"/>
  <c r="O5" i="73"/>
  <c r="D4" i="73"/>
  <c r="A4" i="73"/>
  <c r="A5" i="73" s="1"/>
  <c r="A6" i="73" s="1"/>
  <c r="A7" i="73" s="1"/>
  <c r="O16" i="84"/>
  <c r="D15" i="84"/>
  <c r="A15" i="84"/>
  <c r="A16" i="84" s="1"/>
  <c r="A17" i="84" s="1"/>
  <c r="M4" i="84"/>
  <c r="L4" i="84"/>
  <c r="K4" i="84"/>
  <c r="J4" i="84"/>
  <c r="I4" i="84"/>
  <c r="H4" i="84"/>
  <c r="D3" i="84"/>
  <c r="A3" i="84"/>
  <c r="A4" i="84" s="1"/>
  <c r="A5" i="84" s="1"/>
  <c r="M245" i="10"/>
  <c r="L245" i="10"/>
  <c r="K245" i="10"/>
  <c r="J245" i="10"/>
  <c r="I245" i="10"/>
  <c r="J92" i="10"/>
  <c r="I784" i="10"/>
  <c r="J784" i="10"/>
  <c r="K784" i="10"/>
  <c r="L784" i="10"/>
  <c r="M784" i="10"/>
  <c r="H784" i="10"/>
  <c r="AA185" i="33" s="1"/>
  <c r="F790" i="10"/>
  <c r="F88" i="33" s="1"/>
  <c r="X789" i="10"/>
  <c r="X790" i="10" s="1"/>
  <c r="W789" i="10"/>
  <c r="W790" i="10" s="1"/>
  <c r="V789" i="10"/>
  <c r="V790" i="10" s="1"/>
  <c r="U789" i="10"/>
  <c r="U790" i="10" s="1"/>
  <c r="T789" i="10"/>
  <c r="T790" i="10" s="1"/>
  <c r="S789" i="10"/>
  <c r="R789" i="10"/>
  <c r="O789" i="10"/>
  <c r="Z788" i="10"/>
  <c r="O788" i="10"/>
  <c r="Z787" i="10"/>
  <c r="R787" i="10"/>
  <c r="O787" i="10"/>
  <c r="Z786" i="10"/>
  <c r="R786" i="10"/>
  <c r="O786" i="10"/>
  <c r="Z785" i="10"/>
  <c r="O785" i="10"/>
  <c r="Z784" i="10"/>
  <c r="D784" i="10"/>
  <c r="W185" i="33" s="1"/>
  <c r="A784" i="10"/>
  <c r="J90" i="20"/>
  <c r="M484" i="10" l="1"/>
  <c r="M54" i="33" s="1"/>
  <c r="AF34" i="33" s="1"/>
  <c r="AF30" i="33"/>
  <c r="H484" i="10"/>
  <c r="H54" i="33" s="1"/>
  <c r="AA34" i="33" s="1"/>
  <c r="AA30" i="33"/>
  <c r="K790" i="10"/>
  <c r="K88" i="33" s="1"/>
  <c r="AD185" i="33"/>
  <c r="L484" i="10"/>
  <c r="L54" i="33" s="1"/>
  <c r="AE34" i="33" s="1"/>
  <c r="AE30" i="33"/>
  <c r="J790" i="10"/>
  <c r="J88" i="33" s="1"/>
  <c r="AC185" i="33"/>
  <c r="K484" i="10"/>
  <c r="K54" i="33" s="1"/>
  <c r="AD34" i="33" s="1"/>
  <c r="AD30" i="33"/>
  <c r="I790" i="10"/>
  <c r="I88" i="33" s="1"/>
  <c r="AB185" i="33"/>
  <c r="I484" i="10"/>
  <c r="I54" i="33" s="1"/>
  <c r="AB34" i="33" s="1"/>
  <c r="AB30" i="33"/>
  <c r="M790" i="10"/>
  <c r="M88" i="33" s="1"/>
  <c r="AF185" i="33"/>
  <c r="L790" i="10"/>
  <c r="L88" i="33" s="1"/>
  <c r="AE185" i="33"/>
  <c r="J484" i="10"/>
  <c r="J54" i="33" s="1"/>
  <c r="AC34" i="33" s="1"/>
  <c r="AC30" i="33"/>
  <c r="A785" i="10"/>
  <c r="A786" i="10" s="1"/>
  <c r="A787" i="10" s="1"/>
  <c r="A788" i="10" s="1"/>
  <c r="A789" i="10" s="1"/>
  <c r="A790" i="10" s="1"/>
  <c r="A88" i="33" s="1"/>
  <c r="T185" i="33"/>
  <c r="A479" i="10"/>
  <c r="A480" i="10" s="1"/>
  <c r="A481" i="10" s="1"/>
  <c r="A482" i="10" s="1"/>
  <c r="A483" i="10" s="1"/>
  <c r="A484" i="10" s="1"/>
  <c r="A54" i="33" s="1"/>
  <c r="T34" i="33" s="1"/>
  <c r="T30" i="33"/>
  <c r="O4" i="84"/>
  <c r="O18" i="84" s="1"/>
  <c r="O478" i="10"/>
  <c r="AH30" i="33" s="1"/>
  <c r="Z484" i="10"/>
  <c r="Z483" i="10"/>
  <c r="Z789" i="10"/>
  <c r="O784" i="10"/>
  <c r="AH185" i="33" s="1"/>
  <c r="AI185" i="33" s="1"/>
  <c r="H790" i="10"/>
  <c r="H88" i="33" s="1"/>
  <c r="S790" i="10"/>
  <c r="Z790" i="10" s="1"/>
  <c r="O484" i="10" l="1"/>
  <c r="O54" i="33" s="1"/>
  <c r="AH34" i="33" s="1"/>
  <c r="O790" i="10"/>
  <c r="O88" i="33" s="1"/>
  <c r="K56" i="20" l="1"/>
  <c r="K90" i="20"/>
  <c r="D550" i="10"/>
  <c r="W174" i="33" s="1"/>
  <c r="D541" i="10"/>
  <c r="W173" i="33" s="1"/>
  <c r="GM91" i="20" l="1"/>
  <c r="I811" i="10"/>
  <c r="J811" i="10"/>
  <c r="K811" i="10"/>
  <c r="L811" i="10"/>
  <c r="M811" i="10"/>
  <c r="H811" i="10"/>
  <c r="F817" i="10"/>
  <c r="F91" i="33" s="1"/>
  <c r="X816" i="10"/>
  <c r="X817" i="10" s="1"/>
  <c r="W816" i="10"/>
  <c r="W817" i="10" s="1"/>
  <c r="V816" i="10"/>
  <c r="V817" i="10" s="1"/>
  <c r="U816" i="10"/>
  <c r="U817" i="10" s="1"/>
  <c r="T816" i="10"/>
  <c r="T817" i="10" s="1"/>
  <c r="S816" i="10"/>
  <c r="S817" i="10" s="1"/>
  <c r="R816" i="10"/>
  <c r="O816" i="10"/>
  <c r="Z815" i="10"/>
  <c r="O815" i="10"/>
  <c r="Z814" i="10"/>
  <c r="R814" i="10"/>
  <c r="O814" i="10"/>
  <c r="Z813" i="10"/>
  <c r="R813" i="10"/>
  <c r="O813" i="10"/>
  <c r="Z812" i="10"/>
  <c r="O812" i="10"/>
  <c r="Z811" i="10"/>
  <c r="D811" i="10"/>
  <c r="W188" i="33" s="1"/>
  <c r="A811" i="10"/>
  <c r="J93" i="20"/>
  <c r="I838" i="10"/>
  <c r="J838" i="10"/>
  <c r="K838" i="10"/>
  <c r="L838" i="10"/>
  <c r="M838" i="10"/>
  <c r="H838" i="10"/>
  <c r="I829" i="10"/>
  <c r="J829" i="10"/>
  <c r="K829" i="10"/>
  <c r="L829" i="10"/>
  <c r="M829" i="10"/>
  <c r="H829" i="10"/>
  <c r="I820" i="10"/>
  <c r="J820" i="10"/>
  <c r="K820" i="10"/>
  <c r="L820" i="10"/>
  <c r="M820" i="10"/>
  <c r="H820" i="10"/>
  <c r="X852" i="10"/>
  <c r="X853" i="10" s="1"/>
  <c r="W852" i="10"/>
  <c r="W853" i="10" s="1"/>
  <c r="V852" i="10"/>
  <c r="V853" i="10" s="1"/>
  <c r="U852" i="10"/>
  <c r="U853" i="10" s="1"/>
  <c r="T852" i="10"/>
  <c r="T853" i="10" s="1"/>
  <c r="S852" i="10"/>
  <c r="R852" i="10"/>
  <c r="Z851" i="10"/>
  <c r="Z850" i="10"/>
  <c r="R850" i="10"/>
  <c r="Z849" i="10"/>
  <c r="R849" i="10"/>
  <c r="Z848" i="10"/>
  <c r="Z847" i="10"/>
  <c r="F844" i="10"/>
  <c r="F94" i="33" s="1"/>
  <c r="X843" i="10"/>
  <c r="X844" i="10" s="1"/>
  <c r="W843" i="10"/>
  <c r="W844" i="10" s="1"/>
  <c r="V843" i="10"/>
  <c r="V844" i="10" s="1"/>
  <c r="U843" i="10"/>
  <c r="U844" i="10" s="1"/>
  <c r="T843" i="10"/>
  <c r="T844" i="10" s="1"/>
  <c r="S843" i="10"/>
  <c r="R843" i="10"/>
  <c r="O843" i="10"/>
  <c r="Z842" i="10"/>
  <c r="O842" i="10"/>
  <c r="Z841" i="10"/>
  <c r="R841" i="10"/>
  <c r="O841" i="10"/>
  <c r="Z840" i="10"/>
  <c r="R840" i="10"/>
  <c r="O840" i="10"/>
  <c r="Z839" i="10"/>
  <c r="O839" i="10"/>
  <c r="Z838" i="10"/>
  <c r="D838" i="10"/>
  <c r="W191" i="33" s="1"/>
  <c r="A838" i="10"/>
  <c r="F835" i="10"/>
  <c r="F93" i="33" s="1"/>
  <c r="X834" i="10"/>
  <c r="X835" i="10" s="1"/>
  <c r="W834" i="10"/>
  <c r="W835" i="10" s="1"/>
  <c r="V834" i="10"/>
  <c r="V835" i="10" s="1"/>
  <c r="U834" i="10"/>
  <c r="U835" i="10" s="1"/>
  <c r="T834" i="10"/>
  <c r="T835" i="10" s="1"/>
  <c r="S834" i="10"/>
  <c r="R834" i="10"/>
  <c r="O834" i="10"/>
  <c r="Z833" i="10"/>
  <c r="O833" i="10"/>
  <c r="Z832" i="10"/>
  <c r="R832" i="10"/>
  <c r="O832" i="10"/>
  <c r="Z831" i="10"/>
  <c r="R831" i="10"/>
  <c r="O831" i="10"/>
  <c r="Z830" i="10"/>
  <c r="O830" i="10"/>
  <c r="Z829" i="10"/>
  <c r="D829" i="10"/>
  <c r="W190" i="33" s="1"/>
  <c r="A829" i="10"/>
  <c r="F826" i="10"/>
  <c r="F92" i="33" s="1"/>
  <c r="X825" i="10"/>
  <c r="X826" i="10" s="1"/>
  <c r="W825" i="10"/>
  <c r="W826" i="10" s="1"/>
  <c r="V825" i="10"/>
  <c r="V826" i="10" s="1"/>
  <c r="U825" i="10"/>
  <c r="U826" i="10" s="1"/>
  <c r="T825" i="10"/>
  <c r="T826" i="10" s="1"/>
  <c r="S825" i="10"/>
  <c r="R825" i="10"/>
  <c r="O825" i="10"/>
  <c r="Z824" i="10"/>
  <c r="O824" i="10"/>
  <c r="Z823" i="10"/>
  <c r="R823" i="10"/>
  <c r="O823" i="10"/>
  <c r="Z822" i="10"/>
  <c r="R822" i="10"/>
  <c r="O822" i="10"/>
  <c r="Z821" i="10"/>
  <c r="O821" i="10"/>
  <c r="Z820" i="10"/>
  <c r="D820" i="10"/>
  <c r="W189" i="33" s="1"/>
  <c r="A820" i="10"/>
  <c r="I802" i="10"/>
  <c r="J802" i="10"/>
  <c r="K802" i="10"/>
  <c r="L802" i="10"/>
  <c r="M802" i="10"/>
  <c r="H802" i="10"/>
  <c r="F808" i="10"/>
  <c r="F90" i="33" s="1"/>
  <c r="X807" i="10"/>
  <c r="X808" i="10" s="1"/>
  <c r="W807" i="10"/>
  <c r="W808" i="10" s="1"/>
  <c r="V807" i="10"/>
  <c r="V808" i="10" s="1"/>
  <c r="U807" i="10"/>
  <c r="U808" i="10" s="1"/>
  <c r="T807" i="10"/>
  <c r="T808" i="10" s="1"/>
  <c r="S807" i="10"/>
  <c r="R807" i="10"/>
  <c r="O807" i="10"/>
  <c r="Z806" i="10"/>
  <c r="O806" i="10"/>
  <c r="Z805" i="10"/>
  <c r="R805" i="10"/>
  <c r="O805" i="10"/>
  <c r="Z804" i="10"/>
  <c r="R804" i="10"/>
  <c r="O804" i="10"/>
  <c r="Z803" i="10"/>
  <c r="O803" i="10"/>
  <c r="Z802" i="10"/>
  <c r="D802" i="10"/>
  <c r="W187" i="33" s="1"/>
  <c r="A802" i="10"/>
  <c r="I775" i="10"/>
  <c r="J775" i="10"/>
  <c r="K775" i="10"/>
  <c r="L775" i="10"/>
  <c r="M775" i="10"/>
  <c r="H775" i="10"/>
  <c r="I766" i="10"/>
  <c r="J766" i="10"/>
  <c r="K766" i="10"/>
  <c r="L766" i="10"/>
  <c r="M766" i="10"/>
  <c r="H766" i="10"/>
  <c r="F781" i="10"/>
  <c r="F87" i="33" s="1"/>
  <c r="Y127" i="33" s="1"/>
  <c r="X780" i="10"/>
  <c r="X781" i="10" s="1"/>
  <c r="W780" i="10"/>
  <c r="W781" i="10" s="1"/>
  <c r="V780" i="10"/>
  <c r="V781" i="10" s="1"/>
  <c r="U780" i="10"/>
  <c r="U781" i="10" s="1"/>
  <c r="T780" i="10"/>
  <c r="T781" i="10" s="1"/>
  <c r="S780" i="10"/>
  <c r="R780" i="10"/>
  <c r="O780" i="10"/>
  <c r="Z779" i="10"/>
  <c r="O779" i="10"/>
  <c r="Z778" i="10"/>
  <c r="R778" i="10"/>
  <c r="O778" i="10"/>
  <c r="Z777" i="10"/>
  <c r="R777" i="10"/>
  <c r="O777" i="10"/>
  <c r="Z776" i="10"/>
  <c r="O776" i="10"/>
  <c r="Z775" i="10"/>
  <c r="D775" i="10"/>
  <c r="W124" i="33" s="1"/>
  <c r="A775" i="10"/>
  <c r="F772" i="10"/>
  <c r="F86" i="33" s="1"/>
  <c r="Y126" i="33" s="1"/>
  <c r="X771" i="10"/>
  <c r="X772" i="10" s="1"/>
  <c r="W771" i="10"/>
  <c r="W772" i="10" s="1"/>
  <c r="V771" i="10"/>
  <c r="V772" i="10" s="1"/>
  <c r="U771" i="10"/>
  <c r="U772" i="10" s="1"/>
  <c r="T771" i="10"/>
  <c r="T772" i="10" s="1"/>
  <c r="S771" i="10"/>
  <c r="S772" i="10" s="1"/>
  <c r="R771" i="10"/>
  <c r="O771" i="10"/>
  <c r="Z770" i="10"/>
  <c r="O770" i="10"/>
  <c r="Z769" i="10"/>
  <c r="R769" i="10"/>
  <c r="O769" i="10"/>
  <c r="Z768" i="10"/>
  <c r="R768" i="10"/>
  <c r="O768" i="10"/>
  <c r="Z767" i="10"/>
  <c r="O767" i="10"/>
  <c r="Z766" i="10"/>
  <c r="D766" i="10"/>
  <c r="W123" i="33" s="1"/>
  <c r="A766" i="10"/>
  <c r="I757" i="10"/>
  <c r="AB94" i="33" s="1"/>
  <c r="J757" i="10"/>
  <c r="K757" i="10"/>
  <c r="L757" i="10"/>
  <c r="M757" i="10"/>
  <c r="H757" i="10"/>
  <c r="I748" i="10"/>
  <c r="AB93" i="33" s="1"/>
  <c r="J748" i="10"/>
  <c r="AC93" i="33" s="1"/>
  <c r="K748" i="10"/>
  <c r="AD93" i="33" s="1"/>
  <c r="L748" i="10"/>
  <c r="AE93" i="33" s="1"/>
  <c r="M748" i="10"/>
  <c r="AF93" i="33" s="1"/>
  <c r="H748" i="10"/>
  <c r="AA93" i="33" s="1"/>
  <c r="F763" i="10"/>
  <c r="F85" i="33" s="1"/>
  <c r="Y97" i="33" s="1"/>
  <c r="X762" i="10"/>
  <c r="X763" i="10" s="1"/>
  <c r="W762" i="10"/>
  <c r="W763" i="10" s="1"/>
  <c r="V762" i="10"/>
  <c r="V763" i="10" s="1"/>
  <c r="U762" i="10"/>
  <c r="U763" i="10" s="1"/>
  <c r="T762" i="10"/>
  <c r="T763" i="10" s="1"/>
  <c r="S762" i="10"/>
  <c r="R762" i="10"/>
  <c r="O762" i="10"/>
  <c r="Z761" i="10"/>
  <c r="O761" i="10"/>
  <c r="Z760" i="10"/>
  <c r="R760" i="10"/>
  <c r="O760" i="10"/>
  <c r="Z759" i="10"/>
  <c r="R759" i="10"/>
  <c r="O759" i="10"/>
  <c r="Z758" i="10"/>
  <c r="O758" i="10"/>
  <c r="Z757" i="10"/>
  <c r="D757" i="10"/>
  <c r="W94" i="33" s="1"/>
  <c r="A757" i="10"/>
  <c r="I739" i="10"/>
  <c r="AB99" i="33" s="1"/>
  <c r="J739" i="10"/>
  <c r="AC99" i="33" s="1"/>
  <c r="K739" i="10"/>
  <c r="AD99" i="33" s="1"/>
  <c r="L739" i="10"/>
  <c r="AE99" i="33" s="1"/>
  <c r="M739" i="10"/>
  <c r="AF99" i="33" s="1"/>
  <c r="H739" i="10"/>
  <c r="AA99" i="33" s="1"/>
  <c r="I730" i="10"/>
  <c r="AB184" i="33" s="1"/>
  <c r="J730" i="10"/>
  <c r="AC184" i="33" s="1"/>
  <c r="K730" i="10"/>
  <c r="AD184" i="33" s="1"/>
  <c r="L730" i="10"/>
  <c r="AE184" i="33" s="1"/>
  <c r="M730" i="10"/>
  <c r="AF184" i="33" s="1"/>
  <c r="H730" i="10"/>
  <c r="AA184" i="33" s="1"/>
  <c r="J84" i="20"/>
  <c r="I721" i="10"/>
  <c r="AB183" i="33" s="1"/>
  <c r="J721" i="10"/>
  <c r="AC183" i="33" s="1"/>
  <c r="K721" i="10"/>
  <c r="AD183" i="33" s="1"/>
  <c r="L721" i="10"/>
  <c r="AE183" i="33" s="1"/>
  <c r="M721" i="10"/>
  <c r="AF183" i="33" s="1"/>
  <c r="H721" i="10"/>
  <c r="AA183" i="33" s="1"/>
  <c r="I712" i="10"/>
  <c r="AB182" i="33" s="1"/>
  <c r="J712" i="10"/>
  <c r="AC182" i="33" s="1"/>
  <c r="K712" i="10"/>
  <c r="AD182" i="33" s="1"/>
  <c r="L712" i="10"/>
  <c r="AE182" i="33" s="1"/>
  <c r="M712" i="10"/>
  <c r="AF182" i="33" s="1"/>
  <c r="H712" i="10"/>
  <c r="AA182" i="33" s="1"/>
  <c r="I703" i="10"/>
  <c r="AB181" i="33" s="1"/>
  <c r="J703" i="10"/>
  <c r="AC181" i="33" s="1"/>
  <c r="K703" i="10"/>
  <c r="AD181" i="33" s="1"/>
  <c r="L703" i="10"/>
  <c r="AE181" i="33" s="1"/>
  <c r="M703" i="10"/>
  <c r="AF181" i="33" s="1"/>
  <c r="H703" i="10"/>
  <c r="AA181" i="33" s="1"/>
  <c r="I694" i="10"/>
  <c r="J694" i="10"/>
  <c r="K694" i="10"/>
  <c r="L694" i="10"/>
  <c r="M694" i="10"/>
  <c r="H694" i="10"/>
  <c r="F700" i="10"/>
  <c r="F78" i="33" s="1"/>
  <c r="X699" i="10"/>
  <c r="X700" i="10" s="1"/>
  <c r="W699" i="10"/>
  <c r="W700" i="10" s="1"/>
  <c r="V699" i="10"/>
  <c r="V700" i="10" s="1"/>
  <c r="U699" i="10"/>
  <c r="U700" i="10" s="1"/>
  <c r="T699" i="10"/>
  <c r="T700" i="10" s="1"/>
  <c r="S699" i="10"/>
  <c r="R699" i="10"/>
  <c r="O699" i="10"/>
  <c r="Z698" i="10"/>
  <c r="O698" i="10"/>
  <c r="Z697" i="10"/>
  <c r="R697" i="10"/>
  <c r="O697" i="10"/>
  <c r="Z696" i="10"/>
  <c r="R696" i="10"/>
  <c r="O696" i="10"/>
  <c r="Z695" i="10"/>
  <c r="O695" i="10"/>
  <c r="Z694" i="10"/>
  <c r="D694" i="10"/>
  <c r="W180" i="33" s="1"/>
  <c r="A694" i="10"/>
  <c r="I685" i="10"/>
  <c r="AB115" i="33" s="1"/>
  <c r="J685" i="10"/>
  <c r="AC115" i="33" s="1"/>
  <c r="K685" i="10"/>
  <c r="AD115" i="33" s="1"/>
  <c r="L685" i="10"/>
  <c r="AE115" i="33" s="1"/>
  <c r="M685" i="10"/>
  <c r="AF115" i="33" s="1"/>
  <c r="H685" i="10"/>
  <c r="AA115" i="33" s="1"/>
  <c r="I676" i="10"/>
  <c r="AB103" i="33" s="1"/>
  <c r="J676" i="10"/>
  <c r="AC103" i="33" s="1"/>
  <c r="K676" i="10"/>
  <c r="AD103" i="33" s="1"/>
  <c r="L676" i="10"/>
  <c r="AE103" i="33" s="1"/>
  <c r="M676" i="10"/>
  <c r="AF103" i="33" s="1"/>
  <c r="H676" i="10"/>
  <c r="AA103" i="33" s="1"/>
  <c r="I667" i="10"/>
  <c r="J667" i="10"/>
  <c r="K667" i="10"/>
  <c r="L667" i="10"/>
  <c r="M667" i="10"/>
  <c r="H667" i="10"/>
  <c r="F673" i="10"/>
  <c r="F75" i="33" s="1"/>
  <c r="X672" i="10"/>
  <c r="X673" i="10" s="1"/>
  <c r="W672" i="10"/>
  <c r="W673" i="10" s="1"/>
  <c r="V672" i="10"/>
  <c r="V673" i="10" s="1"/>
  <c r="U672" i="10"/>
  <c r="U673" i="10" s="1"/>
  <c r="T672" i="10"/>
  <c r="T673" i="10" s="1"/>
  <c r="S672" i="10"/>
  <c r="R672" i="10"/>
  <c r="O672" i="10"/>
  <c r="Z671" i="10"/>
  <c r="O671" i="10"/>
  <c r="Z670" i="10"/>
  <c r="R670" i="10"/>
  <c r="O670" i="10"/>
  <c r="Z669" i="10"/>
  <c r="R669" i="10"/>
  <c r="O669" i="10"/>
  <c r="Z668" i="10"/>
  <c r="O668" i="10"/>
  <c r="Z667" i="10"/>
  <c r="D667" i="10"/>
  <c r="W179" i="33" s="1"/>
  <c r="A667" i="10"/>
  <c r="I658" i="10"/>
  <c r="J658" i="10"/>
  <c r="K658" i="10"/>
  <c r="L658" i="10"/>
  <c r="M658" i="10"/>
  <c r="H658" i="10"/>
  <c r="F664" i="10"/>
  <c r="F74" i="33" s="1"/>
  <c r="X663" i="10"/>
  <c r="X664" i="10" s="1"/>
  <c r="W663" i="10"/>
  <c r="W664" i="10" s="1"/>
  <c r="V663" i="10"/>
  <c r="V664" i="10" s="1"/>
  <c r="U663" i="10"/>
  <c r="U664" i="10" s="1"/>
  <c r="T663" i="10"/>
  <c r="T664" i="10" s="1"/>
  <c r="S663" i="10"/>
  <c r="R663" i="10"/>
  <c r="O663" i="10"/>
  <c r="Z662" i="10"/>
  <c r="O662" i="10"/>
  <c r="Z661" i="10"/>
  <c r="R661" i="10"/>
  <c r="O661" i="10"/>
  <c r="Z660" i="10"/>
  <c r="R660" i="10"/>
  <c r="O660" i="10"/>
  <c r="Z659" i="10"/>
  <c r="O659" i="10"/>
  <c r="Z658" i="10"/>
  <c r="D658" i="10"/>
  <c r="W178" i="33" s="1"/>
  <c r="A658" i="10"/>
  <c r="I649" i="10"/>
  <c r="J649" i="10"/>
  <c r="K649" i="10"/>
  <c r="L649" i="10"/>
  <c r="M649" i="10"/>
  <c r="H649" i="10"/>
  <c r="F655" i="10"/>
  <c r="F73" i="33" s="1"/>
  <c r="Y67" i="33" s="1"/>
  <c r="X654" i="10"/>
  <c r="X655" i="10" s="1"/>
  <c r="W654" i="10"/>
  <c r="W655" i="10" s="1"/>
  <c r="V654" i="10"/>
  <c r="V655" i="10" s="1"/>
  <c r="U654" i="10"/>
  <c r="U655" i="10" s="1"/>
  <c r="T654" i="10"/>
  <c r="T655" i="10" s="1"/>
  <c r="S654" i="10"/>
  <c r="S655" i="10" s="1"/>
  <c r="R654" i="10"/>
  <c r="O654" i="10"/>
  <c r="Z653" i="10"/>
  <c r="O653" i="10"/>
  <c r="Z652" i="10"/>
  <c r="R652" i="10"/>
  <c r="O652" i="10"/>
  <c r="Z651" i="10"/>
  <c r="R651" i="10"/>
  <c r="O651" i="10"/>
  <c r="Z650" i="10"/>
  <c r="O650" i="10"/>
  <c r="Z649" i="10"/>
  <c r="D649" i="10"/>
  <c r="W64" i="33" s="1"/>
  <c r="A649" i="10"/>
  <c r="I640" i="10"/>
  <c r="AB63" i="33" s="1"/>
  <c r="J640" i="10"/>
  <c r="AC63" i="33" s="1"/>
  <c r="K640" i="10"/>
  <c r="AD63" i="33" s="1"/>
  <c r="L640" i="10"/>
  <c r="AE63" i="33" s="1"/>
  <c r="M640" i="10"/>
  <c r="AF63" i="33" s="1"/>
  <c r="H640" i="10"/>
  <c r="AA63" i="33" s="1"/>
  <c r="D631" i="10"/>
  <c r="W50" i="33" s="1"/>
  <c r="D622" i="10"/>
  <c r="W49" i="33" s="1"/>
  <c r="D613" i="10"/>
  <c r="W48" i="33" s="1"/>
  <c r="D604" i="10"/>
  <c r="W47" i="33" s="1"/>
  <c r="I631" i="10"/>
  <c r="J631" i="10"/>
  <c r="K631" i="10"/>
  <c r="L631" i="10"/>
  <c r="M631" i="10"/>
  <c r="H631" i="10"/>
  <c r="I622" i="10"/>
  <c r="J622" i="10"/>
  <c r="K622" i="10"/>
  <c r="L622" i="10"/>
  <c r="M622" i="10"/>
  <c r="H622" i="10"/>
  <c r="I613" i="10"/>
  <c r="J613" i="10"/>
  <c r="K613" i="10"/>
  <c r="L613" i="10"/>
  <c r="M613" i="10"/>
  <c r="H613" i="10"/>
  <c r="I604" i="10"/>
  <c r="J604" i="10"/>
  <c r="K604" i="10"/>
  <c r="L604" i="10"/>
  <c r="M604" i="10"/>
  <c r="H604" i="10"/>
  <c r="I595" i="10"/>
  <c r="AB46" i="33" s="1"/>
  <c r="J595" i="10"/>
  <c r="AC46" i="33" s="1"/>
  <c r="K595" i="10"/>
  <c r="AD46" i="33" s="1"/>
  <c r="L595" i="10"/>
  <c r="AE46" i="33" s="1"/>
  <c r="M595" i="10"/>
  <c r="AF46" i="33" s="1"/>
  <c r="H595" i="10"/>
  <c r="AA46" i="33" s="1"/>
  <c r="I586" i="10"/>
  <c r="AB45" i="33" s="1"/>
  <c r="J586" i="10"/>
  <c r="AC45" i="33" s="1"/>
  <c r="K586" i="10"/>
  <c r="AD45" i="33" s="1"/>
  <c r="L586" i="10"/>
  <c r="AE45" i="33" s="1"/>
  <c r="M586" i="10"/>
  <c r="AF45" i="33" s="1"/>
  <c r="H586" i="10"/>
  <c r="AA45" i="33" s="1"/>
  <c r="F637" i="10"/>
  <c r="F71" i="33" s="1"/>
  <c r="Y57" i="33" s="1"/>
  <c r="X636" i="10"/>
  <c r="X637" i="10" s="1"/>
  <c r="W636" i="10"/>
  <c r="W637" i="10" s="1"/>
  <c r="V636" i="10"/>
  <c r="V637" i="10" s="1"/>
  <c r="U636" i="10"/>
  <c r="U637" i="10" s="1"/>
  <c r="T636" i="10"/>
  <c r="T637" i="10" s="1"/>
  <c r="S636" i="10"/>
  <c r="R636" i="10"/>
  <c r="O636" i="10"/>
  <c r="Z635" i="10"/>
  <c r="O635" i="10"/>
  <c r="Z634" i="10"/>
  <c r="R634" i="10"/>
  <c r="O634" i="10"/>
  <c r="Z633" i="10"/>
  <c r="R633" i="10"/>
  <c r="O633" i="10"/>
  <c r="Z632" i="10"/>
  <c r="O632" i="10"/>
  <c r="Z631" i="10"/>
  <c r="A631" i="10"/>
  <c r="F628" i="10"/>
  <c r="F70" i="33" s="1"/>
  <c r="Y56" i="33" s="1"/>
  <c r="X627" i="10"/>
  <c r="X628" i="10" s="1"/>
  <c r="W627" i="10"/>
  <c r="W628" i="10" s="1"/>
  <c r="V627" i="10"/>
  <c r="V628" i="10" s="1"/>
  <c r="U627" i="10"/>
  <c r="U628" i="10" s="1"/>
  <c r="T627" i="10"/>
  <c r="T628" i="10" s="1"/>
  <c r="S627" i="10"/>
  <c r="R627" i="10"/>
  <c r="O627" i="10"/>
  <c r="Z626" i="10"/>
  <c r="O626" i="10"/>
  <c r="Z625" i="10"/>
  <c r="R625" i="10"/>
  <c r="O625" i="10"/>
  <c r="Z624" i="10"/>
  <c r="R624" i="10"/>
  <c r="O624" i="10"/>
  <c r="Z623" i="10"/>
  <c r="O623" i="10"/>
  <c r="Z622" i="10"/>
  <c r="A622" i="10"/>
  <c r="F619" i="10"/>
  <c r="F69" i="33" s="1"/>
  <c r="Y55" i="33" s="1"/>
  <c r="X618" i="10"/>
  <c r="X619" i="10" s="1"/>
  <c r="W618" i="10"/>
  <c r="W619" i="10" s="1"/>
  <c r="V618" i="10"/>
  <c r="V619" i="10" s="1"/>
  <c r="U618" i="10"/>
  <c r="U619" i="10" s="1"/>
  <c r="T618" i="10"/>
  <c r="T619" i="10" s="1"/>
  <c r="S618" i="10"/>
  <c r="R618" i="10"/>
  <c r="O618" i="10"/>
  <c r="Z617" i="10"/>
  <c r="O617" i="10"/>
  <c r="Z616" i="10"/>
  <c r="R616" i="10"/>
  <c r="O616" i="10"/>
  <c r="Z615" i="10"/>
  <c r="R615" i="10"/>
  <c r="O615" i="10"/>
  <c r="Z614" i="10"/>
  <c r="O614" i="10"/>
  <c r="Z613" i="10"/>
  <c r="A613" i="10"/>
  <c r="F610" i="10"/>
  <c r="F68" i="33" s="1"/>
  <c r="Y54" i="33" s="1"/>
  <c r="X609" i="10"/>
  <c r="X610" i="10" s="1"/>
  <c r="W609" i="10"/>
  <c r="W610" i="10" s="1"/>
  <c r="V609" i="10"/>
  <c r="V610" i="10" s="1"/>
  <c r="U609" i="10"/>
  <c r="U610" i="10" s="1"/>
  <c r="T609" i="10"/>
  <c r="T610" i="10" s="1"/>
  <c r="S609" i="10"/>
  <c r="R609" i="10"/>
  <c r="O609" i="10"/>
  <c r="Z608" i="10"/>
  <c r="O608" i="10"/>
  <c r="Z607" i="10"/>
  <c r="R607" i="10"/>
  <c r="O607" i="10"/>
  <c r="Z606" i="10"/>
  <c r="R606" i="10"/>
  <c r="O606" i="10"/>
  <c r="Z605" i="10"/>
  <c r="O605" i="10"/>
  <c r="Z604" i="10"/>
  <c r="A604" i="10"/>
  <c r="F601" i="10"/>
  <c r="F67" i="33" s="1"/>
  <c r="Y53" i="33" s="1"/>
  <c r="X600" i="10"/>
  <c r="X601" i="10" s="1"/>
  <c r="W600" i="10"/>
  <c r="W601" i="10" s="1"/>
  <c r="V600" i="10"/>
  <c r="V601" i="10" s="1"/>
  <c r="U600" i="10"/>
  <c r="U601" i="10" s="1"/>
  <c r="T600" i="10"/>
  <c r="T601" i="10" s="1"/>
  <c r="S600" i="10"/>
  <c r="R600" i="10"/>
  <c r="O600" i="10"/>
  <c r="Z599" i="10"/>
  <c r="O599" i="10"/>
  <c r="Z598" i="10"/>
  <c r="R598" i="10"/>
  <c r="O598" i="10"/>
  <c r="Z597" i="10"/>
  <c r="R597" i="10"/>
  <c r="O597" i="10"/>
  <c r="Z596" i="10"/>
  <c r="O596" i="10"/>
  <c r="Z595" i="10"/>
  <c r="D595" i="10"/>
  <c r="W46" i="33" s="1"/>
  <c r="A595" i="10"/>
  <c r="F592" i="10"/>
  <c r="F66" i="33" s="1"/>
  <c r="Y52" i="33" s="1"/>
  <c r="X591" i="10"/>
  <c r="X592" i="10" s="1"/>
  <c r="W591" i="10"/>
  <c r="W592" i="10" s="1"/>
  <c r="V591" i="10"/>
  <c r="V592" i="10" s="1"/>
  <c r="U591" i="10"/>
  <c r="U592" i="10" s="1"/>
  <c r="T591" i="10"/>
  <c r="T592" i="10" s="1"/>
  <c r="S591" i="10"/>
  <c r="R591" i="10"/>
  <c r="O591" i="10"/>
  <c r="Z590" i="10"/>
  <c r="O590" i="10"/>
  <c r="Z589" i="10"/>
  <c r="R589" i="10"/>
  <c r="O589" i="10"/>
  <c r="Z588" i="10"/>
  <c r="R588" i="10"/>
  <c r="O588" i="10"/>
  <c r="Z587" i="10"/>
  <c r="O587" i="10"/>
  <c r="Z586" i="10"/>
  <c r="D586" i="10"/>
  <c r="W45" i="33" s="1"/>
  <c r="A586" i="10"/>
  <c r="I577" i="10"/>
  <c r="J577" i="10"/>
  <c r="K577" i="10"/>
  <c r="L577" i="10"/>
  <c r="M577" i="10"/>
  <c r="AF177" i="33" s="1"/>
  <c r="H577" i="10"/>
  <c r="I568" i="10"/>
  <c r="J568" i="10"/>
  <c r="K568" i="10"/>
  <c r="L568" i="10"/>
  <c r="M568" i="10"/>
  <c r="H568" i="10"/>
  <c r="I559" i="10"/>
  <c r="J559" i="10"/>
  <c r="K559" i="10"/>
  <c r="L559" i="10"/>
  <c r="M559" i="10"/>
  <c r="H559" i="10"/>
  <c r="I550" i="10"/>
  <c r="J550" i="10"/>
  <c r="K550" i="10"/>
  <c r="L550" i="10"/>
  <c r="M550" i="10"/>
  <c r="H550" i="10"/>
  <c r="I541" i="10"/>
  <c r="J541" i="10"/>
  <c r="K541" i="10"/>
  <c r="L541" i="10"/>
  <c r="M541" i="10"/>
  <c r="H541" i="10"/>
  <c r="F556" i="10"/>
  <c r="F62" i="33" s="1"/>
  <c r="X555" i="10"/>
  <c r="X556" i="10" s="1"/>
  <c r="W555" i="10"/>
  <c r="W556" i="10" s="1"/>
  <c r="V555" i="10"/>
  <c r="V556" i="10" s="1"/>
  <c r="U555" i="10"/>
  <c r="U556" i="10" s="1"/>
  <c r="T555" i="10"/>
  <c r="T556" i="10" s="1"/>
  <c r="S555" i="10"/>
  <c r="R555" i="10"/>
  <c r="O555" i="10"/>
  <c r="Z554" i="10"/>
  <c r="O554" i="10"/>
  <c r="Z553" i="10"/>
  <c r="R553" i="10"/>
  <c r="O553" i="10"/>
  <c r="Z552" i="10"/>
  <c r="R552" i="10"/>
  <c r="O552" i="10"/>
  <c r="Z551" i="10"/>
  <c r="O551" i="10"/>
  <c r="Z550" i="10"/>
  <c r="A550" i="10"/>
  <c r="J66" i="20"/>
  <c r="F583" i="10"/>
  <c r="F65" i="33" s="1"/>
  <c r="X582" i="10"/>
  <c r="X583" i="10" s="1"/>
  <c r="W582" i="10"/>
  <c r="W583" i="10" s="1"/>
  <c r="V582" i="10"/>
  <c r="V583" i="10" s="1"/>
  <c r="U582" i="10"/>
  <c r="U583" i="10" s="1"/>
  <c r="T582" i="10"/>
  <c r="T583" i="10" s="1"/>
  <c r="S582" i="10"/>
  <c r="S583" i="10" s="1"/>
  <c r="R582" i="10"/>
  <c r="O582" i="10"/>
  <c r="O581" i="10"/>
  <c r="R580" i="10"/>
  <c r="O580" i="10"/>
  <c r="R579" i="10"/>
  <c r="O579" i="10"/>
  <c r="O578" i="10"/>
  <c r="D577" i="10"/>
  <c r="W177" i="33" s="1"/>
  <c r="A577" i="10"/>
  <c r="F574" i="10"/>
  <c r="F64" i="33" s="1"/>
  <c r="X573" i="10"/>
  <c r="X574" i="10" s="1"/>
  <c r="W573" i="10"/>
  <c r="W574" i="10" s="1"/>
  <c r="V573" i="10"/>
  <c r="V574" i="10" s="1"/>
  <c r="U573" i="10"/>
  <c r="U574" i="10" s="1"/>
  <c r="T573" i="10"/>
  <c r="T574" i="10" s="1"/>
  <c r="S573" i="10"/>
  <c r="R573" i="10"/>
  <c r="O573" i="10"/>
  <c r="Z572" i="10"/>
  <c r="O572" i="10"/>
  <c r="Z571" i="10"/>
  <c r="R571" i="10"/>
  <c r="O571" i="10"/>
  <c r="Z570" i="10"/>
  <c r="R570" i="10"/>
  <c r="O570" i="10"/>
  <c r="Z569" i="10"/>
  <c r="O569" i="10"/>
  <c r="Z568" i="10"/>
  <c r="D568" i="10"/>
  <c r="W176" i="33" s="1"/>
  <c r="A568" i="10"/>
  <c r="F547" i="10"/>
  <c r="F61" i="33" s="1"/>
  <c r="X546" i="10"/>
  <c r="X547" i="10" s="1"/>
  <c r="W546" i="10"/>
  <c r="W547" i="10" s="1"/>
  <c r="V546" i="10"/>
  <c r="V547" i="10" s="1"/>
  <c r="U546" i="10"/>
  <c r="U547" i="10" s="1"/>
  <c r="T546" i="10"/>
  <c r="T547" i="10" s="1"/>
  <c r="S546" i="10"/>
  <c r="R546" i="10"/>
  <c r="O546" i="10"/>
  <c r="Z545" i="10"/>
  <c r="O545" i="10"/>
  <c r="Z544" i="10"/>
  <c r="R544" i="10"/>
  <c r="O544" i="10"/>
  <c r="Z543" i="10"/>
  <c r="R543" i="10"/>
  <c r="O543" i="10"/>
  <c r="Z542" i="10"/>
  <c r="O542" i="10"/>
  <c r="Z541" i="10"/>
  <c r="A541" i="10"/>
  <c r="F565" i="10"/>
  <c r="F63" i="33" s="1"/>
  <c r="X564" i="10"/>
  <c r="X565" i="10" s="1"/>
  <c r="W564" i="10"/>
  <c r="W565" i="10" s="1"/>
  <c r="V564" i="10"/>
  <c r="V565" i="10" s="1"/>
  <c r="U564" i="10"/>
  <c r="U565" i="10" s="1"/>
  <c r="T564" i="10"/>
  <c r="T565" i="10" s="1"/>
  <c r="S564" i="10"/>
  <c r="R564" i="10"/>
  <c r="O564" i="10"/>
  <c r="Z563" i="10"/>
  <c r="O563" i="10"/>
  <c r="Z562" i="10"/>
  <c r="R562" i="10"/>
  <c r="O562" i="10"/>
  <c r="Z561" i="10"/>
  <c r="R561" i="10"/>
  <c r="O561" i="10"/>
  <c r="Z560" i="10"/>
  <c r="O560" i="10"/>
  <c r="Z559" i="10"/>
  <c r="D559" i="10"/>
  <c r="W175" i="33" s="1"/>
  <c r="A559" i="10"/>
  <c r="I532" i="10"/>
  <c r="J532" i="10"/>
  <c r="K532" i="10"/>
  <c r="L532" i="10"/>
  <c r="M532" i="10"/>
  <c r="H532" i="10"/>
  <c r="F538" i="10"/>
  <c r="F60" i="33" s="1"/>
  <c r="X537" i="10"/>
  <c r="X538" i="10" s="1"/>
  <c r="W537" i="10"/>
  <c r="W538" i="10" s="1"/>
  <c r="V537" i="10"/>
  <c r="V538" i="10" s="1"/>
  <c r="U537" i="10"/>
  <c r="U538" i="10" s="1"/>
  <c r="T537" i="10"/>
  <c r="T538" i="10" s="1"/>
  <c r="S537" i="10"/>
  <c r="R537" i="10"/>
  <c r="O537" i="10"/>
  <c r="Z536" i="10"/>
  <c r="O536" i="10"/>
  <c r="Z535" i="10"/>
  <c r="R535" i="10"/>
  <c r="O535" i="10"/>
  <c r="Z534" i="10"/>
  <c r="R534" i="10"/>
  <c r="O534" i="10"/>
  <c r="Z533" i="10"/>
  <c r="O533" i="10"/>
  <c r="Z532" i="10"/>
  <c r="D532" i="10"/>
  <c r="W172" i="33" s="1"/>
  <c r="A532" i="10"/>
  <c r="I523" i="10"/>
  <c r="AB171" i="33" s="1"/>
  <c r="J523" i="10"/>
  <c r="AC171" i="33" s="1"/>
  <c r="K523" i="10"/>
  <c r="AD171" i="33" s="1"/>
  <c r="L523" i="10"/>
  <c r="AE171" i="33" s="1"/>
  <c r="M523" i="10"/>
  <c r="AF171" i="33" s="1"/>
  <c r="H523" i="10"/>
  <c r="AA171" i="33" s="1"/>
  <c r="I505" i="10"/>
  <c r="AB169" i="33" s="1"/>
  <c r="J505" i="10"/>
  <c r="AC169" i="33" s="1"/>
  <c r="K505" i="10"/>
  <c r="AD169" i="33" s="1"/>
  <c r="L505" i="10"/>
  <c r="AE169" i="33" s="1"/>
  <c r="M505" i="10"/>
  <c r="AF169" i="33" s="1"/>
  <c r="H505" i="10"/>
  <c r="AA169" i="33" s="1"/>
  <c r="I496" i="10"/>
  <c r="AB135" i="33" s="1"/>
  <c r="J496" i="10"/>
  <c r="AC135" i="33" s="1"/>
  <c r="K496" i="10"/>
  <c r="AD135" i="33" s="1"/>
  <c r="L496" i="10"/>
  <c r="AE135" i="33" s="1"/>
  <c r="M496" i="10"/>
  <c r="AF135" i="33" s="1"/>
  <c r="H496" i="10"/>
  <c r="AA135" i="33" s="1"/>
  <c r="I487" i="10"/>
  <c r="J487" i="10"/>
  <c r="K487" i="10"/>
  <c r="L487" i="10"/>
  <c r="M487" i="10"/>
  <c r="H487" i="10"/>
  <c r="F493" i="10"/>
  <c r="F55" i="33" s="1"/>
  <c r="Y145" i="33" s="1"/>
  <c r="X492" i="10"/>
  <c r="X493" i="10" s="1"/>
  <c r="W492" i="10"/>
  <c r="W493" i="10" s="1"/>
  <c r="V492" i="10"/>
  <c r="V493" i="10" s="1"/>
  <c r="U492" i="10"/>
  <c r="U493" i="10" s="1"/>
  <c r="T492" i="10"/>
  <c r="T493" i="10" s="1"/>
  <c r="S492" i="10"/>
  <c r="R492" i="10"/>
  <c r="O492" i="10"/>
  <c r="Z491" i="10"/>
  <c r="O491" i="10"/>
  <c r="Z490" i="10"/>
  <c r="R490" i="10"/>
  <c r="O490" i="10"/>
  <c r="Z489" i="10"/>
  <c r="R489" i="10"/>
  <c r="O489" i="10"/>
  <c r="Z488" i="10"/>
  <c r="O488" i="10"/>
  <c r="Z487" i="10"/>
  <c r="D487" i="10"/>
  <c r="W143" i="33" s="1"/>
  <c r="A487" i="10"/>
  <c r="I469" i="10"/>
  <c r="J469" i="10"/>
  <c r="K469" i="10"/>
  <c r="L469" i="10"/>
  <c r="M469" i="10"/>
  <c r="H469" i="10"/>
  <c r="F475" i="10"/>
  <c r="F53" i="33" s="1"/>
  <c r="Y33" i="33" s="1"/>
  <c r="X474" i="10"/>
  <c r="X475" i="10" s="1"/>
  <c r="W474" i="10"/>
  <c r="W475" i="10" s="1"/>
  <c r="V474" i="10"/>
  <c r="V475" i="10" s="1"/>
  <c r="U474" i="10"/>
  <c r="U475" i="10" s="1"/>
  <c r="T474" i="10"/>
  <c r="T475" i="10" s="1"/>
  <c r="S474" i="10"/>
  <c r="R474" i="10"/>
  <c r="O474" i="10"/>
  <c r="Z473" i="10"/>
  <c r="O473" i="10"/>
  <c r="Z472" i="10"/>
  <c r="R472" i="10"/>
  <c r="O472" i="10"/>
  <c r="Z471" i="10"/>
  <c r="R471" i="10"/>
  <c r="O471" i="10"/>
  <c r="Z470" i="10"/>
  <c r="O470" i="10"/>
  <c r="Z469" i="10"/>
  <c r="D469" i="10"/>
  <c r="W29" i="33" s="1"/>
  <c r="A469" i="10"/>
  <c r="I460" i="10"/>
  <c r="AB28" i="33" s="1"/>
  <c r="J460" i="10"/>
  <c r="AC28" i="33" s="1"/>
  <c r="K460" i="10"/>
  <c r="AD28" i="33" s="1"/>
  <c r="L460" i="10"/>
  <c r="AE28" i="33" s="1"/>
  <c r="M460" i="10"/>
  <c r="AF28" i="33" s="1"/>
  <c r="H460" i="10"/>
  <c r="AA28" i="33" s="1"/>
  <c r="I451" i="10"/>
  <c r="J451" i="10"/>
  <c r="K451" i="10"/>
  <c r="L451" i="10"/>
  <c r="M451" i="10"/>
  <c r="H451" i="10"/>
  <c r="AA71" i="33" s="1"/>
  <c r="I442" i="10"/>
  <c r="J442" i="10"/>
  <c r="K442" i="10"/>
  <c r="L442" i="10"/>
  <c r="M442" i="10"/>
  <c r="H442" i="10"/>
  <c r="F457" i="10"/>
  <c r="F51" i="33" s="1"/>
  <c r="Y74" i="33" s="1"/>
  <c r="X456" i="10"/>
  <c r="X457" i="10" s="1"/>
  <c r="W456" i="10"/>
  <c r="W457" i="10" s="1"/>
  <c r="V456" i="10"/>
  <c r="V457" i="10" s="1"/>
  <c r="U456" i="10"/>
  <c r="U457" i="10" s="1"/>
  <c r="T456" i="10"/>
  <c r="T457" i="10" s="1"/>
  <c r="S456" i="10"/>
  <c r="R456" i="10"/>
  <c r="O456" i="10"/>
  <c r="Z455" i="10"/>
  <c r="O455" i="10"/>
  <c r="Z454" i="10"/>
  <c r="R454" i="10"/>
  <c r="O454" i="10"/>
  <c r="Z453" i="10"/>
  <c r="R453" i="10"/>
  <c r="O453" i="10"/>
  <c r="Z452" i="10"/>
  <c r="O452" i="10"/>
  <c r="Z451" i="10"/>
  <c r="D451" i="10"/>
  <c r="W71" i="33" s="1"/>
  <c r="A451" i="10"/>
  <c r="I433" i="10"/>
  <c r="J433" i="10"/>
  <c r="K433" i="10"/>
  <c r="L433" i="10"/>
  <c r="M433" i="10"/>
  <c r="H433" i="10"/>
  <c r="I424" i="10"/>
  <c r="AB129" i="33" s="1"/>
  <c r="J424" i="10"/>
  <c r="AC129" i="33" s="1"/>
  <c r="K424" i="10"/>
  <c r="AD129" i="33" s="1"/>
  <c r="L424" i="10"/>
  <c r="AE129" i="33" s="1"/>
  <c r="M424" i="10"/>
  <c r="AF129" i="33" s="1"/>
  <c r="H424" i="10"/>
  <c r="AA129" i="33" s="1"/>
  <c r="F439" i="10"/>
  <c r="F49" i="33" s="1"/>
  <c r="Y133" i="33" s="1"/>
  <c r="X438" i="10"/>
  <c r="X439" i="10" s="1"/>
  <c r="W438" i="10"/>
  <c r="W439" i="10" s="1"/>
  <c r="V438" i="10"/>
  <c r="V439" i="10" s="1"/>
  <c r="U438" i="10"/>
  <c r="U439" i="10" s="1"/>
  <c r="T438" i="10"/>
  <c r="T439" i="10" s="1"/>
  <c r="S438" i="10"/>
  <c r="S439" i="10" s="1"/>
  <c r="R438" i="10"/>
  <c r="O438" i="10"/>
  <c r="Z437" i="10"/>
  <c r="O437" i="10"/>
  <c r="Z436" i="10"/>
  <c r="R436" i="10"/>
  <c r="O436" i="10"/>
  <c r="Z435" i="10"/>
  <c r="R435" i="10"/>
  <c r="O435" i="10"/>
  <c r="Z434" i="10"/>
  <c r="O434" i="10"/>
  <c r="Z433" i="10"/>
  <c r="D433" i="10"/>
  <c r="W130" i="33" s="1"/>
  <c r="A433" i="10"/>
  <c r="I415" i="10"/>
  <c r="J415" i="10"/>
  <c r="K415" i="10"/>
  <c r="L415" i="10"/>
  <c r="M415" i="10"/>
  <c r="H415" i="10"/>
  <c r="F421" i="10"/>
  <c r="F47" i="33" s="1"/>
  <c r="X420" i="10"/>
  <c r="X421" i="10" s="1"/>
  <c r="W420" i="10"/>
  <c r="W421" i="10" s="1"/>
  <c r="V420" i="10"/>
  <c r="V421" i="10" s="1"/>
  <c r="U420" i="10"/>
  <c r="U421" i="10" s="1"/>
  <c r="T420" i="10"/>
  <c r="T421" i="10" s="1"/>
  <c r="S420" i="10"/>
  <c r="R420" i="10"/>
  <c r="O420" i="10"/>
  <c r="Z419" i="10"/>
  <c r="O419" i="10"/>
  <c r="Z418" i="10"/>
  <c r="R418" i="10"/>
  <c r="O418" i="10"/>
  <c r="Z417" i="10"/>
  <c r="R417" i="10"/>
  <c r="O417" i="10"/>
  <c r="Z416" i="10"/>
  <c r="O416" i="10"/>
  <c r="Z415" i="10"/>
  <c r="D415" i="10"/>
  <c r="W168" i="33" s="1"/>
  <c r="A415" i="10"/>
  <c r="I406" i="10"/>
  <c r="J406" i="10"/>
  <c r="K406" i="10"/>
  <c r="L406" i="10"/>
  <c r="M406" i="10"/>
  <c r="H406" i="10"/>
  <c r="F412" i="10"/>
  <c r="F46" i="33" s="1"/>
  <c r="X411" i="10"/>
  <c r="X412" i="10" s="1"/>
  <c r="W411" i="10"/>
  <c r="W412" i="10" s="1"/>
  <c r="V411" i="10"/>
  <c r="V412" i="10" s="1"/>
  <c r="U411" i="10"/>
  <c r="U412" i="10" s="1"/>
  <c r="T411" i="10"/>
  <c r="T412" i="10" s="1"/>
  <c r="S411" i="10"/>
  <c r="R411" i="10"/>
  <c r="O411" i="10"/>
  <c r="Z410" i="10"/>
  <c r="O410" i="10"/>
  <c r="Z409" i="10"/>
  <c r="R409" i="10"/>
  <c r="O409" i="10"/>
  <c r="Z408" i="10"/>
  <c r="R408" i="10"/>
  <c r="O408" i="10"/>
  <c r="Z407" i="10"/>
  <c r="O407" i="10"/>
  <c r="Z406" i="10"/>
  <c r="D406" i="10"/>
  <c r="W167" i="33" s="1"/>
  <c r="A406" i="10"/>
  <c r="I397" i="10"/>
  <c r="AB166" i="33" s="1"/>
  <c r="J397" i="10"/>
  <c r="AC166" i="33" s="1"/>
  <c r="K397" i="10"/>
  <c r="AD166" i="33" s="1"/>
  <c r="L397" i="10"/>
  <c r="AE166" i="33" s="1"/>
  <c r="M397" i="10"/>
  <c r="AF166" i="33" s="1"/>
  <c r="H397" i="10"/>
  <c r="AA166" i="33" s="1"/>
  <c r="I388" i="10"/>
  <c r="AB139" i="33" s="1"/>
  <c r="J388" i="10"/>
  <c r="AC139" i="33" s="1"/>
  <c r="K388" i="10"/>
  <c r="AD139" i="33" s="1"/>
  <c r="L388" i="10"/>
  <c r="AE139" i="33" s="1"/>
  <c r="M388" i="10"/>
  <c r="AF139" i="33" s="1"/>
  <c r="H388" i="10"/>
  <c r="AA139" i="33" s="1"/>
  <c r="I379" i="10"/>
  <c r="J379" i="10"/>
  <c r="K379" i="10"/>
  <c r="L379" i="10"/>
  <c r="M379" i="10"/>
  <c r="H379" i="10"/>
  <c r="F385" i="10"/>
  <c r="F43" i="33" s="1"/>
  <c r="Y91" i="33" s="1"/>
  <c r="X384" i="10"/>
  <c r="X385" i="10" s="1"/>
  <c r="W384" i="10"/>
  <c r="W385" i="10" s="1"/>
  <c r="V384" i="10"/>
  <c r="V385" i="10" s="1"/>
  <c r="U384" i="10"/>
  <c r="U385" i="10" s="1"/>
  <c r="T384" i="10"/>
  <c r="T385" i="10" s="1"/>
  <c r="S384" i="10"/>
  <c r="S385" i="10" s="1"/>
  <c r="R384" i="10"/>
  <c r="O384" i="10"/>
  <c r="Z383" i="10"/>
  <c r="O383" i="10"/>
  <c r="Z382" i="10"/>
  <c r="R382" i="10"/>
  <c r="O382" i="10"/>
  <c r="Z381" i="10"/>
  <c r="R381" i="10"/>
  <c r="O381" i="10"/>
  <c r="Z380" i="10"/>
  <c r="O380" i="10"/>
  <c r="Z379" i="10"/>
  <c r="D379" i="10"/>
  <c r="W87" i="33" s="1"/>
  <c r="A379" i="10"/>
  <c r="I370" i="10"/>
  <c r="AB86" i="33" s="1"/>
  <c r="J370" i="10"/>
  <c r="AC86" i="33" s="1"/>
  <c r="K370" i="10"/>
  <c r="AD86" i="33" s="1"/>
  <c r="L370" i="10"/>
  <c r="AE86" i="33" s="1"/>
  <c r="M370" i="10"/>
  <c r="AF86" i="33" s="1"/>
  <c r="H370" i="10"/>
  <c r="AA86" i="33" s="1"/>
  <c r="I361" i="10"/>
  <c r="AB85" i="33" s="1"/>
  <c r="J361" i="10"/>
  <c r="AC85" i="33" s="1"/>
  <c r="K361" i="10"/>
  <c r="AD85" i="33" s="1"/>
  <c r="L361" i="10"/>
  <c r="AE85" i="33" s="1"/>
  <c r="M361" i="10"/>
  <c r="AF85" i="33" s="1"/>
  <c r="H361" i="10"/>
  <c r="AA85" i="33" s="1"/>
  <c r="I352" i="10"/>
  <c r="AB165" i="33" s="1"/>
  <c r="J352" i="10"/>
  <c r="AC165" i="33" s="1"/>
  <c r="K352" i="10"/>
  <c r="AD165" i="33" s="1"/>
  <c r="L352" i="10"/>
  <c r="AE165" i="33" s="1"/>
  <c r="M352" i="10"/>
  <c r="AF165" i="33" s="1"/>
  <c r="H352" i="10"/>
  <c r="AA165" i="33" s="1"/>
  <c r="I343" i="10"/>
  <c r="J343" i="10"/>
  <c r="K343" i="10"/>
  <c r="L343" i="10"/>
  <c r="M343" i="10"/>
  <c r="H343" i="10"/>
  <c r="AA164" i="33" s="1"/>
  <c r="I334" i="10"/>
  <c r="J334" i="10"/>
  <c r="K334" i="10"/>
  <c r="L334" i="10"/>
  <c r="M334" i="10"/>
  <c r="H334" i="10"/>
  <c r="I325" i="10"/>
  <c r="AB162" i="33" s="1"/>
  <c r="J325" i="10"/>
  <c r="AC162" i="33" s="1"/>
  <c r="K325" i="10"/>
  <c r="AD162" i="33" s="1"/>
  <c r="L325" i="10"/>
  <c r="AE162" i="33" s="1"/>
  <c r="M325" i="10"/>
  <c r="AF162" i="33" s="1"/>
  <c r="H325" i="10"/>
  <c r="AA162" i="33" s="1"/>
  <c r="G349" i="10"/>
  <c r="G39" i="33" s="1"/>
  <c r="F349" i="10"/>
  <c r="F39" i="33" s="1"/>
  <c r="X348" i="10"/>
  <c r="X349" i="10" s="1"/>
  <c r="W348" i="10"/>
  <c r="W349" i="10" s="1"/>
  <c r="V348" i="10"/>
  <c r="V349" i="10" s="1"/>
  <c r="U348" i="10"/>
  <c r="U349" i="10" s="1"/>
  <c r="T348" i="10"/>
  <c r="T349" i="10" s="1"/>
  <c r="S348" i="10"/>
  <c r="S349" i="10" s="1"/>
  <c r="R348" i="10"/>
  <c r="O348" i="10"/>
  <c r="Z347" i="10"/>
  <c r="O347" i="10"/>
  <c r="Z346" i="10"/>
  <c r="R346" i="10"/>
  <c r="O346" i="10"/>
  <c r="Z345" i="10"/>
  <c r="R345" i="10"/>
  <c r="O345" i="10"/>
  <c r="Z344" i="10"/>
  <c r="O344" i="10"/>
  <c r="Z343" i="10"/>
  <c r="D343" i="10"/>
  <c r="W164" i="33" s="1"/>
  <c r="A343" i="10"/>
  <c r="G340" i="10"/>
  <c r="G38" i="33" s="1"/>
  <c r="F340" i="10"/>
  <c r="F38" i="33" s="1"/>
  <c r="X339" i="10"/>
  <c r="X340" i="10" s="1"/>
  <c r="W339" i="10"/>
  <c r="W340" i="10" s="1"/>
  <c r="V339" i="10"/>
  <c r="V340" i="10" s="1"/>
  <c r="U339" i="10"/>
  <c r="U340" i="10" s="1"/>
  <c r="T339" i="10"/>
  <c r="T340" i="10" s="1"/>
  <c r="S339" i="10"/>
  <c r="S340" i="10" s="1"/>
  <c r="R339" i="10"/>
  <c r="O339" i="10"/>
  <c r="Z338" i="10"/>
  <c r="O338" i="10"/>
  <c r="Z337" i="10"/>
  <c r="R337" i="10"/>
  <c r="O337" i="10"/>
  <c r="Z336" i="10"/>
  <c r="R336" i="10"/>
  <c r="O336" i="10"/>
  <c r="Z335" i="10"/>
  <c r="O335" i="10"/>
  <c r="Z334" i="10"/>
  <c r="D334" i="10"/>
  <c r="W163" i="33" s="1"/>
  <c r="A334" i="10"/>
  <c r="I316" i="10"/>
  <c r="J316" i="10"/>
  <c r="K316" i="10"/>
  <c r="L316" i="10"/>
  <c r="M316" i="10"/>
  <c r="H316" i="10"/>
  <c r="AA12" i="33" s="1"/>
  <c r="H307" i="10"/>
  <c r="AA11" i="33" s="1"/>
  <c r="I298" i="10"/>
  <c r="AB10" i="33" s="1"/>
  <c r="J298" i="10"/>
  <c r="AC10" i="33" s="1"/>
  <c r="K298" i="10"/>
  <c r="AD10" i="33" s="1"/>
  <c r="L298" i="10"/>
  <c r="AE10" i="33" s="1"/>
  <c r="M298" i="10"/>
  <c r="AF10" i="33" s="1"/>
  <c r="H298" i="10"/>
  <c r="AA10" i="33" s="1"/>
  <c r="F322" i="10"/>
  <c r="F36" i="33" s="1"/>
  <c r="Y16" i="33" s="1"/>
  <c r="X321" i="10"/>
  <c r="X322" i="10" s="1"/>
  <c r="W321" i="10"/>
  <c r="W322" i="10" s="1"/>
  <c r="V321" i="10"/>
  <c r="V322" i="10" s="1"/>
  <c r="U321" i="10"/>
  <c r="U322" i="10" s="1"/>
  <c r="T321" i="10"/>
  <c r="T322" i="10" s="1"/>
  <c r="S321" i="10"/>
  <c r="R321" i="10"/>
  <c r="O321" i="10"/>
  <c r="Z320" i="10"/>
  <c r="O320" i="10"/>
  <c r="Z319" i="10"/>
  <c r="R319" i="10"/>
  <c r="O319" i="10"/>
  <c r="Z318" i="10"/>
  <c r="R318" i="10"/>
  <c r="O318" i="10"/>
  <c r="Z317" i="10"/>
  <c r="O317" i="10"/>
  <c r="Z316" i="10"/>
  <c r="D316" i="10"/>
  <c r="W12" i="33" s="1"/>
  <c r="A316" i="10"/>
  <c r="I280" i="10"/>
  <c r="J280" i="10"/>
  <c r="K280" i="10"/>
  <c r="L280" i="10"/>
  <c r="M280" i="10"/>
  <c r="H280" i="10"/>
  <c r="F286" i="10"/>
  <c r="F32" i="33" s="1"/>
  <c r="X285" i="10"/>
  <c r="X286" i="10" s="1"/>
  <c r="W285" i="10"/>
  <c r="W286" i="10" s="1"/>
  <c r="V285" i="10"/>
  <c r="V286" i="10" s="1"/>
  <c r="U285" i="10"/>
  <c r="U286" i="10" s="1"/>
  <c r="T285" i="10"/>
  <c r="T286" i="10" s="1"/>
  <c r="S285" i="10"/>
  <c r="R285" i="10"/>
  <c r="O285" i="10"/>
  <c r="Z284" i="10"/>
  <c r="O284" i="10"/>
  <c r="Z283" i="10"/>
  <c r="R283" i="10"/>
  <c r="O283" i="10"/>
  <c r="Z282" i="10"/>
  <c r="R282" i="10"/>
  <c r="O282" i="10"/>
  <c r="Z281" i="10"/>
  <c r="O281" i="10"/>
  <c r="Z280" i="10"/>
  <c r="D280" i="10"/>
  <c r="W160" i="33" s="1"/>
  <c r="A280" i="10"/>
  <c r="I271" i="10"/>
  <c r="AB21" i="33" s="1"/>
  <c r="J271" i="10"/>
  <c r="K271" i="10"/>
  <c r="L271" i="10"/>
  <c r="M271" i="10"/>
  <c r="H271" i="10"/>
  <c r="I262" i="10"/>
  <c r="J262" i="10"/>
  <c r="K262" i="10"/>
  <c r="L262" i="10"/>
  <c r="M262" i="10"/>
  <c r="H262" i="10"/>
  <c r="I253" i="10"/>
  <c r="J253" i="10"/>
  <c r="K253" i="10"/>
  <c r="L253" i="10"/>
  <c r="M253" i="10"/>
  <c r="H253" i="10"/>
  <c r="I244" i="10"/>
  <c r="J244" i="10"/>
  <c r="K244" i="10"/>
  <c r="L244" i="10"/>
  <c r="M244" i="10"/>
  <c r="H244" i="10"/>
  <c r="I226" i="10"/>
  <c r="AB108" i="33" s="1"/>
  <c r="J226" i="10"/>
  <c r="AC108" i="33" s="1"/>
  <c r="K226" i="10"/>
  <c r="AD108" i="33" s="1"/>
  <c r="L226" i="10"/>
  <c r="AE108" i="33" s="1"/>
  <c r="M226" i="10"/>
  <c r="AF108" i="33" s="1"/>
  <c r="H226" i="10"/>
  <c r="AA108" i="33" s="1"/>
  <c r="I217" i="10"/>
  <c r="AB107" i="33" s="1"/>
  <c r="J217" i="10"/>
  <c r="AC107" i="33" s="1"/>
  <c r="K217" i="10"/>
  <c r="AD107" i="33" s="1"/>
  <c r="L217" i="10"/>
  <c r="AE107" i="33" s="1"/>
  <c r="M217" i="10"/>
  <c r="AF107" i="33" s="1"/>
  <c r="H217" i="10"/>
  <c r="AA107" i="33" s="1"/>
  <c r="J27" i="20"/>
  <c r="J28" i="20"/>
  <c r="F277" i="10"/>
  <c r="F31" i="33" s="1"/>
  <c r="Y26" i="33" s="1"/>
  <c r="X276" i="10"/>
  <c r="X277" i="10" s="1"/>
  <c r="W276" i="10"/>
  <c r="W277" i="10" s="1"/>
  <c r="V276" i="10"/>
  <c r="V277" i="10" s="1"/>
  <c r="U276" i="10"/>
  <c r="U277" i="10" s="1"/>
  <c r="T276" i="10"/>
  <c r="T277" i="10" s="1"/>
  <c r="S276" i="10"/>
  <c r="R276" i="10"/>
  <c r="O276" i="10"/>
  <c r="Z275" i="10"/>
  <c r="O275" i="10"/>
  <c r="Z274" i="10"/>
  <c r="R274" i="10"/>
  <c r="O274" i="10"/>
  <c r="Z273" i="10"/>
  <c r="R273" i="10"/>
  <c r="O273" i="10"/>
  <c r="Z272" i="10"/>
  <c r="O272" i="10"/>
  <c r="Z271" i="10"/>
  <c r="D271" i="10"/>
  <c r="W21" i="33" s="1"/>
  <c r="A271" i="10"/>
  <c r="F268" i="10"/>
  <c r="F30" i="33" s="1"/>
  <c r="Y25" i="33" s="1"/>
  <c r="X267" i="10"/>
  <c r="X268" i="10" s="1"/>
  <c r="W267" i="10"/>
  <c r="W268" i="10" s="1"/>
  <c r="V267" i="10"/>
  <c r="V268" i="10" s="1"/>
  <c r="U267" i="10"/>
  <c r="U268" i="10" s="1"/>
  <c r="T267" i="10"/>
  <c r="T268" i="10" s="1"/>
  <c r="S267" i="10"/>
  <c r="S268" i="10" s="1"/>
  <c r="R267" i="10"/>
  <c r="O267" i="10"/>
  <c r="Z266" i="10"/>
  <c r="O266" i="10"/>
  <c r="Z265" i="10"/>
  <c r="R265" i="10"/>
  <c r="O265" i="10"/>
  <c r="Z264" i="10"/>
  <c r="R264" i="10"/>
  <c r="O264" i="10"/>
  <c r="Z263" i="10"/>
  <c r="O263" i="10"/>
  <c r="Z262" i="10"/>
  <c r="D262" i="10"/>
  <c r="W20" i="33" s="1"/>
  <c r="A262" i="10"/>
  <c r="F259" i="10"/>
  <c r="F29" i="33" s="1"/>
  <c r="Y24" i="33" s="1"/>
  <c r="X258" i="10"/>
  <c r="X259" i="10" s="1"/>
  <c r="W258" i="10"/>
  <c r="W259" i="10" s="1"/>
  <c r="V258" i="10"/>
  <c r="V259" i="10" s="1"/>
  <c r="U258" i="10"/>
  <c r="U259" i="10" s="1"/>
  <c r="T258" i="10"/>
  <c r="T259" i="10" s="1"/>
  <c r="S258" i="10"/>
  <c r="R258" i="10"/>
  <c r="O258" i="10"/>
  <c r="Z257" i="10"/>
  <c r="O257" i="10"/>
  <c r="Z256" i="10"/>
  <c r="R256" i="10"/>
  <c r="O256" i="10"/>
  <c r="Z255" i="10"/>
  <c r="R255" i="10"/>
  <c r="O255" i="10"/>
  <c r="Z254" i="10"/>
  <c r="O254" i="10"/>
  <c r="Z253" i="10"/>
  <c r="D253" i="10"/>
  <c r="W19" i="33" s="1"/>
  <c r="A253" i="10"/>
  <c r="I199" i="10"/>
  <c r="AB158" i="33" s="1"/>
  <c r="J199" i="10"/>
  <c r="AC158" i="33" s="1"/>
  <c r="K199" i="10"/>
  <c r="AD158" i="33" s="1"/>
  <c r="L199" i="10"/>
  <c r="AE158" i="33" s="1"/>
  <c r="M199" i="10"/>
  <c r="AF158" i="33" s="1"/>
  <c r="H199" i="10"/>
  <c r="AA158" i="33" s="1"/>
  <c r="I190" i="10"/>
  <c r="AB157" i="33" s="1"/>
  <c r="J190" i="10"/>
  <c r="AC157" i="33" s="1"/>
  <c r="K190" i="10"/>
  <c r="AD157" i="33" s="1"/>
  <c r="L190" i="10"/>
  <c r="AE157" i="33" s="1"/>
  <c r="M190" i="10"/>
  <c r="AF157" i="33" s="1"/>
  <c r="H190" i="10"/>
  <c r="AA157" i="33" s="1"/>
  <c r="F205" i="10"/>
  <c r="F23" i="33" s="1"/>
  <c r="X204" i="10"/>
  <c r="X205" i="10" s="1"/>
  <c r="W204" i="10"/>
  <c r="W205" i="10" s="1"/>
  <c r="V204" i="10"/>
  <c r="V205" i="10" s="1"/>
  <c r="U204" i="10"/>
  <c r="U205" i="10" s="1"/>
  <c r="T204" i="10"/>
  <c r="T205" i="10" s="1"/>
  <c r="S204" i="10"/>
  <c r="R204" i="10"/>
  <c r="O204" i="10"/>
  <c r="Z203" i="10"/>
  <c r="O203" i="10"/>
  <c r="Z202" i="10"/>
  <c r="R202" i="10"/>
  <c r="O202" i="10"/>
  <c r="Z201" i="10"/>
  <c r="R201" i="10"/>
  <c r="O201" i="10"/>
  <c r="Z200" i="10"/>
  <c r="O200" i="10"/>
  <c r="Z199" i="10"/>
  <c r="D199" i="10"/>
  <c r="W158" i="33" s="1"/>
  <c r="A199" i="10"/>
  <c r="F196" i="10"/>
  <c r="F22" i="33" s="1"/>
  <c r="X195" i="10"/>
  <c r="X196" i="10" s="1"/>
  <c r="W195" i="10"/>
  <c r="W196" i="10" s="1"/>
  <c r="V195" i="10"/>
  <c r="V196" i="10" s="1"/>
  <c r="U195" i="10"/>
  <c r="T195" i="10"/>
  <c r="T196" i="10" s="1"/>
  <c r="S195" i="10"/>
  <c r="S196" i="10" s="1"/>
  <c r="R195" i="10"/>
  <c r="O195" i="10"/>
  <c r="Z194" i="10"/>
  <c r="O194" i="10"/>
  <c r="Z193" i="10"/>
  <c r="R193" i="10"/>
  <c r="O193" i="10"/>
  <c r="Z192" i="10"/>
  <c r="R192" i="10"/>
  <c r="O192" i="10"/>
  <c r="Z191" i="10"/>
  <c r="O191" i="10"/>
  <c r="Z190" i="10"/>
  <c r="D190" i="10"/>
  <c r="W157" i="33" s="1"/>
  <c r="A190" i="10"/>
  <c r="I181" i="10"/>
  <c r="J181" i="10"/>
  <c r="K181" i="10"/>
  <c r="L181" i="10"/>
  <c r="M181" i="10"/>
  <c r="H181" i="10"/>
  <c r="I172" i="10"/>
  <c r="J172" i="10"/>
  <c r="K172" i="10"/>
  <c r="L172" i="10"/>
  <c r="M172" i="10"/>
  <c r="H172" i="10"/>
  <c r="F187" i="10"/>
  <c r="F21" i="33" s="1"/>
  <c r="X186" i="10"/>
  <c r="X187" i="10" s="1"/>
  <c r="W186" i="10"/>
  <c r="W187" i="10" s="1"/>
  <c r="V186" i="10"/>
  <c r="V187" i="10" s="1"/>
  <c r="U186" i="10"/>
  <c r="U187" i="10" s="1"/>
  <c r="T186" i="10"/>
  <c r="T187" i="10" s="1"/>
  <c r="S186" i="10"/>
  <c r="R186" i="10"/>
  <c r="O186" i="10"/>
  <c r="Z185" i="10"/>
  <c r="O185" i="10"/>
  <c r="Z184" i="10"/>
  <c r="R184" i="10"/>
  <c r="O184" i="10"/>
  <c r="Z183" i="10"/>
  <c r="R183" i="10"/>
  <c r="O183" i="10"/>
  <c r="Z182" i="10"/>
  <c r="O182" i="10"/>
  <c r="Z181" i="10"/>
  <c r="D181" i="10"/>
  <c r="W156" i="33" s="1"/>
  <c r="A181" i="10"/>
  <c r="F178" i="10"/>
  <c r="F20" i="33" s="1"/>
  <c r="X177" i="10"/>
  <c r="X178" i="10" s="1"/>
  <c r="W177" i="10"/>
  <c r="W178" i="10" s="1"/>
  <c r="V177" i="10"/>
  <c r="V178" i="10" s="1"/>
  <c r="U177" i="10"/>
  <c r="U178" i="10" s="1"/>
  <c r="T177" i="10"/>
  <c r="T178" i="10" s="1"/>
  <c r="S177" i="10"/>
  <c r="R177" i="10"/>
  <c r="O177" i="10"/>
  <c r="Z176" i="10"/>
  <c r="O176" i="10"/>
  <c r="Z175" i="10"/>
  <c r="R175" i="10"/>
  <c r="O175" i="10"/>
  <c r="Z174" i="10"/>
  <c r="R174" i="10"/>
  <c r="O174" i="10"/>
  <c r="Z173" i="10"/>
  <c r="O173" i="10"/>
  <c r="Z172" i="10"/>
  <c r="D172" i="10"/>
  <c r="W155" i="33" s="1"/>
  <c r="A172" i="10"/>
  <c r="I163" i="10"/>
  <c r="AB119" i="33" s="1"/>
  <c r="J163" i="10"/>
  <c r="AC119" i="33" s="1"/>
  <c r="K163" i="10"/>
  <c r="AD119" i="33" s="1"/>
  <c r="L163" i="10"/>
  <c r="AE119" i="33" s="1"/>
  <c r="M163" i="10"/>
  <c r="AF119" i="33" s="1"/>
  <c r="H163" i="10"/>
  <c r="AA119" i="33" s="1"/>
  <c r="F169" i="10"/>
  <c r="F19" i="33" s="1"/>
  <c r="Y121" i="33" s="1"/>
  <c r="X168" i="10"/>
  <c r="X169" i="10" s="1"/>
  <c r="W168" i="10"/>
  <c r="W169" i="10" s="1"/>
  <c r="V168" i="10"/>
  <c r="V169" i="10" s="1"/>
  <c r="U168" i="10"/>
  <c r="U169" i="10" s="1"/>
  <c r="T168" i="10"/>
  <c r="T169" i="10" s="1"/>
  <c r="S168" i="10"/>
  <c r="S169" i="10" s="1"/>
  <c r="R168" i="10"/>
  <c r="O168" i="10"/>
  <c r="Z167" i="10"/>
  <c r="O167" i="10"/>
  <c r="Z166" i="10"/>
  <c r="R166" i="10"/>
  <c r="O166" i="10"/>
  <c r="Z165" i="10"/>
  <c r="R165" i="10"/>
  <c r="O165" i="10"/>
  <c r="Z164" i="10"/>
  <c r="O164" i="10"/>
  <c r="Z163" i="10"/>
  <c r="D163" i="10"/>
  <c r="W119" i="33" s="1"/>
  <c r="A163" i="10"/>
  <c r="I154" i="10"/>
  <c r="J154" i="10"/>
  <c r="K154" i="10"/>
  <c r="L154" i="10"/>
  <c r="M154" i="10"/>
  <c r="H154" i="10"/>
  <c r="I145" i="10"/>
  <c r="J145" i="10"/>
  <c r="K145" i="10"/>
  <c r="L145" i="10"/>
  <c r="M145" i="10"/>
  <c r="H145" i="10"/>
  <c r="I136" i="10"/>
  <c r="J136" i="10"/>
  <c r="K136" i="10"/>
  <c r="L136" i="10"/>
  <c r="M136" i="10"/>
  <c r="H136" i="10"/>
  <c r="F160" i="10"/>
  <c r="F18" i="33" s="1"/>
  <c r="X159" i="10"/>
  <c r="X160" i="10" s="1"/>
  <c r="W159" i="10"/>
  <c r="W160" i="10" s="1"/>
  <c r="V159" i="10"/>
  <c r="V160" i="10" s="1"/>
  <c r="U159" i="10"/>
  <c r="U160" i="10" s="1"/>
  <c r="T159" i="10"/>
  <c r="T160" i="10" s="1"/>
  <c r="S159" i="10"/>
  <c r="R159" i="10"/>
  <c r="O159" i="10"/>
  <c r="Z158" i="10"/>
  <c r="O158" i="10"/>
  <c r="Z157" i="10"/>
  <c r="R157" i="10"/>
  <c r="O157" i="10"/>
  <c r="Z156" i="10"/>
  <c r="R156" i="10"/>
  <c r="O156" i="10"/>
  <c r="Z155" i="10"/>
  <c r="O155" i="10"/>
  <c r="Z154" i="10"/>
  <c r="D154" i="10"/>
  <c r="W154" i="33" s="1"/>
  <c r="A154" i="10"/>
  <c r="F151" i="10"/>
  <c r="F17" i="33" s="1"/>
  <c r="X150" i="10"/>
  <c r="X151" i="10" s="1"/>
  <c r="W150" i="10"/>
  <c r="W151" i="10" s="1"/>
  <c r="V150" i="10"/>
  <c r="V151" i="10" s="1"/>
  <c r="U150" i="10"/>
  <c r="U151" i="10" s="1"/>
  <c r="T150" i="10"/>
  <c r="T151" i="10" s="1"/>
  <c r="S150" i="10"/>
  <c r="R150" i="10"/>
  <c r="O150" i="10"/>
  <c r="Z149" i="10"/>
  <c r="O149" i="10"/>
  <c r="Z148" i="10"/>
  <c r="R148" i="10"/>
  <c r="O148" i="10"/>
  <c r="Z147" i="10"/>
  <c r="R147" i="10"/>
  <c r="O147" i="10"/>
  <c r="Z146" i="10"/>
  <c r="O146" i="10"/>
  <c r="Z145" i="10"/>
  <c r="D145" i="10"/>
  <c r="W153" i="33" s="1"/>
  <c r="A145" i="10"/>
  <c r="F142" i="10"/>
  <c r="F16" i="33" s="1"/>
  <c r="X141" i="10"/>
  <c r="X142" i="10" s="1"/>
  <c r="W141" i="10"/>
  <c r="W142" i="10" s="1"/>
  <c r="V141" i="10"/>
  <c r="V142" i="10" s="1"/>
  <c r="U141" i="10"/>
  <c r="U142" i="10" s="1"/>
  <c r="T141" i="10"/>
  <c r="T142" i="10" s="1"/>
  <c r="S141" i="10"/>
  <c r="R141" i="10"/>
  <c r="O141" i="10"/>
  <c r="Z140" i="10"/>
  <c r="O140" i="10"/>
  <c r="Z139" i="10"/>
  <c r="R139" i="10"/>
  <c r="O139" i="10"/>
  <c r="Z138" i="10"/>
  <c r="R138" i="10"/>
  <c r="O138" i="10"/>
  <c r="Z137" i="10"/>
  <c r="O137" i="10"/>
  <c r="Z136" i="10"/>
  <c r="D136" i="10"/>
  <c r="W152" i="33" s="1"/>
  <c r="A136" i="10"/>
  <c r="I127" i="10"/>
  <c r="J127" i="10"/>
  <c r="K127" i="10"/>
  <c r="L127" i="10"/>
  <c r="M127" i="10"/>
  <c r="H127" i="10"/>
  <c r="F133" i="10"/>
  <c r="F15" i="33" s="1"/>
  <c r="X132" i="10"/>
  <c r="X133" i="10" s="1"/>
  <c r="W132" i="10"/>
  <c r="W133" i="10" s="1"/>
  <c r="V132" i="10"/>
  <c r="V133" i="10" s="1"/>
  <c r="U132" i="10"/>
  <c r="U133" i="10" s="1"/>
  <c r="T132" i="10"/>
  <c r="T133" i="10" s="1"/>
  <c r="S132" i="10"/>
  <c r="R132" i="10"/>
  <c r="O132" i="10"/>
  <c r="Z131" i="10"/>
  <c r="O131" i="10"/>
  <c r="Z130" i="10"/>
  <c r="R130" i="10"/>
  <c r="O130" i="10"/>
  <c r="Z129" i="10"/>
  <c r="R129" i="10"/>
  <c r="O129" i="10"/>
  <c r="Z128" i="10"/>
  <c r="O128" i="10"/>
  <c r="Z127" i="10"/>
  <c r="D127" i="10"/>
  <c r="W151" i="33" s="1"/>
  <c r="A127" i="10"/>
  <c r="I118" i="10"/>
  <c r="AB150" i="33" s="1"/>
  <c r="J118" i="10"/>
  <c r="AC150" i="33" s="1"/>
  <c r="K118" i="10"/>
  <c r="AD150" i="33" s="1"/>
  <c r="L118" i="10"/>
  <c r="AE150" i="33" s="1"/>
  <c r="M118" i="10"/>
  <c r="AF150" i="33" s="1"/>
  <c r="H118" i="10"/>
  <c r="AA150" i="33" s="1"/>
  <c r="I109" i="10"/>
  <c r="J109" i="10"/>
  <c r="K109" i="10"/>
  <c r="L109" i="10"/>
  <c r="M109" i="10"/>
  <c r="H109" i="10"/>
  <c r="I106" i="10"/>
  <c r="I12" i="33" s="1"/>
  <c r="AB41" i="33" s="1"/>
  <c r="J106" i="10"/>
  <c r="J12" i="33" s="1"/>
  <c r="AC41" i="33" s="1"/>
  <c r="K100" i="10"/>
  <c r="L100" i="10"/>
  <c r="M100" i="10"/>
  <c r="H100" i="10"/>
  <c r="I91" i="10"/>
  <c r="J91" i="10"/>
  <c r="K91" i="10"/>
  <c r="L91" i="10"/>
  <c r="M91" i="10"/>
  <c r="H91" i="10"/>
  <c r="F115" i="10"/>
  <c r="F13" i="33" s="1"/>
  <c r="Y42" i="33" s="1"/>
  <c r="X114" i="10"/>
  <c r="X115" i="10" s="1"/>
  <c r="W114" i="10"/>
  <c r="W115" i="10" s="1"/>
  <c r="V114" i="10"/>
  <c r="V115" i="10" s="1"/>
  <c r="U114" i="10"/>
  <c r="U115" i="10" s="1"/>
  <c r="T114" i="10"/>
  <c r="T115" i="10" s="1"/>
  <c r="S114" i="10"/>
  <c r="S115" i="10" s="1"/>
  <c r="R114" i="10"/>
  <c r="O114" i="10"/>
  <c r="Z113" i="10"/>
  <c r="O113" i="10"/>
  <c r="Z112" i="10"/>
  <c r="R112" i="10"/>
  <c r="O112" i="10"/>
  <c r="Z111" i="10"/>
  <c r="R111" i="10"/>
  <c r="O111" i="10"/>
  <c r="Z110" i="10"/>
  <c r="O110" i="10"/>
  <c r="Z109" i="10"/>
  <c r="D109" i="10"/>
  <c r="W38" i="33" s="1"/>
  <c r="A109" i="10"/>
  <c r="F106" i="10"/>
  <c r="F12" i="33" s="1"/>
  <c r="Y41" i="33" s="1"/>
  <c r="X105" i="10"/>
  <c r="X106" i="10" s="1"/>
  <c r="W105" i="10"/>
  <c r="W106" i="10" s="1"/>
  <c r="V105" i="10"/>
  <c r="V106" i="10" s="1"/>
  <c r="U105" i="10"/>
  <c r="U106" i="10" s="1"/>
  <c r="T105" i="10"/>
  <c r="T106" i="10" s="1"/>
  <c r="S105" i="10"/>
  <c r="R105" i="10"/>
  <c r="O105" i="10"/>
  <c r="Z104" i="10"/>
  <c r="O104" i="10"/>
  <c r="Z103" i="10"/>
  <c r="R103" i="10"/>
  <c r="O103" i="10"/>
  <c r="Z102" i="10"/>
  <c r="R102" i="10"/>
  <c r="O102" i="10"/>
  <c r="Z101" i="10"/>
  <c r="O101" i="10"/>
  <c r="Z100" i="10"/>
  <c r="D100" i="10"/>
  <c r="W37" i="33" s="1"/>
  <c r="A100" i="10"/>
  <c r="F97" i="10"/>
  <c r="F11" i="33" s="1"/>
  <c r="Y40" i="33" s="1"/>
  <c r="X96" i="10"/>
  <c r="X97" i="10" s="1"/>
  <c r="W96" i="10"/>
  <c r="W97" i="10" s="1"/>
  <c r="V96" i="10"/>
  <c r="V97" i="10" s="1"/>
  <c r="U96" i="10"/>
  <c r="U97" i="10" s="1"/>
  <c r="T96" i="10"/>
  <c r="T97" i="10" s="1"/>
  <c r="S96" i="10"/>
  <c r="R96" i="10"/>
  <c r="O96" i="10"/>
  <c r="Z95" i="10"/>
  <c r="O95" i="10"/>
  <c r="Z94" i="10"/>
  <c r="R94" i="10"/>
  <c r="O94" i="10"/>
  <c r="Z93" i="10"/>
  <c r="R93" i="10"/>
  <c r="O93" i="10"/>
  <c r="Z92" i="10"/>
  <c r="O92" i="10"/>
  <c r="Z91" i="10"/>
  <c r="D91" i="10"/>
  <c r="W36" i="33" s="1"/>
  <c r="A91" i="10"/>
  <c r="I82" i="10"/>
  <c r="J82" i="10"/>
  <c r="K82" i="10"/>
  <c r="L82" i="10"/>
  <c r="M82" i="10"/>
  <c r="H82" i="10"/>
  <c r="AA79" i="33" s="1"/>
  <c r="I73" i="10"/>
  <c r="J73" i="10"/>
  <c r="K73" i="10"/>
  <c r="L73" i="10"/>
  <c r="M73" i="10"/>
  <c r="H73" i="10"/>
  <c r="AA78" i="33" s="1"/>
  <c r="I64" i="10"/>
  <c r="AB77" i="33" s="1"/>
  <c r="J64" i="10"/>
  <c r="AC77" i="33" s="1"/>
  <c r="K64" i="10"/>
  <c r="AD77" i="33" s="1"/>
  <c r="L64" i="10"/>
  <c r="AE77" i="33" s="1"/>
  <c r="M64" i="10"/>
  <c r="AF77" i="33" s="1"/>
  <c r="H64" i="10"/>
  <c r="AA77" i="33" s="1"/>
  <c r="F88" i="10"/>
  <c r="F10" i="33" s="1"/>
  <c r="Y83" i="33" s="1"/>
  <c r="X87" i="10"/>
  <c r="X88" i="10" s="1"/>
  <c r="W87" i="10"/>
  <c r="W88" i="10" s="1"/>
  <c r="V87" i="10"/>
  <c r="V88" i="10" s="1"/>
  <c r="U87" i="10"/>
  <c r="U88" i="10" s="1"/>
  <c r="T87" i="10"/>
  <c r="T88" i="10" s="1"/>
  <c r="S87" i="10"/>
  <c r="S88" i="10" s="1"/>
  <c r="R87" i="10"/>
  <c r="O87" i="10"/>
  <c r="Z86" i="10"/>
  <c r="O86" i="10"/>
  <c r="Z85" i="10"/>
  <c r="R85" i="10"/>
  <c r="O85" i="10"/>
  <c r="Z84" i="10"/>
  <c r="R84" i="10"/>
  <c r="O84" i="10"/>
  <c r="Z83" i="10"/>
  <c r="O83" i="10"/>
  <c r="Z82" i="10"/>
  <c r="D82" i="10"/>
  <c r="W79" i="33" s="1"/>
  <c r="A82" i="10"/>
  <c r="F79" i="10"/>
  <c r="F9" i="33" s="1"/>
  <c r="Y82" i="33" s="1"/>
  <c r="X78" i="10"/>
  <c r="X79" i="10" s="1"/>
  <c r="W78" i="10"/>
  <c r="W79" i="10" s="1"/>
  <c r="V78" i="10"/>
  <c r="V79" i="10" s="1"/>
  <c r="U78" i="10"/>
  <c r="U79" i="10" s="1"/>
  <c r="T78" i="10"/>
  <c r="T79" i="10" s="1"/>
  <c r="S78" i="10"/>
  <c r="R78" i="10"/>
  <c r="O78" i="10"/>
  <c r="Z77" i="10"/>
  <c r="O77" i="10"/>
  <c r="Z76" i="10"/>
  <c r="R76" i="10"/>
  <c r="O76" i="10"/>
  <c r="Z75" i="10"/>
  <c r="R75" i="10"/>
  <c r="O75" i="10"/>
  <c r="Z74" i="10"/>
  <c r="O74" i="10"/>
  <c r="Z73" i="10"/>
  <c r="D73" i="10"/>
  <c r="W78" i="33" s="1"/>
  <c r="A73" i="10"/>
  <c r="I61" i="10"/>
  <c r="I7" i="33" s="1"/>
  <c r="J61" i="10"/>
  <c r="J7" i="33" s="1"/>
  <c r="K61" i="10"/>
  <c r="K7" i="33" s="1"/>
  <c r="L61" i="10"/>
  <c r="L7" i="33" s="1"/>
  <c r="M61" i="10"/>
  <c r="M7" i="33" s="1"/>
  <c r="H61" i="10"/>
  <c r="H7" i="33" s="1"/>
  <c r="F61" i="10"/>
  <c r="F7" i="33" s="1"/>
  <c r="X60" i="10"/>
  <c r="X61" i="10" s="1"/>
  <c r="W60" i="10"/>
  <c r="W61" i="10" s="1"/>
  <c r="V60" i="10"/>
  <c r="V61" i="10" s="1"/>
  <c r="U60" i="10"/>
  <c r="U61" i="10" s="1"/>
  <c r="T60" i="10"/>
  <c r="T61" i="10" s="1"/>
  <c r="S60" i="10"/>
  <c r="R60" i="10"/>
  <c r="O60" i="10"/>
  <c r="Z59" i="10"/>
  <c r="O59" i="10"/>
  <c r="Z58" i="10"/>
  <c r="R58" i="10"/>
  <c r="O58" i="10"/>
  <c r="Z57" i="10"/>
  <c r="R57" i="10"/>
  <c r="O57" i="10"/>
  <c r="Z56" i="10"/>
  <c r="O56" i="10"/>
  <c r="Z55" i="10"/>
  <c r="D55" i="10"/>
  <c r="W149" i="33" s="1"/>
  <c r="A55" i="10"/>
  <c r="I52" i="10"/>
  <c r="I6" i="33" s="1"/>
  <c r="J52" i="10"/>
  <c r="J6" i="33" s="1"/>
  <c r="K52" i="10"/>
  <c r="K6" i="33" s="1"/>
  <c r="L52" i="10"/>
  <c r="L6" i="33" s="1"/>
  <c r="M52" i="10"/>
  <c r="M6" i="33" s="1"/>
  <c r="H52" i="10"/>
  <c r="H6" i="33" s="1"/>
  <c r="F52" i="10"/>
  <c r="F6" i="33" s="1"/>
  <c r="X51" i="10"/>
  <c r="X52" i="10" s="1"/>
  <c r="W51" i="10"/>
  <c r="W52" i="10" s="1"/>
  <c r="V51" i="10"/>
  <c r="V52" i="10" s="1"/>
  <c r="U51" i="10"/>
  <c r="U52" i="10" s="1"/>
  <c r="T51" i="10"/>
  <c r="T52" i="10" s="1"/>
  <c r="S51" i="10"/>
  <c r="S52" i="10" s="1"/>
  <c r="R51" i="10"/>
  <c r="O51" i="10"/>
  <c r="Z50" i="10"/>
  <c r="O50" i="10"/>
  <c r="Z49" i="10"/>
  <c r="R49" i="10"/>
  <c r="O49" i="10"/>
  <c r="Z48" i="10"/>
  <c r="R48" i="10"/>
  <c r="O48" i="10"/>
  <c r="Z47" i="10"/>
  <c r="O47" i="10"/>
  <c r="Z46" i="10"/>
  <c r="D46" i="10"/>
  <c r="W148" i="33" s="1"/>
  <c r="A46" i="10"/>
  <c r="H37" i="10"/>
  <c r="AA59" i="33" s="1"/>
  <c r="I37" i="10"/>
  <c r="AB59" i="33" s="1"/>
  <c r="J37" i="10"/>
  <c r="AC59" i="33" s="1"/>
  <c r="K37" i="10"/>
  <c r="AD59" i="33" s="1"/>
  <c r="L37" i="10"/>
  <c r="AE59" i="33" s="1"/>
  <c r="M37" i="10"/>
  <c r="AF59" i="33" s="1"/>
  <c r="I28" i="10"/>
  <c r="J28" i="10"/>
  <c r="K28" i="10"/>
  <c r="L28" i="10"/>
  <c r="M28" i="10"/>
  <c r="H28" i="10"/>
  <c r="F34" i="10"/>
  <c r="F4" i="33" s="1"/>
  <c r="Y8" i="33" s="1"/>
  <c r="X33" i="10"/>
  <c r="X34" i="10" s="1"/>
  <c r="W33" i="10"/>
  <c r="W34" i="10" s="1"/>
  <c r="V33" i="10"/>
  <c r="V34" i="10" s="1"/>
  <c r="U33" i="10"/>
  <c r="U34" i="10" s="1"/>
  <c r="T33" i="10"/>
  <c r="T34" i="10" s="1"/>
  <c r="S33" i="10"/>
  <c r="R33" i="10"/>
  <c r="O33" i="10"/>
  <c r="Z32" i="10"/>
  <c r="O32" i="10"/>
  <c r="Z31" i="10"/>
  <c r="R31" i="10"/>
  <c r="O31" i="10"/>
  <c r="Z30" i="10"/>
  <c r="R30" i="10"/>
  <c r="O30" i="10"/>
  <c r="Z29" i="10"/>
  <c r="O29" i="10"/>
  <c r="Z28" i="10"/>
  <c r="A28" i="10"/>
  <c r="I19" i="10"/>
  <c r="AB3" i="33" s="1"/>
  <c r="J19" i="10"/>
  <c r="AC3" i="33" s="1"/>
  <c r="K19" i="10"/>
  <c r="AD3" i="33" s="1"/>
  <c r="L19" i="10"/>
  <c r="AE3" i="33" s="1"/>
  <c r="M19" i="10"/>
  <c r="AF3" i="33" s="1"/>
  <c r="H19" i="10"/>
  <c r="AA3" i="33" s="1"/>
  <c r="H10" i="10"/>
  <c r="AA2" i="33" s="1"/>
  <c r="I10" i="10"/>
  <c r="AB2" i="33" s="1"/>
  <c r="J10" i="10"/>
  <c r="AC2" i="33" s="1"/>
  <c r="K10" i="10"/>
  <c r="AD2" i="33" s="1"/>
  <c r="L10" i="10"/>
  <c r="AE2" i="33" s="1"/>
  <c r="M10" i="10"/>
  <c r="AF2" i="33" s="1"/>
  <c r="I493" i="10" l="1"/>
  <c r="I55" i="33" s="1"/>
  <c r="AB145" i="33" s="1"/>
  <c r="AB143" i="33"/>
  <c r="I547" i="10"/>
  <c r="I61" i="33" s="1"/>
  <c r="AB173" i="33"/>
  <c r="I565" i="10"/>
  <c r="I63" i="33" s="1"/>
  <c r="AB175" i="33"/>
  <c r="I583" i="10"/>
  <c r="I65" i="33" s="1"/>
  <c r="AB177" i="33"/>
  <c r="K610" i="10"/>
  <c r="K68" i="33" s="1"/>
  <c r="AD54" i="33" s="1"/>
  <c r="AD47" i="33"/>
  <c r="K628" i="10"/>
  <c r="K70" i="33" s="1"/>
  <c r="AD56" i="33" s="1"/>
  <c r="AD49" i="33"/>
  <c r="K664" i="10"/>
  <c r="K74" i="33" s="1"/>
  <c r="AD178" i="33"/>
  <c r="L763" i="10"/>
  <c r="L85" i="33" s="1"/>
  <c r="AE97" i="33" s="1"/>
  <c r="AE94" i="33"/>
  <c r="H772" i="10"/>
  <c r="H86" i="33" s="1"/>
  <c r="AA126" i="33" s="1"/>
  <c r="AA123" i="33"/>
  <c r="L808" i="10"/>
  <c r="L90" i="33" s="1"/>
  <c r="AE187" i="33"/>
  <c r="H826" i="10"/>
  <c r="H92" i="33" s="1"/>
  <c r="AA189" i="33"/>
  <c r="H844" i="10"/>
  <c r="H94" i="33" s="1"/>
  <c r="AA191" i="33"/>
  <c r="J277" i="10"/>
  <c r="J31" i="33" s="1"/>
  <c r="AC26" i="33" s="1"/>
  <c r="AC21" i="33"/>
  <c r="L322" i="10"/>
  <c r="L36" i="33" s="1"/>
  <c r="AE16" i="33" s="1"/>
  <c r="AE12" i="33"/>
  <c r="H385" i="10"/>
  <c r="H43" i="33" s="1"/>
  <c r="AA91" i="33" s="1"/>
  <c r="AA87" i="33"/>
  <c r="L448" i="10"/>
  <c r="L50" i="33" s="1"/>
  <c r="AE73" i="33" s="1"/>
  <c r="AE70" i="33"/>
  <c r="H574" i="10"/>
  <c r="H64" i="33" s="1"/>
  <c r="AA176" i="33"/>
  <c r="J628" i="10"/>
  <c r="J70" i="33" s="1"/>
  <c r="AC56" i="33" s="1"/>
  <c r="AC49" i="33"/>
  <c r="K763" i="10"/>
  <c r="K85" i="33" s="1"/>
  <c r="AD97" i="33" s="1"/>
  <c r="AD94" i="33"/>
  <c r="M772" i="10"/>
  <c r="M86" i="33" s="1"/>
  <c r="AF126" i="33" s="1"/>
  <c r="AF123" i="33"/>
  <c r="K808" i="10"/>
  <c r="K90" i="33" s="1"/>
  <c r="AD187" i="33"/>
  <c r="M844" i="10"/>
  <c r="M94" i="33" s="1"/>
  <c r="AF191" i="33"/>
  <c r="M88" i="10"/>
  <c r="M10" i="33" s="1"/>
  <c r="AF83" i="33" s="1"/>
  <c r="AF79" i="33"/>
  <c r="K421" i="10"/>
  <c r="K47" i="33" s="1"/>
  <c r="AD168" i="33"/>
  <c r="J340" i="10"/>
  <c r="J38" i="33" s="1"/>
  <c r="AC163" i="33"/>
  <c r="J610" i="10"/>
  <c r="J68" i="33" s="1"/>
  <c r="AC54" i="33" s="1"/>
  <c r="AC47" i="33"/>
  <c r="L79" i="10"/>
  <c r="L9" i="33" s="1"/>
  <c r="AE82" i="33" s="1"/>
  <c r="AE78" i="33"/>
  <c r="L106" i="10"/>
  <c r="L12" i="33" s="1"/>
  <c r="AE41" i="33" s="1"/>
  <c r="AE37" i="33"/>
  <c r="J151" i="10"/>
  <c r="J17" i="33" s="1"/>
  <c r="AC153" i="33"/>
  <c r="H250" i="10"/>
  <c r="H28" i="33" s="1"/>
  <c r="AA23" i="33" s="1"/>
  <c r="AA18" i="33"/>
  <c r="L286" i="10"/>
  <c r="L32" i="33" s="1"/>
  <c r="AE160" i="33"/>
  <c r="K322" i="10"/>
  <c r="K36" i="33" s="1"/>
  <c r="AD16" i="33" s="1"/>
  <c r="AD12" i="33"/>
  <c r="I340" i="10"/>
  <c r="I38" i="33" s="1"/>
  <c r="AB163" i="33"/>
  <c r="I421" i="10"/>
  <c r="I47" i="33" s="1"/>
  <c r="AB168" i="33"/>
  <c r="K448" i="10"/>
  <c r="K50" i="33" s="1"/>
  <c r="AD73" i="33" s="1"/>
  <c r="AD70" i="33"/>
  <c r="M556" i="10"/>
  <c r="M62" i="33" s="1"/>
  <c r="AF174" i="33"/>
  <c r="I610" i="10"/>
  <c r="I68" i="33" s="1"/>
  <c r="AB54" i="33" s="1"/>
  <c r="AB47" i="33"/>
  <c r="I628" i="10"/>
  <c r="I70" i="33" s="1"/>
  <c r="AB56" i="33" s="1"/>
  <c r="AB49" i="33"/>
  <c r="I664" i="10"/>
  <c r="I74" i="33" s="1"/>
  <c r="AB178" i="33"/>
  <c r="M673" i="10"/>
  <c r="M75" i="33" s="1"/>
  <c r="AF179" i="33"/>
  <c r="J763" i="10"/>
  <c r="J85" i="33" s="1"/>
  <c r="AC97" i="33" s="1"/>
  <c r="AC94" i="33"/>
  <c r="L772" i="10"/>
  <c r="L86" i="33" s="1"/>
  <c r="AE126" i="33" s="1"/>
  <c r="AE123" i="33"/>
  <c r="J808" i="10"/>
  <c r="J90" i="33" s="1"/>
  <c r="AC187" i="33"/>
  <c r="L826" i="10"/>
  <c r="L92" i="33" s="1"/>
  <c r="AE189" i="33"/>
  <c r="L844" i="10"/>
  <c r="L94" i="33" s="1"/>
  <c r="AE191" i="33"/>
  <c r="H106" i="10"/>
  <c r="H12" i="33" s="1"/>
  <c r="AA41" i="33" s="1"/>
  <c r="AA37" i="33"/>
  <c r="L151" i="10"/>
  <c r="L17" i="33" s="1"/>
  <c r="AE153" i="33"/>
  <c r="L178" i="10"/>
  <c r="L20" i="33" s="1"/>
  <c r="AE155" i="33"/>
  <c r="J259" i="10"/>
  <c r="J29" i="33" s="1"/>
  <c r="AC24" i="33" s="1"/>
  <c r="AC19" i="33"/>
  <c r="H286" i="10"/>
  <c r="H32" i="33" s="1"/>
  <c r="AA160" i="33"/>
  <c r="M322" i="10"/>
  <c r="M36" i="33" s="1"/>
  <c r="AF16" i="33" s="1"/>
  <c r="AF12" i="33"/>
  <c r="K340" i="10"/>
  <c r="K38" i="33" s="1"/>
  <c r="AD163" i="33"/>
  <c r="M106" i="10"/>
  <c r="M12" i="33" s="1"/>
  <c r="AF41" i="33" s="1"/>
  <c r="AF37" i="33"/>
  <c r="K151" i="10"/>
  <c r="K17" i="33" s="1"/>
  <c r="AD153" i="33"/>
  <c r="K178" i="10"/>
  <c r="K20" i="33" s="1"/>
  <c r="AD155" i="33"/>
  <c r="I259" i="10"/>
  <c r="I29" i="33" s="1"/>
  <c r="AB24" i="33" s="1"/>
  <c r="AB19" i="33"/>
  <c r="M286" i="10"/>
  <c r="M32" i="33" s="1"/>
  <c r="AF160" i="33"/>
  <c r="J421" i="10"/>
  <c r="J47" i="33" s="1"/>
  <c r="AC168" i="33"/>
  <c r="H673" i="10"/>
  <c r="H75" i="33" s="1"/>
  <c r="AA179" i="33"/>
  <c r="M826" i="10"/>
  <c r="M92" i="33" s="1"/>
  <c r="AF189" i="33"/>
  <c r="H34" i="10"/>
  <c r="H4" i="33" s="1"/>
  <c r="AA8" i="33" s="1"/>
  <c r="AA4" i="33"/>
  <c r="J178" i="10"/>
  <c r="J20" i="33" s="1"/>
  <c r="AC155" i="33"/>
  <c r="H268" i="10"/>
  <c r="H30" i="33" s="1"/>
  <c r="AA25" i="33" s="1"/>
  <c r="AA20" i="33"/>
  <c r="M385" i="10"/>
  <c r="M43" i="33" s="1"/>
  <c r="AF91" i="33" s="1"/>
  <c r="AF87" i="33"/>
  <c r="M34" i="10"/>
  <c r="M4" i="33" s="1"/>
  <c r="AF8" i="33" s="1"/>
  <c r="AF4" i="33"/>
  <c r="K79" i="10"/>
  <c r="K9" i="33" s="1"/>
  <c r="AD82" i="33" s="1"/>
  <c r="AD78" i="33"/>
  <c r="K106" i="10"/>
  <c r="K12" i="33" s="1"/>
  <c r="AD41" i="33" s="1"/>
  <c r="AD37" i="33"/>
  <c r="I151" i="10"/>
  <c r="I17" i="33" s="1"/>
  <c r="AB153" i="33"/>
  <c r="I178" i="10"/>
  <c r="I20" i="33" s="1"/>
  <c r="AB155" i="33"/>
  <c r="M250" i="10"/>
  <c r="M28" i="33" s="1"/>
  <c r="AF23" i="33" s="1"/>
  <c r="AF18" i="33"/>
  <c r="M268" i="10"/>
  <c r="M30" i="33" s="1"/>
  <c r="AF25" i="33" s="1"/>
  <c r="AF20" i="33"/>
  <c r="K286" i="10"/>
  <c r="K32" i="33" s="1"/>
  <c r="AD160" i="33"/>
  <c r="J322" i="10"/>
  <c r="J36" i="33" s="1"/>
  <c r="AC16" i="33" s="1"/>
  <c r="AC12" i="33"/>
  <c r="L385" i="10"/>
  <c r="L43" i="33" s="1"/>
  <c r="AE91" i="33" s="1"/>
  <c r="AE87" i="33"/>
  <c r="J448" i="10"/>
  <c r="J50" i="33" s="1"/>
  <c r="AC73" i="33" s="1"/>
  <c r="AC70" i="33"/>
  <c r="H475" i="10"/>
  <c r="H53" i="33" s="1"/>
  <c r="AA33" i="33" s="1"/>
  <c r="AA29" i="33"/>
  <c r="L556" i="10"/>
  <c r="L62" i="33" s="1"/>
  <c r="AE174" i="33"/>
  <c r="L574" i="10"/>
  <c r="L64" i="33" s="1"/>
  <c r="AE176" i="33"/>
  <c r="H619" i="10"/>
  <c r="H69" i="33" s="1"/>
  <c r="AA55" i="33" s="1"/>
  <c r="AA48" i="33"/>
  <c r="H637" i="10"/>
  <c r="H71" i="33" s="1"/>
  <c r="AA57" i="33" s="1"/>
  <c r="AA50" i="33"/>
  <c r="L673" i="10"/>
  <c r="L75" i="33" s="1"/>
  <c r="AE179" i="33"/>
  <c r="K772" i="10"/>
  <c r="K86" i="33" s="1"/>
  <c r="AD126" i="33" s="1"/>
  <c r="AD123" i="33"/>
  <c r="I808" i="10"/>
  <c r="I90" i="33" s="1"/>
  <c r="AB187" i="33"/>
  <c r="K826" i="10"/>
  <c r="K92" i="33" s="1"/>
  <c r="AD189" i="33"/>
  <c r="K844" i="10"/>
  <c r="K94" i="33" s="1"/>
  <c r="AD191" i="33"/>
  <c r="I439" i="10"/>
  <c r="I49" i="33" s="1"/>
  <c r="AB133" i="33" s="1"/>
  <c r="AB130" i="33"/>
  <c r="H556" i="10"/>
  <c r="H62" i="33" s="1"/>
  <c r="AA174" i="33"/>
  <c r="J664" i="10"/>
  <c r="J74" i="33" s="1"/>
  <c r="AC178" i="33"/>
  <c r="M574" i="10"/>
  <c r="M64" i="33" s="1"/>
  <c r="AF176" i="33"/>
  <c r="L34" i="10"/>
  <c r="L4" i="33" s="1"/>
  <c r="AE8" i="33" s="1"/>
  <c r="AE4" i="33"/>
  <c r="J79" i="10"/>
  <c r="J9" i="33" s="1"/>
  <c r="AC82" i="33" s="1"/>
  <c r="AC78" i="33"/>
  <c r="H133" i="10"/>
  <c r="H15" i="33" s="1"/>
  <c r="AA151" i="33"/>
  <c r="H142" i="10"/>
  <c r="H16" i="33" s="1"/>
  <c r="AA152" i="33"/>
  <c r="H160" i="10"/>
  <c r="H18" i="33" s="1"/>
  <c r="AA154" i="33"/>
  <c r="H187" i="10"/>
  <c r="H21" i="33" s="1"/>
  <c r="AA156" i="33"/>
  <c r="L250" i="10"/>
  <c r="L28" i="33" s="1"/>
  <c r="AE23" i="33" s="1"/>
  <c r="AE18" i="33"/>
  <c r="L268" i="10"/>
  <c r="L30" i="33" s="1"/>
  <c r="AE25" i="33" s="1"/>
  <c r="AE20" i="33"/>
  <c r="J286" i="10"/>
  <c r="J32" i="33" s="1"/>
  <c r="AC160" i="33"/>
  <c r="I322" i="10"/>
  <c r="I36" i="33" s="1"/>
  <c r="AB16" i="33" s="1"/>
  <c r="AB12" i="33"/>
  <c r="M349" i="10"/>
  <c r="M39" i="33" s="1"/>
  <c r="AF164" i="33"/>
  <c r="K385" i="10"/>
  <c r="K43" i="33" s="1"/>
  <c r="AD91" i="33" s="1"/>
  <c r="AD87" i="33"/>
  <c r="I448" i="10"/>
  <c r="I50" i="33" s="1"/>
  <c r="AB73" i="33" s="1"/>
  <c r="AB70" i="33"/>
  <c r="M475" i="10"/>
  <c r="M53" i="33" s="1"/>
  <c r="AF33" i="33" s="1"/>
  <c r="AF29" i="33"/>
  <c r="K556" i="10"/>
  <c r="K62" i="33" s="1"/>
  <c r="AD174" i="33"/>
  <c r="K574" i="10"/>
  <c r="K64" i="33" s="1"/>
  <c r="AD176" i="33"/>
  <c r="M619" i="10"/>
  <c r="M69" i="33" s="1"/>
  <c r="AF55" i="33" s="1"/>
  <c r="AF48" i="33"/>
  <c r="M637" i="10"/>
  <c r="M71" i="33" s="1"/>
  <c r="AF57" i="33" s="1"/>
  <c r="AF50" i="33"/>
  <c r="K673" i="10"/>
  <c r="K75" i="33" s="1"/>
  <c r="AD179" i="33"/>
  <c r="J772" i="10"/>
  <c r="J86" i="33" s="1"/>
  <c r="AC126" i="33" s="1"/>
  <c r="AC123" i="33"/>
  <c r="J826" i="10"/>
  <c r="J92" i="33" s="1"/>
  <c r="AC189" i="33"/>
  <c r="J844" i="10"/>
  <c r="J94" i="33" s="1"/>
  <c r="AC191" i="33"/>
  <c r="L475" i="10"/>
  <c r="L53" i="33" s="1"/>
  <c r="AE33" i="33" s="1"/>
  <c r="AE29" i="33"/>
  <c r="H538" i="10"/>
  <c r="H60" i="33" s="1"/>
  <c r="AA172" i="33"/>
  <c r="J556" i="10"/>
  <c r="J62" i="33" s="1"/>
  <c r="AC174" i="33"/>
  <c r="J574" i="10"/>
  <c r="J64" i="33" s="1"/>
  <c r="AC176" i="33"/>
  <c r="L619" i="10"/>
  <c r="L69" i="33" s="1"/>
  <c r="AE55" i="33" s="1"/>
  <c r="AE48" i="33"/>
  <c r="L637" i="10"/>
  <c r="L71" i="33" s="1"/>
  <c r="AE57" i="33" s="1"/>
  <c r="AE50" i="33"/>
  <c r="H655" i="10"/>
  <c r="H73" i="33" s="1"/>
  <c r="AA67" i="33" s="1"/>
  <c r="AA64" i="33"/>
  <c r="J673" i="10"/>
  <c r="J75" i="33" s="1"/>
  <c r="AC179" i="33"/>
  <c r="H700" i="10"/>
  <c r="H78" i="33" s="1"/>
  <c r="AA180" i="33"/>
  <c r="I772" i="10"/>
  <c r="I86" i="33" s="1"/>
  <c r="AB126" i="33" s="1"/>
  <c r="AB123" i="33"/>
  <c r="I826" i="10"/>
  <c r="I92" i="33" s="1"/>
  <c r="AB189" i="33"/>
  <c r="I844" i="10"/>
  <c r="I94" i="33" s="1"/>
  <c r="AB191" i="33"/>
  <c r="H817" i="10"/>
  <c r="H91" i="33" s="1"/>
  <c r="AA188" i="33"/>
  <c r="M448" i="10"/>
  <c r="M50" i="33" s="1"/>
  <c r="AF73" i="33" s="1"/>
  <c r="AF70" i="33"/>
  <c r="M79" i="10"/>
  <c r="M9" i="33" s="1"/>
  <c r="AF82" i="33" s="1"/>
  <c r="AF78" i="33"/>
  <c r="K34" i="10"/>
  <c r="K4" i="33" s="1"/>
  <c r="AD8" i="33" s="1"/>
  <c r="AD4" i="33"/>
  <c r="I79" i="10"/>
  <c r="I9" i="33" s="1"/>
  <c r="AB82" i="33" s="1"/>
  <c r="AB78" i="33"/>
  <c r="M133" i="10"/>
  <c r="M15" i="33" s="1"/>
  <c r="AF151" i="33"/>
  <c r="M142" i="10"/>
  <c r="M16" i="33" s="1"/>
  <c r="AF152" i="33"/>
  <c r="M160" i="10"/>
  <c r="M18" i="33" s="1"/>
  <c r="AF154" i="33"/>
  <c r="M187" i="10"/>
  <c r="M21" i="33" s="1"/>
  <c r="AF156" i="33"/>
  <c r="K250" i="10"/>
  <c r="K28" i="33" s="1"/>
  <c r="AD23" i="33" s="1"/>
  <c r="AD18" i="33"/>
  <c r="K268" i="10"/>
  <c r="K30" i="33" s="1"/>
  <c r="AD25" i="33" s="1"/>
  <c r="AD20" i="33"/>
  <c r="I286" i="10"/>
  <c r="I32" i="33" s="1"/>
  <c r="AB160" i="33"/>
  <c r="L349" i="10"/>
  <c r="L39" i="33" s="1"/>
  <c r="AE164" i="33"/>
  <c r="J385" i="10"/>
  <c r="J43" i="33" s="1"/>
  <c r="AC91" i="33" s="1"/>
  <c r="AC87" i="33"/>
  <c r="H412" i="10"/>
  <c r="H46" i="33" s="1"/>
  <c r="AA167" i="33"/>
  <c r="J34" i="10"/>
  <c r="J4" i="33" s="1"/>
  <c r="AC8" i="33" s="1"/>
  <c r="AC4" i="33"/>
  <c r="H97" i="10"/>
  <c r="H11" i="33" s="1"/>
  <c r="AA40" i="33" s="1"/>
  <c r="AA36" i="33"/>
  <c r="H115" i="10"/>
  <c r="H13" i="33" s="1"/>
  <c r="AA42" i="33" s="1"/>
  <c r="AA38" i="33"/>
  <c r="L133" i="10"/>
  <c r="L15" i="33" s="1"/>
  <c r="AE151" i="33"/>
  <c r="L142" i="10"/>
  <c r="L16" i="33" s="1"/>
  <c r="AE152" i="33"/>
  <c r="L160" i="10"/>
  <c r="L18" i="33" s="1"/>
  <c r="AE154" i="33"/>
  <c r="L187" i="10"/>
  <c r="L21" i="33" s="1"/>
  <c r="AE156" i="33"/>
  <c r="J250" i="10"/>
  <c r="J28" i="33" s="1"/>
  <c r="AC23" i="33" s="1"/>
  <c r="AC18" i="33"/>
  <c r="J268" i="10"/>
  <c r="J30" i="33" s="1"/>
  <c r="AC25" i="33" s="1"/>
  <c r="AC20" i="33"/>
  <c r="K349" i="10"/>
  <c r="K39" i="33" s="1"/>
  <c r="AD164" i="33"/>
  <c r="I385" i="10"/>
  <c r="I43" i="33" s="1"/>
  <c r="AB91" i="33" s="1"/>
  <c r="AB87" i="33"/>
  <c r="M412" i="10"/>
  <c r="M46" i="33" s="1"/>
  <c r="AF167" i="33"/>
  <c r="M457" i="10"/>
  <c r="M51" i="33" s="1"/>
  <c r="AF74" i="33" s="1"/>
  <c r="AF71" i="33"/>
  <c r="K475" i="10"/>
  <c r="K53" i="33" s="1"/>
  <c r="AD33" i="33" s="1"/>
  <c r="AD29" i="33"/>
  <c r="M538" i="10"/>
  <c r="M60" i="33" s="1"/>
  <c r="AF172" i="33"/>
  <c r="I556" i="10"/>
  <c r="I62" i="33" s="1"/>
  <c r="AB174" i="33"/>
  <c r="I574" i="10"/>
  <c r="I64" i="33" s="1"/>
  <c r="AB176" i="33"/>
  <c r="K619" i="10"/>
  <c r="K69" i="33" s="1"/>
  <c r="AD55" i="33" s="1"/>
  <c r="AD48" i="33"/>
  <c r="K637" i="10"/>
  <c r="K71" i="33" s="1"/>
  <c r="AD57" i="33" s="1"/>
  <c r="AD50" i="33"/>
  <c r="M655" i="10"/>
  <c r="M73" i="33" s="1"/>
  <c r="AF67" i="33" s="1"/>
  <c r="AF64" i="33"/>
  <c r="I673" i="10"/>
  <c r="I75" i="33" s="1"/>
  <c r="AB179" i="33"/>
  <c r="M700" i="10"/>
  <c r="M78" i="33" s="1"/>
  <c r="AF180" i="33"/>
  <c r="H781" i="10"/>
  <c r="H87" i="33" s="1"/>
  <c r="AA127" i="33" s="1"/>
  <c r="AA124" i="33"/>
  <c r="H835" i="10"/>
  <c r="H93" i="33" s="1"/>
  <c r="AA190" i="33"/>
  <c r="M817" i="10"/>
  <c r="M91" i="33" s="1"/>
  <c r="AF188" i="33"/>
  <c r="I619" i="10"/>
  <c r="I69" i="33" s="1"/>
  <c r="AB55" i="33" s="1"/>
  <c r="AB48" i="33"/>
  <c r="I637" i="10"/>
  <c r="I71" i="33" s="1"/>
  <c r="AB57" i="33" s="1"/>
  <c r="AB50" i="33"/>
  <c r="K655" i="10"/>
  <c r="K73" i="33" s="1"/>
  <c r="AD67" i="33" s="1"/>
  <c r="AD64" i="33"/>
  <c r="K700" i="10"/>
  <c r="K78" i="33" s="1"/>
  <c r="AD180" i="33"/>
  <c r="L781" i="10"/>
  <c r="L87" i="33" s="1"/>
  <c r="AE127" i="33" s="1"/>
  <c r="AE124" i="33"/>
  <c r="L835" i="10"/>
  <c r="L93" i="33" s="1"/>
  <c r="AE190" i="33"/>
  <c r="K817" i="10"/>
  <c r="K91" i="33" s="1"/>
  <c r="AD188" i="33"/>
  <c r="M781" i="10"/>
  <c r="M87" i="33" s="1"/>
  <c r="AF127" i="33" s="1"/>
  <c r="AF124" i="33"/>
  <c r="H259" i="10"/>
  <c r="H29" i="33" s="1"/>
  <c r="AA24" i="33" s="1"/>
  <c r="AA19" i="33"/>
  <c r="M547" i="10"/>
  <c r="M61" i="33" s="1"/>
  <c r="AF173" i="33"/>
  <c r="K97" i="10"/>
  <c r="K11" i="33" s="1"/>
  <c r="AD40" i="33" s="1"/>
  <c r="AD36" i="33"/>
  <c r="I142" i="10"/>
  <c r="I16" i="33" s="1"/>
  <c r="AB152" i="33"/>
  <c r="M259" i="10"/>
  <c r="M29" i="33" s="1"/>
  <c r="AF24" i="33" s="1"/>
  <c r="AF19" i="33"/>
  <c r="M277" i="10"/>
  <c r="M31" i="33" s="1"/>
  <c r="AF26" i="33" s="1"/>
  <c r="AF21" i="33"/>
  <c r="H340" i="10"/>
  <c r="H38" i="33" s="1"/>
  <c r="AA163" i="33"/>
  <c r="J412" i="10"/>
  <c r="J46" i="33" s="1"/>
  <c r="AC167" i="33"/>
  <c r="H421" i="10"/>
  <c r="H47" i="33" s="1"/>
  <c r="AA168" i="33"/>
  <c r="L439" i="10"/>
  <c r="L49" i="33" s="1"/>
  <c r="AE133" i="33" s="1"/>
  <c r="AE130" i="33"/>
  <c r="J457" i="10"/>
  <c r="J51" i="33" s="1"/>
  <c r="AC74" i="33" s="1"/>
  <c r="AC71" i="33"/>
  <c r="L493" i="10"/>
  <c r="L55" i="33" s="1"/>
  <c r="AE145" i="33" s="1"/>
  <c r="AE143" i="33"/>
  <c r="J538" i="10"/>
  <c r="J60" i="33" s="1"/>
  <c r="AC172" i="33"/>
  <c r="L547" i="10"/>
  <c r="L61" i="33" s="1"/>
  <c r="AE173" i="33"/>
  <c r="L565" i="10"/>
  <c r="L63" i="33" s="1"/>
  <c r="AE175" i="33"/>
  <c r="L583" i="10"/>
  <c r="L65" i="33" s="1"/>
  <c r="AE177" i="33"/>
  <c r="H610" i="10"/>
  <c r="H68" i="33" s="1"/>
  <c r="AA54" i="33" s="1"/>
  <c r="AA47" i="33"/>
  <c r="H628" i="10"/>
  <c r="H70" i="33" s="1"/>
  <c r="AA56" i="33" s="1"/>
  <c r="AA49" i="33"/>
  <c r="J655" i="10"/>
  <c r="J73" i="33" s="1"/>
  <c r="AC67" i="33" s="1"/>
  <c r="AC64" i="33"/>
  <c r="H664" i="10"/>
  <c r="H74" i="33" s="1"/>
  <c r="AA178" i="33"/>
  <c r="J700" i="10"/>
  <c r="J78" i="33" s="1"/>
  <c r="AC180" i="33"/>
  <c r="K781" i="10"/>
  <c r="K87" i="33" s="1"/>
  <c r="AD127" i="33" s="1"/>
  <c r="AD124" i="33"/>
  <c r="K835" i="10"/>
  <c r="K93" i="33" s="1"/>
  <c r="AD190" i="33"/>
  <c r="J817" i="10"/>
  <c r="J91" i="33" s="1"/>
  <c r="AC188" i="33"/>
  <c r="I34" i="10"/>
  <c r="I4" i="33" s="1"/>
  <c r="AB8" i="33" s="1"/>
  <c r="AB4" i="33"/>
  <c r="M97" i="10"/>
  <c r="M11" i="33" s="1"/>
  <c r="AF40" i="33" s="1"/>
  <c r="AF36" i="33"/>
  <c r="M115" i="10"/>
  <c r="M13" i="33" s="1"/>
  <c r="AF42" i="33" s="1"/>
  <c r="AF38" i="33"/>
  <c r="K133" i="10"/>
  <c r="K15" i="33" s="1"/>
  <c r="AD151" i="33"/>
  <c r="K142" i="10"/>
  <c r="K16" i="33" s="1"/>
  <c r="AD152" i="33"/>
  <c r="K160" i="10"/>
  <c r="K18" i="33" s="1"/>
  <c r="AD154" i="33"/>
  <c r="K187" i="10"/>
  <c r="K21" i="33" s="1"/>
  <c r="AD156" i="33"/>
  <c r="I250" i="10"/>
  <c r="I28" i="33" s="1"/>
  <c r="AB23" i="33" s="1"/>
  <c r="AB18" i="33"/>
  <c r="I268" i="10"/>
  <c r="I30" i="33" s="1"/>
  <c r="AB25" i="33" s="1"/>
  <c r="AB20" i="33"/>
  <c r="J349" i="10"/>
  <c r="J39" i="33" s="1"/>
  <c r="AC164" i="33"/>
  <c r="L412" i="10"/>
  <c r="L46" i="33" s="1"/>
  <c r="AE167" i="33"/>
  <c r="H439" i="10"/>
  <c r="H49" i="33" s="1"/>
  <c r="AA133" i="33" s="1"/>
  <c r="AA130" i="33"/>
  <c r="L457" i="10"/>
  <c r="L51" i="33" s="1"/>
  <c r="AE74" i="33" s="1"/>
  <c r="AE71" i="33"/>
  <c r="J475" i="10"/>
  <c r="J53" i="33" s="1"/>
  <c r="AC33" i="33" s="1"/>
  <c r="AC29" i="33"/>
  <c r="H493" i="10"/>
  <c r="H55" i="33" s="1"/>
  <c r="AA145" i="33" s="1"/>
  <c r="AA143" i="33"/>
  <c r="L538" i="10"/>
  <c r="L60" i="33" s="1"/>
  <c r="AE172" i="33"/>
  <c r="H547" i="10"/>
  <c r="H61" i="33" s="1"/>
  <c r="AA173" i="33"/>
  <c r="H565" i="10"/>
  <c r="H63" i="33" s="1"/>
  <c r="AA175" i="33"/>
  <c r="H583" i="10"/>
  <c r="H65" i="33" s="1"/>
  <c r="AA177" i="33"/>
  <c r="J619" i="10"/>
  <c r="J69" i="33" s="1"/>
  <c r="AC55" i="33" s="1"/>
  <c r="AC48" i="33"/>
  <c r="J637" i="10"/>
  <c r="J71" i="33" s="1"/>
  <c r="AC57" i="33" s="1"/>
  <c r="AC50" i="33"/>
  <c r="L655" i="10"/>
  <c r="L73" i="33" s="1"/>
  <c r="AE67" i="33" s="1"/>
  <c r="AE64" i="33"/>
  <c r="L700" i="10"/>
  <c r="L78" i="33" s="1"/>
  <c r="AE180" i="33"/>
  <c r="M835" i="10"/>
  <c r="M93" i="33" s="1"/>
  <c r="AF190" i="33"/>
  <c r="L817" i="10"/>
  <c r="L91" i="33" s="1"/>
  <c r="AE188" i="33"/>
  <c r="L88" i="10"/>
  <c r="L10" i="33" s="1"/>
  <c r="AE83" i="33" s="1"/>
  <c r="AE79" i="33"/>
  <c r="L97" i="10"/>
  <c r="L11" i="33" s="1"/>
  <c r="AE40" i="33" s="1"/>
  <c r="AE36" i="33"/>
  <c r="L115" i="10"/>
  <c r="L13" i="33" s="1"/>
  <c r="AE42" i="33" s="1"/>
  <c r="AE38" i="33"/>
  <c r="J133" i="10"/>
  <c r="J15" i="33" s="1"/>
  <c r="AC151" i="33"/>
  <c r="J142" i="10"/>
  <c r="J16" i="33" s="1"/>
  <c r="AC152" i="33"/>
  <c r="J160" i="10"/>
  <c r="J18" i="33" s="1"/>
  <c r="AC154" i="33"/>
  <c r="J187" i="10"/>
  <c r="J21" i="33" s="1"/>
  <c r="AC156" i="33"/>
  <c r="H277" i="10"/>
  <c r="H31" i="33" s="1"/>
  <c r="AA26" i="33" s="1"/>
  <c r="AA21" i="33"/>
  <c r="I349" i="10"/>
  <c r="I39" i="33" s="1"/>
  <c r="AB164" i="33"/>
  <c r="I475" i="10"/>
  <c r="I53" i="33" s="1"/>
  <c r="AB33" i="33" s="1"/>
  <c r="AB29" i="33"/>
  <c r="J88" i="10"/>
  <c r="J10" i="33" s="1"/>
  <c r="AC83" i="33" s="1"/>
  <c r="AC79" i="33"/>
  <c r="J97" i="10"/>
  <c r="J11" i="33" s="1"/>
  <c r="AC40" i="33" s="1"/>
  <c r="AC36" i="33"/>
  <c r="J115" i="10"/>
  <c r="J13" i="33" s="1"/>
  <c r="AC42" i="33" s="1"/>
  <c r="AC38" i="33"/>
  <c r="H151" i="10"/>
  <c r="H17" i="33" s="1"/>
  <c r="AA153" i="33"/>
  <c r="H178" i="10"/>
  <c r="H20" i="33" s="1"/>
  <c r="AA155" i="33"/>
  <c r="L259" i="10"/>
  <c r="L29" i="33" s="1"/>
  <c r="AE24" i="33" s="1"/>
  <c r="AE19" i="33"/>
  <c r="L277" i="10"/>
  <c r="L31" i="33" s="1"/>
  <c r="AE26" i="33" s="1"/>
  <c r="AE21" i="33"/>
  <c r="M340" i="10"/>
  <c r="M38" i="33" s="1"/>
  <c r="AF163" i="33"/>
  <c r="I412" i="10"/>
  <c r="I46" i="33" s="1"/>
  <c r="AB167" i="33"/>
  <c r="M421" i="10"/>
  <c r="M47" i="33" s="1"/>
  <c r="AF168" i="33"/>
  <c r="K439" i="10"/>
  <c r="K49" i="33" s="1"/>
  <c r="AD133" i="33" s="1"/>
  <c r="AD130" i="33"/>
  <c r="I457" i="10"/>
  <c r="I51" i="33" s="1"/>
  <c r="AB74" i="33" s="1"/>
  <c r="AB71" i="33"/>
  <c r="K493" i="10"/>
  <c r="K55" i="33" s="1"/>
  <c r="AD145" i="33" s="1"/>
  <c r="AD143" i="33"/>
  <c r="I538" i="10"/>
  <c r="I60" i="33" s="1"/>
  <c r="AB172" i="33"/>
  <c r="K547" i="10"/>
  <c r="K61" i="33" s="1"/>
  <c r="AD173" i="33"/>
  <c r="K565" i="10"/>
  <c r="K63" i="33" s="1"/>
  <c r="AD175" i="33"/>
  <c r="K583" i="10"/>
  <c r="K65" i="33" s="1"/>
  <c r="AD177" i="33"/>
  <c r="M610" i="10"/>
  <c r="M68" i="33" s="1"/>
  <c r="AF54" i="33" s="1"/>
  <c r="AF47" i="33"/>
  <c r="M628" i="10"/>
  <c r="M70" i="33" s="1"/>
  <c r="AF56" i="33" s="1"/>
  <c r="AF49" i="33"/>
  <c r="I655" i="10"/>
  <c r="I73" i="33" s="1"/>
  <c r="AB67" i="33" s="1"/>
  <c r="AB64" i="33"/>
  <c r="M664" i="10"/>
  <c r="M74" i="33" s="1"/>
  <c r="AF178" i="33"/>
  <c r="I700" i="10"/>
  <c r="I78" i="33" s="1"/>
  <c r="AB180" i="33"/>
  <c r="H763" i="10"/>
  <c r="H85" i="33" s="1"/>
  <c r="AA97" i="33" s="1"/>
  <c r="AA94" i="33"/>
  <c r="J781" i="10"/>
  <c r="J87" i="33" s="1"/>
  <c r="AC127" i="33" s="1"/>
  <c r="AC124" i="33"/>
  <c r="H808" i="10"/>
  <c r="H90" i="33" s="1"/>
  <c r="AA187" i="33"/>
  <c r="J835" i="10"/>
  <c r="J93" i="33" s="1"/>
  <c r="AC190" i="33"/>
  <c r="I817" i="10"/>
  <c r="I91" i="33" s="1"/>
  <c r="AB188" i="33"/>
  <c r="K412" i="10"/>
  <c r="K46" i="33" s="1"/>
  <c r="AD167" i="33"/>
  <c r="M439" i="10"/>
  <c r="M49" i="33" s="1"/>
  <c r="AF133" i="33" s="1"/>
  <c r="AF130" i="33"/>
  <c r="K457" i="10"/>
  <c r="K51" i="33" s="1"/>
  <c r="AD74" i="33" s="1"/>
  <c r="AD71" i="33"/>
  <c r="M493" i="10"/>
  <c r="M55" i="33" s="1"/>
  <c r="AF145" i="33" s="1"/>
  <c r="AF143" i="33"/>
  <c r="K538" i="10"/>
  <c r="K60" i="33" s="1"/>
  <c r="AD172" i="33"/>
  <c r="M565" i="10"/>
  <c r="M63" i="33" s="1"/>
  <c r="AF175" i="33"/>
  <c r="K88" i="10"/>
  <c r="K10" i="33" s="1"/>
  <c r="AD83" i="33" s="1"/>
  <c r="AD79" i="33"/>
  <c r="K115" i="10"/>
  <c r="K13" i="33" s="1"/>
  <c r="AD42" i="33" s="1"/>
  <c r="AD38" i="33"/>
  <c r="I133" i="10"/>
  <c r="I15" i="33" s="1"/>
  <c r="AB151" i="33"/>
  <c r="I160" i="10"/>
  <c r="I18" i="33" s="1"/>
  <c r="AB154" i="33"/>
  <c r="I187" i="10"/>
  <c r="I21" i="33" s="1"/>
  <c r="AB156" i="33"/>
  <c r="I88" i="10"/>
  <c r="I10" i="33" s="1"/>
  <c r="AB83" i="33" s="1"/>
  <c r="AB79" i="33"/>
  <c r="I97" i="10"/>
  <c r="I11" i="33" s="1"/>
  <c r="AB40" i="33" s="1"/>
  <c r="AB36" i="33"/>
  <c r="I115" i="10"/>
  <c r="I13" i="33" s="1"/>
  <c r="AB42" i="33" s="1"/>
  <c r="AB38" i="33"/>
  <c r="M151" i="10"/>
  <c r="M17" i="33" s="1"/>
  <c r="AF153" i="33"/>
  <c r="M178" i="10"/>
  <c r="M20" i="33" s="1"/>
  <c r="AF155" i="33"/>
  <c r="K259" i="10"/>
  <c r="K29" i="33" s="1"/>
  <c r="AD24" i="33" s="1"/>
  <c r="AD19" i="33"/>
  <c r="K277" i="10"/>
  <c r="K31" i="33" s="1"/>
  <c r="AD26" i="33" s="1"/>
  <c r="AD21" i="33"/>
  <c r="L340" i="10"/>
  <c r="L38" i="33" s="1"/>
  <c r="AE163" i="33"/>
  <c r="L421" i="10"/>
  <c r="L47" i="33" s="1"/>
  <c r="AE168" i="33"/>
  <c r="J439" i="10"/>
  <c r="J49" i="33" s="1"/>
  <c r="AC133" i="33" s="1"/>
  <c r="AC130" i="33"/>
  <c r="H448" i="10"/>
  <c r="H50" i="33" s="1"/>
  <c r="AA73" i="33" s="1"/>
  <c r="AA70" i="33"/>
  <c r="J493" i="10"/>
  <c r="J55" i="33" s="1"/>
  <c r="AC145" i="33" s="1"/>
  <c r="AC143" i="33"/>
  <c r="J547" i="10"/>
  <c r="J61" i="33" s="1"/>
  <c r="AC173" i="33"/>
  <c r="J565" i="10"/>
  <c r="J63" i="33" s="1"/>
  <c r="AC175" i="33"/>
  <c r="J583" i="10"/>
  <c r="J65" i="33" s="1"/>
  <c r="AC177" i="33"/>
  <c r="L610" i="10"/>
  <c r="L68" i="33" s="1"/>
  <c r="AE54" i="33" s="1"/>
  <c r="AE47" i="33"/>
  <c r="L628" i="10"/>
  <c r="L70" i="33" s="1"/>
  <c r="AE56" i="33" s="1"/>
  <c r="AE49" i="33"/>
  <c r="L664" i="10"/>
  <c r="L74" i="33" s="1"/>
  <c r="AE178" i="33"/>
  <c r="M763" i="10"/>
  <c r="M85" i="33" s="1"/>
  <c r="AF97" i="33" s="1"/>
  <c r="AF94" i="33"/>
  <c r="I781" i="10"/>
  <c r="I87" i="33" s="1"/>
  <c r="AB127" i="33" s="1"/>
  <c r="AB124" i="33"/>
  <c r="M808" i="10"/>
  <c r="M90" i="33" s="1"/>
  <c r="AF187" i="33"/>
  <c r="I835" i="10"/>
  <c r="I93" i="33" s="1"/>
  <c r="AB190" i="33"/>
  <c r="A623" i="10"/>
  <c r="A624" i="10" s="1"/>
  <c r="A625" i="10" s="1"/>
  <c r="A626" i="10" s="1"/>
  <c r="A627" i="10" s="1"/>
  <c r="A628" i="10" s="1"/>
  <c r="A70" i="33" s="1"/>
  <c r="T56" i="33" s="1"/>
  <c r="T49" i="33"/>
  <c r="A344" i="10"/>
  <c r="A345" i="10" s="1"/>
  <c r="A346" i="10" s="1"/>
  <c r="A347" i="10" s="1"/>
  <c r="A348" i="10" s="1"/>
  <c r="A349" i="10" s="1"/>
  <c r="A39" i="33" s="1"/>
  <c r="T164" i="33"/>
  <c r="A767" i="10"/>
  <c r="A768" i="10" s="1"/>
  <c r="A769" i="10" s="1"/>
  <c r="A770" i="10" s="1"/>
  <c r="A771" i="10" s="1"/>
  <c r="A772" i="10" s="1"/>
  <c r="A86" i="33" s="1"/>
  <c r="T126" i="33" s="1"/>
  <c r="T123" i="33"/>
  <c r="A821" i="10"/>
  <c r="A822" i="10" s="1"/>
  <c r="A823" i="10" s="1"/>
  <c r="A824" i="10" s="1"/>
  <c r="A825" i="10" s="1"/>
  <c r="A826" i="10" s="1"/>
  <c r="A92" i="33" s="1"/>
  <c r="T189" i="33"/>
  <c r="A29" i="10"/>
  <c r="A30" i="10" s="1"/>
  <c r="A31" i="10" s="1"/>
  <c r="A32" i="10" s="1"/>
  <c r="A33" i="10" s="1"/>
  <c r="A34" i="10" s="1"/>
  <c r="A4" i="33" s="1"/>
  <c r="T8" i="33" s="1"/>
  <c r="T4" i="33"/>
  <c r="A335" i="10"/>
  <c r="A336" i="10" s="1"/>
  <c r="A337" i="10" s="1"/>
  <c r="A338" i="10" s="1"/>
  <c r="A339" i="10" s="1"/>
  <c r="A340" i="10" s="1"/>
  <c r="A38" i="33" s="1"/>
  <c r="T163" i="33"/>
  <c r="A470" i="10"/>
  <c r="A471" i="10" s="1"/>
  <c r="A472" i="10" s="1"/>
  <c r="A473" i="10" s="1"/>
  <c r="A474" i="10" s="1"/>
  <c r="A475" i="10" s="1"/>
  <c r="A53" i="33" s="1"/>
  <c r="T33" i="33" s="1"/>
  <c r="T29" i="33"/>
  <c r="A47" i="10"/>
  <c r="A48" i="10" s="1"/>
  <c r="A49" i="10" s="1"/>
  <c r="A50" i="10" s="1"/>
  <c r="A51" i="10" s="1"/>
  <c r="A52" i="10" s="1"/>
  <c r="A6" i="33" s="1"/>
  <c r="T148" i="33"/>
  <c r="A668" i="10"/>
  <c r="A669" i="10" s="1"/>
  <c r="A670" i="10" s="1"/>
  <c r="A671" i="10" s="1"/>
  <c r="A672" i="10" s="1"/>
  <c r="A673" i="10" s="1"/>
  <c r="A75" i="33" s="1"/>
  <c r="T179" i="33"/>
  <c r="A263" i="10"/>
  <c r="A264" i="10" s="1"/>
  <c r="A265" i="10" s="1"/>
  <c r="A266" i="10" s="1"/>
  <c r="A267" i="10" s="1"/>
  <c r="A268" i="10" s="1"/>
  <c r="A30" i="33" s="1"/>
  <c r="T25" i="33" s="1"/>
  <c r="T20" i="33"/>
  <c r="A578" i="10"/>
  <c r="A579" i="10" s="1"/>
  <c r="A580" i="10" s="1"/>
  <c r="A581" i="10" s="1"/>
  <c r="A582" i="10" s="1"/>
  <c r="A583" i="10" s="1"/>
  <c r="A65" i="33" s="1"/>
  <c r="T177" i="33"/>
  <c r="A56" i="10"/>
  <c r="A57" i="10" s="1"/>
  <c r="A58" i="10" s="1"/>
  <c r="A59" i="10" s="1"/>
  <c r="A60" i="10" s="1"/>
  <c r="A61" i="10" s="1"/>
  <c r="A7" i="33" s="1"/>
  <c r="T149" i="33"/>
  <c r="A128" i="10"/>
  <c r="A129" i="10" s="1"/>
  <c r="A130" i="10" s="1"/>
  <c r="A131" i="10" s="1"/>
  <c r="A132" i="10" s="1"/>
  <c r="A133" i="10" s="1"/>
  <c r="A15" i="33" s="1"/>
  <c r="T151" i="33"/>
  <c r="A155" i="10"/>
  <c r="A156" i="10" s="1"/>
  <c r="A157" i="10" s="1"/>
  <c r="A158" i="10" s="1"/>
  <c r="A159" i="10" s="1"/>
  <c r="A160" i="10" s="1"/>
  <c r="A18" i="33" s="1"/>
  <c r="T154" i="33"/>
  <c r="A254" i="10"/>
  <c r="A255" i="10" s="1"/>
  <c r="A256" i="10" s="1"/>
  <c r="A257" i="10" s="1"/>
  <c r="A258" i="10" s="1"/>
  <c r="A259" i="10" s="1"/>
  <c r="A29" i="33" s="1"/>
  <c r="T24" i="33" s="1"/>
  <c r="T19" i="33"/>
  <c r="A317" i="10"/>
  <c r="A318" i="10" s="1"/>
  <c r="A319" i="10" s="1"/>
  <c r="A320" i="10" s="1"/>
  <c r="A321" i="10" s="1"/>
  <c r="A322" i="10" s="1"/>
  <c r="A36" i="33" s="1"/>
  <c r="T16" i="33" s="1"/>
  <c r="T12" i="33"/>
  <c r="A569" i="10"/>
  <c r="A570" i="10" s="1"/>
  <c r="A571" i="10" s="1"/>
  <c r="A572" i="10" s="1"/>
  <c r="A573" i="10" s="1"/>
  <c r="A574" i="10" s="1"/>
  <c r="A64" i="33" s="1"/>
  <c r="T176" i="33"/>
  <c r="A614" i="10"/>
  <c r="A615" i="10" s="1"/>
  <c r="A616" i="10" s="1"/>
  <c r="A617" i="10" s="1"/>
  <c r="A618" i="10" s="1"/>
  <c r="A619" i="10" s="1"/>
  <c r="A69" i="33" s="1"/>
  <c r="T55" i="33" s="1"/>
  <c r="T48" i="33"/>
  <c r="A758" i="10"/>
  <c r="A759" i="10" s="1"/>
  <c r="A760" i="10" s="1"/>
  <c r="A761" i="10" s="1"/>
  <c r="A762" i="10" s="1"/>
  <c r="A763" i="10" s="1"/>
  <c r="A85" i="33" s="1"/>
  <c r="T97" i="33" s="1"/>
  <c r="T94" i="33"/>
  <c r="A803" i="10"/>
  <c r="A804" i="10" s="1"/>
  <c r="A805" i="10" s="1"/>
  <c r="A806" i="10" s="1"/>
  <c r="A807" i="10" s="1"/>
  <c r="A808" i="10" s="1"/>
  <c r="A90" i="33" s="1"/>
  <c r="T187" i="33"/>
  <c r="A839" i="10"/>
  <c r="A840" i="10" s="1"/>
  <c r="A841" i="10" s="1"/>
  <c r="A842" i="10" s="1"/>
  <c r="A843" i="10" s="1"/>
  <c r="A844" i="10" s="1"/>
  <c r="A94" i="33" s="1"/>
  <c r="T191" i="33"/>
  <c r="A452" i="10"/>
  <c r="A453" i="10" s="1"/>
  <c r="A454" i="10" s="1"/>
  <c r="A455" i="10" s="1"/>
  <c r="A456" i="10" s="1"/>
  <c r="A457" i="10" s="1"/>
  <c r="A51" i="33" s="1"/>
  <c r="T74" i="33" s="1"/>
  <c r="T71" i="33"/>
  <c r="A83" i="10"/>
  <c r="A84" i="10" s="1"/>
  <c r="A85" i="10" s="1"/>
  <c r="A86" i="10" s="1"/>
  <c r="A87" i="10" s="1"/>
  <c r="A88" i="10" s="1"/>
  <c r="A10" i="33" s="1"/>
  <c r="T83" i="33" s="1"/>
  <c r="T79" i="33"/>
  <c r="A110" i="10"/>
  <c r="A111" i="10" s="1"/>
  <c r="A112" i="10" s="1"/>
  <c r="A113" i="10" s="1"/>
  <c r="A114" i="10" s="1"/>
  <c r="A115" i="10" s="1"/>
  <c r="A13" i="33" s="1"/>
  <c r="T42" i="33" s="1"/>
  <c r="T38" i="33"/>
  <c r="A146" i="10"/>
  <c r="A147" i="10" s="1"/>
  <c r="A148" i="10" s="1"/>
  <c r="A149" i="10" s="1"/>
  <c r="A150" i="10" s="1"/>
  <c r="A151" i="10" s="1"/>
  <c r="A17" i="33" s="1"/>
  <c r="T153" i="33"/>
  <c r="A200" i="10"/>
  <c r="A201" i="10" s="1"/>
  <c r="A202" i="10" s="1"/>
  <c r="A203" i="10" s="1"/>
  <c r="A204" i="10" s="1"/>
  <c r="A205" i="10" s="1"/>
  <c r="A23" i="33" s="1"/>
  <c r="T158" i="33"/>
  <c r="A182" i="10"/>
  <c r="A183" i="10" s="1"/>
  <c r="A184" i="10" s="1"/>
  <c r="A185" i="10" s="1"/>
  <c r="A186" i="10" s="1"/>
  <c r="A187" i="10" s="1"/>
  <c r="A21" i="33" s="1"/>
  <c r="T156" i="33"/>
  <c r="A587" i="10"/>
  <c r="A588" i="10" s="1"/>
  <c r="A589" i="10" s="1"/>
  <c r="A590" i="10" s="1"/>
  <c r="A591" i="10" s="1"/>
  <c r="A592" i="10" s="1"/>
  <c r="A66" i="33" s="1"/>
  <c r="T52" i="33" s="1"/>
  <c r="T45" i="33"/>
  <c r="A173" i="10"/>
  <c r="A174" i="10" s="1"/>
  <c r="A175" i="10" s="1"/>
  <c r="A176" i="10" s="1"/>
  <c r="A177" i="10" s="1"/>
  <c r="A178" i="10" s="1"/>
  <c r="A20" i="33" s="1"/>
  <c r="T155" i="33"/>
  <c r="A281" i="10"/>
  <c r="A282" i="10" s="1"/>
  <c r="A283" i="10" s="1"/>
  <c r="A284" i="10" s="1"/>
  <c r="A285" i="10" s="1"/>
  <c r="A286" i="10" s="1"/>
  <c r="A32" i="33" s="1"/>
  <c r="T160" i="33"/>
  <c r="A776" i="10"/>
  <c r="A777" i="10" s="1"/>
  <c r="A778" i="10" s="1"/>
  <c r="A779" i="10" s="1"/>
  <c r="A780" i="10" s="1"/>
  <c r="A781" i="10" s="1"/>
  <c r="A87" i="33" s="1"/>
  <c r="T127" i="33" s="1"/>
  <c r="T124" i="33"/>
  <c r="A830" i="10"/>
  <c r="A831" i="10" s="1"/>
  <c r="A832" i="10" s="1"/>
  <c r="A833" i="10" s="1"/>
  <c r="A834" i="10" s="1"/>
  <c r="A835" i="10" s="1"/>
  <c r="A93" i="33" s="1"/>
  <c r="T190" i="33"/>
  <c r="A434" i="10"/>
  <c r="A435" i="10" s="1"/>
  <c r="A436" i="10" s="1"/>
  <c r="A437" i="10" s="1"/>
  <c r="A438" i="10" s="1"/>
  <c r="A439" i="10" s="1"/>
  <c r="A49" i="33" s="1"/>
  <c r="T133" i="33" s="1"/>
  <c r="T130" i="33"/>
  <c r="A488" i="10"/>
  <c r="A489" i="10" s="1"/>
  <c r="A490" i="10" s="1"/>
  <c r="A491" i="10" s="1"/>
  <c r="A492" i="10" s="1"/>
  <c r="A493" i="10" s="1"/>
  <c r="A55" i="33" s="1"/>
  <c r="T145" i="33" s="1"/>
  <c r="T143" i="33"/>
  <c r="A542" i="10"/>
  <c r="A543" i="10" s="1"/>
  <c r="A544" i="10" s="1"/>
  <c r="A545" i="10" s="1"/>
  <c r="A546" i="10" s="1"/>
  <c r="A547" i="10" s="1"/>
  <c r="A61" i="33" s="1"/>
  <c r="T173" i="33"/>
  <c r="A605" i="10"/>
  <c r="A606" i="10" s="1"/>
  <c r="A607" i="10" s="1"/>
  <c r="A608" i="10" s="1"/>
  <c r="A609" i="10" s="1"/>
  <c r="A610" i="10" s="1"/>
  <c r="A68" i="33" s="1"/>
  <c r="T54" i="33" s="1"/>
  <c r="T47" i="33"/>
  <c r="A407" i="10"/>
  <c r="A408" i="10" s="1"/>
  <c r="A409" i="10" s="1"/>
  <c r="A410" i="10" s="1"/>
  <c r="A411" i="10" s="1"/>
  <c r="A412" i="10" s="1"/>
  <c r="A46" i="33" s="1"/>
  <c r="T167" i="33"/>
  <c r="A533" i="10"/>
  <c r="A534" i="10" s="1"/>
  <c r="A535" i="10" s="1"/>
  <c r="A536" i="10" s="1"/>
  <c r="A537" i="10" s="1"/>
  <c r="A538" i="10" s="1"/>
  <c r="A60" i="33" s="1"/>
  <c r="T172" i="33"/>
  <c r="A695" i="10"/>
  <c r="A696" i="10" s="1"/>
  <c r="A697" i="10" s="1"/>
  <c r="A698" i="10" s="1"/>
  <c r="A699" i="10" s="1"/>
  <c r="A700" i="10" s="1"/>
  <c r="A78" i="33" s="1"/>
  <c r="T180" i="33"/>
  <c r="A812" i="10"/>
  <c r="A813" i="10" s="1"/>
  <c r="A814" i="10" s="1"/>
  <c r="A815" i="10" s="1"/>
  <c r="A816" i="10" s="1"/>
  <c r="A817" i="10" s="1"/>
  <c r="A91" i="33" s="1"/>
  <c r="T188" i="33"/>
  <c r="A74" i="10"/>
  <c r="A75" i="10" s="1"/>
  <c r="A76" i="10" s="1"/>
  <c r="A77" i="10" s="1"/>
  <c r="A78" i="10" s="1"/>
  <c r="A79" i="10" s="1"/>
  <c r="A9" i="33" s="1"/>
  <c r="T82" i="33" s="1"/>
  <c r="T78" i="33"/>
  <c r="A101" i="10"/>
  <c r="A102" i="10" s="1"/>
  <c r="A103" i="10" s="1"/>
  <c r="A104" i="10" s="1"/>
  <c r="A105" i="10" s="1"/>
  <c r="A106" i="10" s="1"/>
  <c r="A12" i="33" s="1"/>
  <c r="T41" i="33" s="1"/>
  <c r="T37" i="33"/>
  <c r="A137" i="10"/>
  <c r="A138" i="10" s="1"/>
  <c r="A139" i="10" s="1"/>
  <c r="A140" i="10" s="1"/>
  <c r="A141" i="10" s="1"/>
  <c r="A142" i="10" s="1"/>
  <c r="A16" i="33" s="1"/>
  <c r="T152" i="33"/>
  <c r="A164" i="10"/>
  <c r="A165" i="10" s="1"/>
  <c r="A166" i="10" s="1"/>
  <c r="A167" i="10" s="1"/>
  <c r="A168" i="10" s="1"/>
  <c r="A169" i="10" s="1"/>
  <c r="A19" i="33" s="1"/>
  <c r="T121" i="33" s="1"/>
  <c r="T119" i="33"/>
  <c r="A191" i="10"/>
  <c r="A192" i="10" s="1"/>
  <c r="A193" i="10" s="1"/>
  <c r="A194" i="10" s="1"/>
  <c r="A195" i="10" s="1"/>
  <c r="A196" i="10" s="1"/>
  <c r="A22" i="33" s="1"/>
  <c r="T157" i="33"/>
  <c r="A551" i="10"/>
  <c r="A552" i="10" s="1"/>
  <c r="A553" i="10" s="1"/>
  <c r="A554" i="10" s="1"/>
  <c r="A555" i="10" s="1"/>
  <c r="A556" i="10" s="1"/>
  <c r="A62" i="33" s="1"/>
  <c r="T174" i="33"/>
  <c r="A92" i="10"/>
  <c r="A93" i="10" s="1"/>
  <c r="A94" i="10" s="1"/>
  <c r="A95" i="10" s="1"/>
  <c r="A96" i="10" s="1"/>
  <c r="A97" i="10" s="1"/>
  <c r="A11" i="33" s="1"/>
  <c r="T40" i="33" s="1"/>
  <c r="T36" i="33"/>
  <c r="A632" i="10"/>
  <c r="A633" i="10" s="1"/>
  <c r="A634" i="10" s="1"/>
  <c r="A635" i="10" s="1"/>
  <c r="A636" i="10" s="1"/>
  <c r="A637" i="10" s="1"/>
  <c r="A71" i="33" s="1"/>
  <c r="T57" i="33" s="1"/>
  <c r="T50" i="33"/>
  <c r="A272" i="10"/>
  <c r="A273" i="10" s="1"/>
  <c r="A274" i="10" s="1"/>
  <c r="A275" i="10" s="1"/>
  <c r="A276" i="10" s="1"/>
  <c r="A277" i="10" s="1"/>
  <c r="A31" i="33" s="1"/>
  <c r="T26" i="33" s="1"/>
  <c r="T21" i="33"/>
  <c r="A380" i="10"/>
  <c r="A381" i="10" s="1"/>
  <c r="A382" i="10" s="1"/>
  <c r="A383" i="10" s="1"/>
  <c r="A384" i="10" s="1"/>
  <c r="A385" i="10" s="1"/>
  <c r="A43" i="33" s="1"/>
  <c r="T91" i="33" s="1"/>
  <c r="T87" i="33"/>
  <c r="A650" i="10"/>
  <c r="A651" i="10" s="1"/>
  <c r="A652" i="10" s="1"/>
  <c r="A653" i="10" s="1"/>
  <c r="A654" i="10" s="1"/>
  <c r="A655" i="10" s="1"/>
  <c r="A73" i="33" s="1"/>
  <c r="T67" i="33" s="1"/>
  <c r="T64" i="33"/>
  <c r="A416" i="10"/>
  <c r="A417" i="10" s="1"/>
  <c r="A418" i="10" s="1"/>
  <c r="A419" i="10" s="1"/>
  <c r="A420" i="10" s="1"/>
  <c r="A421" i="10" s="1"/>
  <c r="A47" i="33" s="1"/>
  <c r="T168" i="33"/>
  <c r="A560" i="10"/>
  <c r="A561" i="10" s="1"/>
  <c r="A562" i="10" s="1"/>
  <c r="A563" i="10" s="1"/>
  <c r="A564" i="10" s="1"/>
  <c r="A565" i="10" s="1"/>
  <c r="A63" i="33" s="1"/>
  <c r="T175" i="33"/>
  <c r="A596" i="10"/>
  <c r="A597" i="10" s="1"/>
  <c r="A598" i="10" s="1"/>
  <c r="A599" i="10" s="1"/>
  <c r="A600" i="10" s="1"/>
  <c r="A601" i="10" s="1"/>
  <c r="A67" i="33" s="1"/>
  <c r="T53" i="33" s="1"/>
  <c r="T46" i="33"/>
  <c r="A659" i="10"/>
  <c r="A660" i="10" s="1"/>
  <c r="A661" i="10" s="1"/>
  <c r="A662" i="10" s="1"/>
  <c r="A663" i="10" s="1"/>
  <c r="A664" i="10" s="1"/>
  <c r="A74" i="33" s="1"/>
  <c r="T178" i="33"/>
  <c r="K592" i="10"/>
  <c r="K66" i="33" s="1"/>
  <c r="AD52" i="33" s="1"/>
  <c r="AH595" i="10"/>
  <c r="J592" i="10"/>
  <c r="J66" i="33" s="1"/>
  <c r="AC52" i="33" s="1"/>
  <c r="AG595" i="10"/>
  <c r="I592" i="10"/>
  <c r="I66" i="33" s="1"/>
  <c r="AB52" i="33" s="1"/>
  <c r="AF595" i="10"/>
  <c r="H592" i="10"/>
  <c r="H66" i="33" s="1"/>
  <c r="AA52" i="33" s="1"/>
  <c r="AE595" i="10"/>
  <c r="M592" i="10"/>
  <c r="M66" i="33" s="1"/>
  <c r="AF52" i="33" s="1"/>
  <c r="AJ595" i="10"/>
  <c r="L592" i="10"/>
  <c r="L66" i="33" s="1"/>
  <c r="AE52" i="33" s="1"/>
  <c r="AI595" i="10"/>
  <c r="H205" i="10"/>
  <c r="H23" i="33" s="1"/>
  <c r="L196" i="10"/>
  <c r="L22" i="33" s="1"/>
  <c r="M205" i="10"/>
  <c r="M23" i="33" s="1"/>
  <c r="L205" i="10"/>
  <c r="L23" i="33" s="1"/>
  <c r="H196" i="10"/>
  <c r="H22" i="33" s="1"/>
  <c r="K205" i="10"/>
  <c r="K23" i="33" s="1"/>
  <c r="J205" i="10"/>
  <c r="J23" i="33" s="1"/>
  <c r="I205" i="10"/>
  <c r="I23" i="33" s="1"/>
  <c r="M196" i="10"/>
  <c r="M22" i="33" s="1"/>
  <c r="J196" i="10"/>
  <c r="J22" i="33" s="1"/>
  <c r="K196" i="10"/>
  <c r="K22" i="33" s="1"/>
  <c r="I196" i="10"/>
  <c r="I22" i="33" s="1"/>
  <c r="H601" i="10"/>
  <c r="H67" i="33" s="1"/>
  <c r="AA53" i="33" s="1"/>
  <c r="AE583" i="10"/>
  <c r="M601" i="10"/>
  <c r="M67" i="33" s="1"/>
  <c r="AF53" i="33" s="1"/>
  <c r="AJ583" i="10"/>
  <c r="L601" i="10"/>
  <c r="L67" i="33" s="1"/>
  <c r="AE53" i="33" s="1"/>
  <c r="AI583" i="10"/>
  <c r="K601" i="10"/>
  <c r="K67" i="33" s="1"/>
  <c r="AD53" i="33" s="1"/>
  <c r="AH583" i="10"/>
  <c r="J601" i="10"/>
  <c r="J67" i="33" s="1"/>
  <c r="AC53" i="33" s="1"/>
  <c r="AG583" i="10"/>
  <c r="I601" i="10"/>
  <c r="I67" i="33" s="1"/>
  <c r="AB53" i="33" s="1"/>
  <c r="AF583" i="10"/>
  <c r="H169" i="10"/>
  <c r="H19" i="33" s="1"/>
  <c r="AA121" i="33" s="1"/>
  <c r="M169" i="10"/>
  <c r="M19" i="33" s="1"/>
  <c r="AF121" i="33" s="1"/>
  <c r="L169" i="10"/>
  <c r="L19" i="33" s="1"/>
  <c r="AE121" i="33" s="1"/>
  <c r="K169" i="10"/>
  <c r="K19" i="33" s="1"/>
  <c r="AD121" i="33" s="1"/>
  <c r="I169" i="10"/>
  <c r="I19" i="33" s="1"/>
  <c r="AB121" i="33" s="1"/>
  <c r="J169" i="10"/>
  <c r="J19" i="33" s="1"/>
  <c r="AC121" i="33" s="1"/>
  <c r="Z843" i="10"/>
  <c r="Z699" i="10"/>
  <c r="Z852" i="10"/>
  <c r="Z817" i="10"/>
  <c r="Z816" i="10"/>
  <c r="O811" i="10"/>
  <c r="AH188" i="33" s="1"/>
  <c r="Z780" i="10"/>
  <c r="Z771" i="10"/>
  <c r="Z807" i="10"/>
  <c r="Z825" i="10"/>
  <c r="Z834" i="10"/>
  <c r="Z762" i="10"/>
  <c r="O739" i="10"/>
  <c r="AH99" i="33" s="1"/>
  <c r="AI99" i="33" s="1"/>
  <c r="O757" i="10"/>
  <c r="AH94" i="33" s="1"/>
  <c r="O748" i="10"/>
  <c r="AH93" i="33" s="1"/>
  <c r="O730" i="10"/>
  <c r="AH184" i="33" s="1"/>
  <c r="AI184" i="33" s="1"/>
  <c r="S853" i="10"/>
  <c r="Z853" i="10" s="1"/>
  <c r="S844" i="10"/>
  <c r="Z844" i="10" s="1"/>
  <c r="O838" i="10"/>
  <c r="AH191" i="33" s="1"/>
  <c r="S835" i="10"/>
  <c r="Z835" i="10" s="1"/>
  <c r="O829" i="10"/>
  <c r="AH190" i="33" s="1"/>
  <c r="S826" i="10"/>
  <c r="Z826" i="10" s="1"/>
  <c r="O820" i="10"/>
  <c r="AH189" i="33" s="1"/>
  <c r="S808" i="10"/>
  <c r="Z808" i="10" s="1"/>
  <c r="O802" i="10"/>
  <c r="AH187" i="33" s="1"/>
  <c r="AI187" i="33" s="1"/>
  <c r="Z772" i="10"/>
  <c r="O766" i="10"/>
  <c r="AH123" i="33" s="1"/>
  <c r="S781" i="10"/>
  <c r="Z781" i="10" s="1"/>
  <c r="O775" i="10"/>
  <c r="AH124" i="33" s="1"/>
  <c r="I763" i="10"/>
  <c r="I85" i="33" s="1"/>
  <c r="AB97" i="33" s="1"/>
  <c r="S763" i="10"/>
  <c r="Z763" i="10" s="1"/>
  <c r="O712" i="10"/>
  <c r="AH182" i="33" s="1"/>
  <c r="AI182" i="33" s="1"/>
  <c r="O721" i="10"/>
  <c r="AH183" i="33" s="1"/>
  <c r="AI183" i="33" s="1"/>
  <c r="O703" i="10"/>
  <c r="AH181" i="33" s="1"/>
  <c r="AI181" i="33" s="1"/>
  <c r="S700" i="10"/>
  <c r="Z700" i="10" s="1"/>
  <c r="O694" i="10"/>
  <c r="AH180" i="33" s="1"/>
  <c r="AI180" i="33" s="1"/>
  <c r="Z600" i="10"/>
  <c r="Z672" i="10"/>
  <c r="O640" i="10"/>
  <c r="AH63" i="33" s="1"/>
  <c r="O685" i="10"/>
  <c r="AH115" i="33" s="1"/>
  <c r="AI115" i="33" s="1"/>
  <c r="O676" i="10"/>
  <c r="AH103" i="33" s="1"/>
  <c r="AI103" i="33" s="1"/>
  <c r="S673" i="10"/>
  <c r="Z673" i="10" s="1"/>
  <c r="O667" i="10"/>
  <c r="AH179" i="33" s="1"/>
  <c r="AI179" i="33" s="1"/>
  <c r="Z663" i="10"/>
  <c r="Z636" i="10"/>
  <c r="S664" i="10"/>
  <c r="Z664" i="10" s="1"/>
  <c r="O658" i="10"/>
  <c r="AH178" i="33" s="1"/>
  <c r="AI178" i="33" s="1"/>
  <c r="Z655" i="10"/>
  <c r="Z654" i="10"/>
  <c r="O649" i="10"/>
  <c r="AH64" i="33" s="1"/>
  <c r="Z591" i="10"/>
  <c r="Z627" i="10"/>
  <c r="Z609" i="10"/>
  <c r="Z618" i="10"/>
  <c r="O586" i="10"/>
  <c r="AH45" i="33" s="1"/>
  <c r="S637" i="10"/>
  <c r="Z637" i="10" s="1"/>
  <c r="O631" i="10"/>
  <c r="AH50" i="33" s="1"/>
  <c r="S628" i="10"/>
  <c r="Z628" i="10" s="1"/>
  <c r="O622" i="10"/>
  <c r="AH49" i="33" s="1"/>
  <c r="S619" i="10"/>
  <c r="Z619" i="10" s="1"/>
  <c r="O613" i="10"/>
  <c r="AH48" i="33" s="1"/>
  <c r="S610" i="10"/>
  <c r="Z610" i="10" s="1"/>
  <c r="O604" i="10"/>
  <c r="AH47" i="33" s="1"/>
  <c r="S601" i="10"/>
  <c r="Z601" i="10" s="1"/>
  <c r="O595" i="10"/>
  <c r="AH46" i="33" s="1"/>
  <c r="S592" i="10"/>
  <c r="Z592" i="10" s="1"/>
  <c r="Z546" i="10"/>
  <c r="Z555" i="10"/>
  <c r="S556" i="10"/>
  <c r="Z556" i="10" s="1"/>
  <c r="O550" i="10"/>
  <c r="AH174" i="33" s="1"/>
  <c r="O577" i="10"/>
  <c r="AH177" i="33" s="1"/>
  <c r="Z573" i="10"/>
  <c r="O541" i="10"/>
  <c r="AH173" i="33" s="1"/>
  <c r="M583" i="10"/>
  <c r="M65" i="33" s="1"/>
  <c r="S574" i="10"/>
  <c r="Z574" i="10" s="1"/>
  <c r="O568" i="10"/>
  <c r="AH176" i="33" s="1"/>
  <c r="S547" i="10"/>
  <c r="Z547" i="10" s="1"/>
  <c r="Z537" i="10"/>
  <c r="Z564" i="10"/>
  <c r="S565" i="10"/>
  <c r="Z565" i="10" s="1"/>
  <c r="O559" i="10"/>
  <c r="AH175" i="33" s="1"/>
  <c r="S538" i="10"/>
  <c r="Z538" i="10" s="1"/>
  <c r="O532" i="10"/>
  <c r="AH172" i="33" s="1"/>
  <c r="Z492" i="10"/>
  <c r="O505" i="10"/>
  <c r="AH169" i="33" s="1"/>
  <c r="AI169" i="33" s="1"/>
  <c r="Z456" i="10"/>
  <c r="O460" i="10"/>
  <c r="AH28" i="33" s="1"/>
  <c r="O523" i="10"/>
  <c r="AH171" i="33" s="1"/>
  <c r="AI171" i="33" s="1"/>
  <c r="O496" i="10"/>
  <c r="AH135" i="33" s="1"/>
  <c r="AI135" i="33" s="1"/>
  <c r="S493" i="10"/>
  <c r="Z493" i="10" s="1"/>
  <c r="O487" i="10"/>
  <c r="AH143" i="33" s="1"/>
  <c r="AI143" i="33" s="1"/>
  <c r="O442" i="10"/>
  <c r="AH70" i="33" s="1"/>
  <c r="Z474" i="10"/>
  <c r="S475" i="10"/>
  <c r="Z475" i="10" s="1"/>
  <c r="O469" i="10"/>
  <c r="AH29" i="33" s="1"/>
  <c r="O451" i="10"/>
  <c r="AH71" i="33" s="1"/>
  <c r="H457" i="10"/>
  <c r="H51" i="33" s="1"/>
  <c r="AA74" i="33" s="1"/>
  <c r="S457" i="10"/>
  <c r="Z457" i="10" s="1"/>
  <c r="O424" i="10"/>
  <c r="AH129" i="33" s="1"/>
  <c r="Z438" i="10"/>
  <c r="O433" i="10"/>
  <c r="AH130" i="33" s="1"/>
  <c r="Z439" i="10"/>
  <c r="Z420" i="10"/>
  <c r="Z411" i="10"/>
  <c r="Z384" i="10"/>
  <c r="S421" i="10"/>
  <c r="Z421" i="10" s="1"/>
  <c r="O415" i="10"/>
  <c r="AH168" i="33" s="1"/>
  <c r="S412" i="10"/>
  <c r="Z412" i="10" s="1"/>
  <c r="O406" i="10"/>
  <c r="AH167" i="33" s="1"/>
  <c r="O388" i="10"/>
  <c r="AH139" i="33" s="1"/>
  <c r="AI139" i="33" s="1"/>
  <c r="O352" i="10"/>
  <c r="AH165" i="33" s="1"/>
  <c r="AI165" i="33" s="1"/>
  <c r="O370" i="10"/>
  <c r="AH86" i="33" s="1"/>
  <c r="O361" i="10"/>
  <c r="AH85" i="33" s="1"/>
  <c r="O397" i="10"/>
  <c r="AH166" i="33" s="1"/>
  <c r="AI166" i="33" s="1"/>
  <c r="Z385" i="10"/>
  <c r="O379" i="10"/>
  <c r="AH87" i="33" s="1"/>
  <c r="O325" i="10"/>
  <c r="AH162" i="33" s="1"/>
  <c r="O343" i="10"/>
  <c r="AH164" i="33" s="1"/>
  <c r="H349" i="10"/>
  <c r="H39" i="33" s="1"/>
  <c r="O334" i="10"/>
  <c r="AH163" i="33" s="1"/>
  <c r="Z349" i="10"/>
  <c r="Z348" i="10"/>
  <c r="Z340" i="10"/>
  <c r="Z339" i="10"/>
  <c r="O307" i="10"/>
  <c r="AH11" i="33" s="1"/>
  <c r="Z276" i="10"/>
  <c r="Z321" i="10"/>
  <c r="Z285" i="10"/>
  <c r="O316" i="10"/>
  <c r="AH12" i="33" s="1"/>
  <c r="H322" i="10"/>
  <c r="H36" i="33" s="1"/>
  <c r="AA16" i="33" s="1"/>
  <c r="O298" i="10"/>
  <c r="AH10" i="33" s="1"/>
  <c r="S322" i="10"/>
  <c r="Z322" i="10" s="1"/>
  <c r="O262" i="10"/>
  <c r="AH20" i="33" s="1"/>
  <c r="S286" i="10"/>
  <c r="Z286" i="10" s="1"/>
  <c r="O280" i="10"/>
  <c r="AH160" i="33" s="1"/>
  <c r="AI160" i="33" s="1"/>
  <c r="O244" i="10"/>
  <c r="AH18" i="33" s="1"/>
  <c r="O226" i="10"/>
  <c r="AH108" i="33" s="1"/>
  <c r="O271" i="10"/>
  <c r="AH21" i="33" s="1"/>
  <c r="Z258" i="10"/>
  <c r="I277" i="10"/>
  <c r="I31" i="33" s="1"/>
  <c r="AB26" i="33" s="1"/>
  <c r="O253" i="10"/>
  <c r="AH19" i="33" s="1"/>
  <c r="O217" i="10"/>
  <c r="AH107" i="33" s="1"/>
  <c r="S277" i="10"/>
  <c r="Z277" i="10" s="1"/>
  <c r="Z268" i="10"/>
  <c r="Z267" i="10"/>
  <c r="S259" i="10"/>
  <c r="Z259" i="10" s="1"/>
  <c r="Z195" i="10"/>
  <c r="Z204" i="10"/>
  <c r="S205" i="10"/>
  <c r="Z205" i="10" s="1"/>
  <c r="O199" i="10"/>
  <c r="AH158" i="33" s="1"/>
  <c r="O190" i="10"/>
  <c r="AH157" i="33" s="1"/>
  <c r="U196" i="10"/>
  <c r="Z196" i="10" s="1"/>
  <c r="Z177" i="10"/>
  <c r="Z186" i="10"/>
  <c r="S187" i="10"/>
  <c r="Z187" i="10" s="1"/>
  <c r="O181" i="10"/>
  <c r="AH156" i="33" s="1"/>
  <c r="S178" i="10"/>
  <c r="Z178" i="10" s="1"/>
  <c r="O172" i="10"/>
  <c r="AH155" i="33" s="1"/>
  <c r="Z141" i="10"/>
  <c r="Z169" i="10"/>
  <c r="Z150" i="10"/>
  <c r="O163" i="10"/>
  <c r="AH119" i="33" s="1"/>
  <c r="AI119" i="33" s="1"/>
  <c r="Z168" i="10"/>
  <c r="Z159" i="10"/>
  <c r="O145" i="10"/>
  <c r="AH153" i="33" s="1"/>
  <c r="S160" i="10"/>
  <c r="Z160" i="10" s="1"/>
  <c r="O154" i="10"/>
  <c r="AH154" i="33" s="1"/>
  <c r="S151" i="10"/>
  <c r="Z151" i="10" s="1"/>
  <c r="S142" i="10"/>
  <c r="Z142" i="10" s="1"/>
  <c r="O136" i="10"/>
  <c r="AH152" i="33" s="1"/>
  <c r="Z132" i="10"/>
  <c r="S133" i="10"/>
  <c r="Z133" i="10" s="1"/>
  <c r="O127" i="10"/>
  <c r="AH151" i="33" s="1"/>
  <c r="Z115" i="10"/>
  <c r="O118" i="10"/>
  <c r="AH150" i="33" s="1"/>
  <c r="Z96" i="10"/>
  <c r="Z105" i="10"/>
  <c r="Z114" i="10"/>
  <c r="O109" i="10"/>
  <c r="AH38" i="33" s="1"/>
  <c r="S106" i="10"/>
  <c r="Z106" i="10" s="1"/>
  <c r="O100" i="10"/>
  <c r="AH37" i="33" s="1"/>
  <c r="S97" i="10"/>
  <c r="Z97" i="10" s="1"/>
  <c r="O91" i="10"/>
  <c r="AH36" i="33" s="1"/>
  <c r="Z78" i="10"/>
  <c r="O73" i="10"/>
  <c r="AH78" i="33" s="1"/>
  <c r="Z88" i="10"/>
  <c r="O64" i="10"/>
  <c r="AH77" i="33" s="1"/>
  <c r="O82" i="10"/>
  <c r="AH79" i="33" s="1"/>
  <c r="H88" i="10"/>
  <c r="H10" i="33" s="1"/>
  <c r="AA83" i="33" s="1"/>
  <c r="H79" i="10"/>
  <c r="H9" i="33" s="1"/>
  <c r="AA82" i="33" s="1"/>
  <c r="Z87" i="10"/>
  <c r="S79" i="10"/>
  <c r="Z79" i="10" s="1"/>
  <c r="O37" i="10"/>
  <c r="AH59" i="33" s="1"/>
  <c r="AI59" i="33" s="1"/>
  <c r="Z51" i="10"/>
  <c r="Z52" i="10"/>
  <c r="Z33" i="10"/>
  <c r="Z60" i="10"/>
  <c r="O61" i="10"/>
  <c r="O7" i="33" s="1"/>
  <c r="S61" i="10"/>
  <c r="Z61" i="10" s="1"/>
  <c r="O55" i="10"/>
  <c r="AH149" i="33" s="1"/>
  <c r="O46" i="10"/>
  <c r="AH148" i="33" s="1"/>
  <c r="AI149" i="33" s="1"/>
  <c r="O52" i="10"/>
  <c r="O6" i="33" s="1"/>
  <c r="S34" i="10"/>
  <c r="Z34" i="10" s="1"/>
  <c r="O28" i="10"/>
  <c r="AH4" i="33" s="1"/>
  <c r="O10" i="10"/>
  <c r="AH2" i="33" s="1"/>
  <c r="O19" i="10"/>
  <c r="AH3" i="33" s="1"/>
  <c r="AI130" i="33" l="1"/>
  <c r="AI64" i="33"/>
  <c r="AI79" i="33"/>
  <c r="AI50" i="33"/>
  <c r="AI94" i="33"/>
  <c r="AI158" i="33"/>
  <c r="AI151" i="33"/>
  <c r="AI124" i="33"/>
  <c r="AI38" i="33"/>
  <c r="AI30" i="33"/>
  <c r="AI168" i="33"/>
  <c r="AI109" i="33"/>
  <c r="AI71" i="33"/>
  <c r="AI164" i="33"/>
  <c r="AI192" i="33"/>
  <c r="AI87" i="33"/>
  <c r="AI154" i="33"/>
  <c r="AI156" i="33"/>
  <c r="AI177" i="33"/>
  <c r="O133" i="10"/>
  <c r="O15" i="33" s="1"/>
  <c r="O475" i="10"/>
  <c r="O53" i="33" s="1"/>
  <c r="AH33" i="33" s="1"/>
  <c r="O844" i="10"/>
  <c r="O94" i="33" s="1"/>
  <c r="O835" i="10"/>
  <c r="O93" i="33" s="1"/>
  <c r="O106" i="10"/>
  <c r="O12" i="33" s="1"/>
  <c r="AH41" i="33" s="1"/>
  <c r="O160" i="10"/>
  <c r="O18" i="33" s="1"/>
  <c r="O34" i="10"/>
  <c r="O4" i="33" s="1"/>
  <c r="AH8" i="33" s="1"/>
  <c r="O817" i="10"/>
  <c r="O91" i="33" s="1"/>
  <c r="O115" i="10"/>
  <c r="O13" i="33" s="1"/>
  <c r="AH42" i="33" s="1"/>
  <c r="O259" i="10"/>
  <c r="O29" i="33" s="1"/>
  <c r="AH24" i="33" s="1"/>
  <c r="O619" i="10"/>
  <c r="O69" i="33" s="1"/>
  <c r="AH55" i="33" s="1"/>
  <c r="O178" i="10"/>
  <c r="O20" i="33" s="1"/>
  <c r="O286" i="10"/>
  <c r="O32" i="33" s="1"/>
  <c r="O268" i="10"/>
  <c r="O30" i="33" s="1"/>
  <c r="AH25" i="33" s="1"/>
  <c r="O772" i="10"/>
  <c r="O86" i="33" s="1"/>
  <c r="AH126" i="33" s="1"/>
  <c r="O538" i="10"/>
  <c r="O60" i="33" s="1"/>
  <c r="O664" i="10"/>
  <c r="O74" i="33" s="1"/>
  <c r="O97" i="10"/>
  <c r="O11" i="33" s="1"/>
  <c r="AH40" i="33" s="1"/>
  <c r="O412" i="10"/>
  <c r="O46" i="33" s="1"/>
  <c r="O556" i="10"/>
  <c r="O62" i="33" s="1"/>
  <c r="O628" i="10"/>
  <c r="O70" i="33" s="1"/>
  <c r="AH56" i="33" s="1"/>
  <c r="O655" i="10"/>
  <c r="O73" i="33" s="1"/>
  <c r="AH67" i="33" s="1"/>
  <c r="O421" i="10"/>
  <c r="O47" i="33" s="1"/>
  <c r="O142" i="10"/>
  <c r="O16" i="33" s="1"/>
  <c r="O385" i="10"/>
  <c r="O43" i="33" s="1"/>
  <c r="AH91" i="33" s="1"/>
  <c r="O574" i="10"/>
  <c r="O64" i="33" s="1"/>
  <c r="O610" i="10"/>
  <c r="O68" i="33" s="1"/>
  <c r="AH54" i="33" s="1"/>
  <c r="O826" i="10"/>
  <c r="O92" i="33" s="1"/>
  <c r="O781" i="10"/>
  <c r="O87" i="33" s="1"/>
  <c r="AH127" i="33" s="1"/>
  <c r="O151" i="10"/>
  <c r="O17" i="33" s="1"/>
  <c r="O187" i="10"/>
  <c r="O21" i="33" s="1"/>
  <c r="O547" i="10"/>
  <c r="O61" i="33" s="1"/>
  <c r="O637" i="10"/>
  <c r="O71" i="33" s="1"/>
  <c r="AH57" i="33" s="1"/>
  <c r="O700" i="10"/>
  <c r="O78" i="33" s="1"/>
  <c r="O439" i="10"/>
  <c r="O49" i="33" s="1"/>
  <c r="AH133" i="33" s="1"/>
  <c r="O808" i="10"/>
  <c r="O90" i="33" s="1"/>
  <c r="O340" i="10"/>
  <c r="O38" i="33" s="1"/>
  <c r="AI12" i="33"/>
  <c r="O493" i="10"/>
  <c r="O55" i="33" s="1"/>
  <c r="AH145" i="33" s="1"/>
  <c r="AJ143" i="33" s="1"/>
  <c r="O673" i="10"/>
  <c r="O75" i="33" s="1"/>
  <c r="O565" i="10"/>
  <c r="O63" i="33" s="1"/>
  <c r="AI21" i="33"/>
  <c r="AI4" i="33"/>
  <c r="K9" i="20"/>
  <c r="K55" i="20"/>
  <c r="K17" i="20"/>
  <c r="K8" i="20"/>
  <c r="AL595" i="10"/>
  <c r="O592" i="10"/>
  <c r="O66" i="33" s="1"/>
  <c r="AH52" i="33" s="1"/>
  <c r="O196" i="10"/>
  <c r="O22" i="33" s="1"/>
  <c r="O205" i="10"/>
  <c r="O23" i="33" s="1"/>
  <c r="O601" i="10"/>
  <c r="O67" i="33" s="1"/>
  <c r="AH53" i="33" s="1"/>
  <c r="AJ50" i="33" s="1"/>
  <c r="AL583" i="10"/>
  <c r="O1" i="10"/>
  <c r="O169" i="10"/>
  <c r="O19" i="33" s="1"/>
  <c r="AH121" i="33" s="1"/>
  <c r="AJ119" i="33" s="1"/>
  <c r="O79" i="10"/>
  <c r="O9" i="33" s="1"/>
  <c r="AH82" i="33" s="1"/>
  <c r="O88" i="10"/>
  <c r="O10" i="33" s="1"/>
  <c r="AH83" i="33" s="1"/>
  <c r="O322" i="10"/>
  <c r="O36" i="33" s="1"/>
  <c r="AH16" i="33" s="1"/>
  <c r="O349" i="10"/>
  <c r="O39" i="33" s="1"/>
  <c r="O583" i="10"/>
  <c r="O65" i="33" s="1"/>
  <c r="O277" i="10"/>
  <c r="O31" i="33" s="1"/>
  <c r="AH26" i="33" s="1"/>
  <c r="O457" i="10"/>
  <c r="O51" i="33" s="1"/>
  <c r="AH74" i="33" s="1"/>
  <c r="O763" i="10"/>
  <c r="O85" i="33" s="1"/>
  <c r="AH97" i="33" s="1"/>
  <c r="GZ14" i="20"/>
  <c r="GZ15" i="20"/>
  <c r="GZ16" i="20"/>
  <c r="GZ17" i="20"/>
  <c r="GZ18" i="20"/>
  <c r="GZ19" i="20"/>
  <c r="GZ20" i="20"/>
  <c r="GZ21" i="20"/>
  <c r="GZ22" i="20"/>
  <c r="GZ23" i="20"/>
  <c r="GZ24" i="20"/>
  <c r="GZ25" i="20"/>
  <c r="GZ28" i="20"/>
  <c r="GZ29" i="20"/>
  <c r="GZ30" i="20"/>
  <c r="GZ31" i="20"/>
  <c r="GZ32" i="20"/>
  <c r="GZ33" i="20"/>
  <c r="GZ34" i="20"/>
  <c r="GZ35" i="20"/>
  <c r="GZ36" i="20"/>
  <c r="GZ37" i="20"/>
  <c r="GZ38" i="20"/>
  <c r="GZ39" i="20"/>
  <c r="GZ40" i="20"/>
  <c r="GZ41" i="20"/>
  <c r="GZ42" i="20"/>
  <c r="GZ43" i="20"/>
  <c r="GZ44" i="20"/>
  <c r="GZ45" i="20"/>
  <c r="GZ46" i="20"/>
  <c r="GZ47" i="20"/>
  <c r="GZ48" i="20"/>
  <c r="GZ49" i="20"/>
  <c r="GZ50" i="20"/>
  <c r="GZ51" i="20"/>
  <c r="GZ52" i="20"/>
  <c r="GZ53" i="20"/>
  <c r="GZ54" i="20"/>
  <c r="GZ55" i="20"/>
  <c r="GZ56" i="20"/>
  <c r="GZ57" i="20"/>
  <c r="GZ58" i="20"/>
  <c r="GZ59" i="20"/>
  <c r="GZ60" i="20"/>
  <c r="GZ62" i="20"/>
  <c r="GZ63" i="20"/>
  <c r="GZ64" i="20"/>
  <c r="GZ65" i="20"/>
  <c r="GZ66" i="20"/>
  <c r="GZ67" i="20"/>
  <c r="GZ68" i="20"/>
  <c r="GZ69" i="20"/>
  <c r="GZ70" i="20"/>
  <c r="GZ71" i="20"/>
  <c r="GZ72" i="20"/>
  <c r="GZ73" i="20"/>
  <c r="GZ74" i="20"/>
  <c r="GZ75" i="20"/>
  <c r="GZ76" i="20"/>
  <c r="GZ77" i="20"/>
  <c r="GZ78" i="20"/>
  <c r="GZ80" i="20"/>
  <c r="GZ81" i="20"/>
  <c r="GZ82" i="20"/>
  <c r="GZ83" i="20"/>
  <c r="GZ84" i="20"/>
  <c r="GZ85" i="20"/>
  <c r="GZ86" i="20"/>
  <c r="GZ87" i="20"/>
  <c r="GZ88" i="20"/>
  <c r="GZ89" i="20"/>
  <c r="GZ4" i="20"/>
  <c r="GZ5" i="20"/>
  <c r="GZ6" i="20"/>
  <c r="GZ7" i="20"/>
  <c r="GZ8" i="20"/>
  <c r="GZ9" i="20"/>
  <c r="GZ10" i="20"/>
  <c r="GZ11" i="20"/>
  <c r="GZ12" i="20"/>
  <c r="GV13" i="20"/>
  <c r="GW13" i="20"/>
  <c r="GX13" i="20"/>
  <c r="AJ124" i="33" l="1"/>
  <c r="AJ38" i="33"/>
  <c r="K71" i="20"/>
  <c r="K13" i="20"/>
  <c r="K96" i="20"/>
  <c r="K6" i="20"/>
  <c r="K20" i="20"/>
  <c r="K31" i="20"/>
  <c r="K64" i="20"/>
  <c r="K95" i="20"/>
  <c r="K14" i="20"/>
  <c r="K93" i="20"/>
  <c r="K73" i="20"/>
  <c r="K72" i="20"/>
  <c r="K23" i="20"/>
  <c r="K15" i="20"/>
  <c r="K49" i="20"/>
  <c r="K22" i="20"/>
  <c r="K51" i="20"/>
  <c r="K76" i="20"/>
  <c r="K19" i="20"/>
  <c r="K48" i="20"/>
  <c r="K32" i="20"/>
  <c r="K62" i="20"/>
  <c r="K34" i="20"/>
  <c r="K88" i="20"/>
  <c r="K63" i="20"/>
  <c r="K45" i="20"/>
  <c r="K80" i="20"/>
  <c r="K70" i="20"/>
  <c r="K65" i="20"/>
  <c r="K75" i="20"/>
  <c r="K94" i="20"/>
  <c r="K66" i="20"/>
  <c r="K40" i="20"/>
  <c r="K18" i="20"/>
  <c r="K77" i="20"/>
  <c r="K89" i="20"/>
  <c r="K57" i="20"/>
  <c r="K92" i="20"/>
  <c r="K25" i="20"/>
  <c r="K53" i="20"/>
  <c r="K11" i="20"/>
  <c r="K21" i="20"/>
  <c r="K87" i="20"/>
  <c r="K67" i="20"/>
  <c r="K68" i="20"/>
  <c r="K12" i="20"/>
  <c r="K69" i="20"/>
  <c r="K33" i="20"/>
  <c r="K24" i="20"/>
  <c r="K41" i="20"/>
  <c r="K38" i="20"/>
  <c r="AN587" i="10"/>
  <c r="AN586" i="10"/>
  <c r="AN585" i="10"/>
  <c r="AN584" i="10"/>
  <c r="AN583" i="10"/>
  <c r="GZ13" i="20"/>
  <c r="M754" i="10"/>
  <c r="M84" i="33" s="1"/>
  <c r="AF96" i="33" s="1"/>
  <c r="L754" i="10"/>
  <c r="L84" i="33" s="1"/>
  <c r="AE96" i="33" s="1"/>
  <c r="K754" i="10"/>
  <c r="K84" i="33" s="1"/>
  <c r="AD96" i="33" s="1"/>
  <c r="J754" i="10"/>
  <c r="J84" i="33" s="1"/>
  <c r="AC96" i="33" s="1"/>
  <c r="I754" i="10"/>
  <c r="I84" i="33" s="1"/>
  <c r="AB96" i="33" s="1"/>
  <c r="H754" i="10"/>
  <c r="H84" i="33" s="1"/>
  <c r="AA96" i="33" s="1"/>
  <c r="F754" i="10"/>
  <c r="F84" i="33" s="1"/>
  <c r="Y96" i="33" s="1"/>
  <c r="X753" i="10"/>
  <c r="X754" i="10" s="1"/>
  <c r="W753" i="10"/>
  <c r="W754" i="10" s="1"/>
  <c r="V753" i="10"/>
  <c r="V754" i="10" s="1"/>
  <c r="U753" i="10"/>
  <c r="U754" i="10" s="1"/>
  <c r="T753" i="10"/>
  <c r="T754" i="10" s="1"/>
  <c r="S753" i="10"/>
  <c r="S754" i="10" s="1"/>
  <c r="R753" i="10"/>
  <c r="O753" i="10"/>
  <c r="Z752" i="10"/>
  <c r="O752" i="10"/>
  <c r="Z751" i="10"/>
  <c r="R751" i="10"/>
  <c r="O751" i="10"/>
  <c r="Z750" i="10"/>
  <c r="R750" i="10"/>
  <c r="O750" i="10"/>
  <c r="Z749" i="10"/>
  <c r="O749" i="10"/>
  <c r="Z748" i="10"/>
  <c r="D748" i="10"/>
  <c r="W93" i="33" s="1"/>
  <c r="A748" i="10"/>
  <c r="M646" i="10"/>
  <c r="M72" i="33" s="1"/>
  <c r="AF66" i="33" s="1"/>
  <c r="L646" i="10"/>
  <c r="L72" i="33" s="1"/>
  <c r="AE66" i="33" s="1"/>
  <c r="K646" i="10"/>
  <c r="K72" i="33" s="1"/>
  <c r="AD66" i="33" s="1"/>
  <c r="J646" i="10"/>
  <c r="J72" i="33" s="1"/>
  <c r="AC66" i="33" s="1"/>
  <c r="I646" i="10"/>
  <c r="I72" i="33" s="1"/>
  <c r="AB66" i="33" s="1"/>
  <c r="H646" i="10"/>
  <c r="H72" i="33" s="1"/>
  <c r="AA66" i="33" s="1"/>
  <c r="F646" i="10"/>
  <c r="F72" i="33" s="1"/>
  <c r="Y66" i="33" s="1"/>
  <c r="X645" i="10"/>
  <c r="X646" i="10" s="1"/>
  <c r="W645" i="10"/>
  <c r="W646" i="10" s="1"/>
  <c r="V645" i="10"/>
  <c r="U645" i="10"/>
  <c r="U646" i="10" s="1"/>
  <c r="T645" i="10"/>
  <c r="T646" i="10" s="1"/>
  <c r="S645" i="10"/>
  <c r="S646" i="10" s="1"/>
  <c r="R645" i="10"/>
  <c r="O645" i="10"/>
  <c r="Z644" i="10"/>
  <c r="O644" i="10"/>
  <c r="Z643" i="10"/>
  <c r="R643" i="10"/>
  <c r="O643" i="10"/>
  <c r="Z642" i="10"/>
  <c r="R642" i="10"/>
  <c r="O642" i="10"/>
  <c r="Z641" i="10"/>
  <c r="O641" i="10"/>
  <c r="Z640" i="10"/>
  <c r="D640" i="10"/>
  <c r="W63" i="33" s="1"/>
  <c r="A640" i="10"/>
  <c r="F10" i="78"/>
  <c r="O9" i="78"/>
  <c r="O8" i="78"/>
  <c r="O7" i="78"/>
  <c r="O6" i="78"/>
  <c r="O5" i="78"/>
  <c r="A5" i="78"/>
  <c r="A6" i="78" s="1"/>
  <c r="A7" i="78" s="1"/>
  <c r="A8" i="78" s="1"/>
  <c r="A9" i="78" s="1"/>
  <c r="A10" i="78" s="1"/>
  <c r="D4" i="78"/>
  <c r="A4" i="78"/>
  <c r="O354" i="10"/>
  <c r="H331" i="10"/>
  <c r="H37" i="33" s="1"/>
  <c r="I331" i="10"/>
  <c r="I37" i="33" s="1"/>
  <c r="J331" i="10"/>
  <c r="J37" i="33" s="1"/>
  <c r="K331" i="10"/>
  <c r="K37" i="33" s="1"/>
  <c r="L331" i="10"/>
  <c r="L37" i="33" s="1"/>
  <c r="M331" i="10"/>
  <c r="M37" i="33" s="1"/>
  <c r="G331" i="10"/>
  <c r="G37" i="33" s="1"/>
  <c r="H358" i="10"/>
  <c r="H40" i="33" s="1"/>
  <c r="I358" i="10"/>
  <c r="I40" i="33" s="1"/>
  <c r="J358" i="10"/>
  <c r="J40" i="33" s="1"/>
  <c r="K358" i="10"/>
  <c r="K40" i="33" s="1"/>
  <c r="L358" i="10"/>
  <c r="L40" i="33" s="1"/>
  <c r="M358" i="10"/>
  <c r="M40" i="33" s="1"/>
  <c r="G358" i="10"/>
  <c r="G40" i="33" s="1"/>
  <c r="A749" i="10" l="1"/>
  <c r="A750" i="10" s="1"/>
  <c r="A751" i="10" s="1"/>
  <c r="A752" i="10" s="1"/>
  <c r="A753" i="10" s="1"/>
  <c r="A754" i="10" s="1"/>
  <c r="A84" i="33" s="1"/>
  <c r="T96" i="33" s="1"/>
  <c r="T93" i="33"/>
  <c r="A641" i="10"/>
  <c r="A642" i="10" s="1"/>
  <c r="A643" i="10" s="1"/>
  <c r="A644" i="10" s="1"/>
  <c r="A645" i="10" s="1"/>
  <c r="A646" i="10" s="1"/>
  <c r="A72" i="33" s="1"/>
  <c r="T66" i="33" s="1"/>
  <c r="T63" i="33"/>
  <c r="O754" i="10"/>
  <c r="O84" i="33" s="1"/>
  <c r="AH96" i="33" s="1"/>
  <c r="AJ94" i="33" s="1"/>
  <c r="Z754" i="10"/>
  <c r="Z753" i="10"/>
  <c r="Z645" i="10"/>
  <c r="O646" i="10"/>
  <c r="O72" i="33" s="1"/>
  <c r="AH66" i="33" s="1"/>
  <c r="AJ64" i="33" s="1"/>
  <c r="V646" i="10"/>
  <c r="Z646" i="10" s="1"/>
  <c r="M403" i="10"/>
  <c r="M45" i="33" s="1"/>
  <c r="L403" i="10"/>
  <c r="L45" i="33" s="1"/>
  <c r="K403" i="10"/>
  <c r="K45" i="33" s="1"/>
  <c r="J403" i="10"/>
  <c r="J45" i="33" s="1"/>
  <c r="I403" i="10"/>
  <c r="I45" i="33" s="1"/>
  <c r="H403" i="10"/>
  <c r="H45" i="33" s="1"/>
  <c r="F403" i="10"/>
  <c r="F45" i="33" s="1"/>
  <c r="X402" i="10"/>
  <c r="X403" i="10" s="1"/>
  <c r="W402" i="10"/>
  <c r="W403" i="10" s="1"/>
  <c r="V402" i="10"/>
  <c r="V403" i="10" s="1"/>
  <c r="U402" i="10"/>
  <c r="U403" i="10" s="1"/>
  <c r="T402" i="10"/>
  <c r="T403" i="10" s="1"/>
  <c r="S402" i="10"/>
  <c r="R402" i="10"/>
  <c r="O402" i="10"/>
  <c r="Z401" i="10"/>
  <c r="O401" i="10"/>
  <c r="Z400" i="10"/>
  <c r="R400" i="10"/>
  <c r="O400" i="10"/>
  <c r="Z399" i="10"/>
  <c r="R399" i="10"/>
  <c r="O399" i="10"/>
  <c r="Z398" i="10"/>
  <c r="O398" i="10"/>
  <c r="Z397" i="10"/>
  <c r="D397" i="10"/>
  <c r="W166" i="33" s="1"/>
  <c r="A397" i="10"/>
  <c r="M124" i="10"/>
  <c r="M14" i="33" s="1"/>
  <c r="L124" i="10"/>
  <c r="L14" i="33" s="1"/>
  <c r="K124" i="10"/>
  <c r="K14" i="33" s="1"/>
  <c r="J124" i="10"/>
  <c r="J14" i="33" s="1"/>
  <c r="I124" i="10"/>
  <c r="I14" i="33" s="1"/>
  <c r="H124" i="10"/>
  <c r="H14" i="33" s="1"/>
  <c r="F124" i="10"/>
  <c r="F14" i="33" s="1"/>
  <c r="X123" i="10"/>
  <c r="X124" i="10" s="1"/>
  <c r="W123" i="10"/>
  <c r="W124" i="10" s="1"/>
  <c r="V123" i="10"/>
  <c r="V124" i="10" s="1"/>
  <c r="U123" i="10"/>
  <c r="U124" i="10" s="1"/>
  <c r="T123" i="10"/>
  <c r="T124" i="10" s="1"/>
  <c r="S123" i="10"/>
  <c r="R123" i="10"/>
  <c r="O123" i="10"/>
  <c r="Z122" i="10"/>
  <c r="O122" i="10"/>
  <c r="Z121" i="10"/>
  <c r="R121" i="10"/>
  <c r="O121" i="10"/>
  <c r="Z120" i="10"/>
  <c r="R120" i="10"/>
  <c r="O120" i="10"/>
  <c r="Z119" i="10"/>
  <c r="O119" i="10"/>
  <c r="Z118" i="10"/>
  <c r="D118" i="10"/>
  <c r="W150" i="33" s="1"/>
  <c r="A118" i="10"/>
  <c r="A119" i="10" l="1"/>
  <c r="A120" i="10" s="1"/>
  <c r="A121" i="10" s="1"/>
  <c r="A122" i="10" s="1"/>
  <c r="A123" i="10" s="1"/>
  <c r="A124" i="10" s="1"/>
  <c r="A14" i="33" s="1"/>
  <c r="T150" i="33"/>
  <c r="A398" i="10"/>
  <c r="A399" i="10" s="1"/>
  <c r="A400" i="10" s="1"/>
  <c r="A401" i="10" s="1"/>
  <c r="A402" i="10" s="1"/>
  <c r="A403" i="10" s="1"/>
  <c r="A45" i="33" s="1"/>
  <c r="T166" i="33"/>
  <c r="K74" i="20"/>
  <c r="K86" i="20"/>
  <c r="Z402" i="10"/>
  <c r="O403" i="10"/>
  <c r="O45" i="33" s="1"/>
  <c r="S403" i="10"/>
  <c r="Z403" i="10" s="1"/>
  <c r="Z123" i="10"/>
  <c r="O124" i="10"/>
  <c r="O14" i="33" s="1"/>
  <c r="S124" i="10"/>
  <c r="Z124" i="10" s="1"/>
  <c r="K16" i="20" l="1"/>
  <c r="K47" i="20"/>
  <c r="F19" i="69"/>
  <c r="O14" i="69"/>
  <c r="D13" i="69"/>
  <c r="A13" i="69"/>
  <c r="A14" i="69" s="1"/>
  <c r="A15" i="69" s="1"/>
  <c r="A16" i="69" s="1"/>
  <c r="A17" i="69" s="1"/>
  <c r="A18" i="69" s="1"/>
  <c r="A19" i="69" s="1"/>
  <c r="F10" i="69"/>
  <c r="M5" i="69"/>
  <c r="L5" i="69"/>
  <c r="K5" i="69"/>
  <c r="J5" i="69"/>
  <c r="I5" i="69"/>
  <c r="H5" i="69"/>
  <c r="A5" i="69"/>
  <c r="A6" i="69" s="1"/>
  <c r="A7" i="69" s="1"/>
  <c r="A8" i="69" s="1"/>
  <c r="A9" i="69" s="1"/>
  <c r="A10" i="69" s="1"/>
  <c r="D4" i="69"/>
  <c r="A4" i="69"/>
  <c r="M299" i="10"/>
  <c r="L299" i="10"/>
  <c r="K299" i="10"/>
  <c r="J299" i="10"/>
  <c r="I299" i="10"/>
  <c r="H299" i="10"/>
  <c r="F10" i="72"/>
  <c r="O9" i="72"/>
  <c r="O8" i="72"/>
  <c r="O7" i="72"/>
  <c r="O6" i="72"/>
  <c r="O5" i="72"/>
  <c r="A5" i="72"/>
  <c r="A6" i="72" s="1"/>
  <c r="A7" i="72" s="1"/>
  <c r="A8" i="72" s="1"/>
  <c r="A9" i="72" s="1"/>
  <c r="A10" i="72" s="1"/>
  <c r="D4" i="72"/>
  <c r="A4" i="72"/>
  <c r="F358" i="10"/>
  <c r="F40" i="33" s="1"/>
  <c r="X357" i="10"/>
  <c r="X358" i="10" s="1"/>
  <c r="W357" i="10"/>
  <c r="W358" i="10" s="1"/>
  <c r="V357" i="10"/>
  <c r="V358" i="10" s="1"/>
  <c r="U357" i="10"/>
  <c r="U358" i="10" s="1"/>
  <c r="T357" i="10"/>
  <c r="S357" i="10"/>
  <c r="S358" i="10" s="1"/>
  <c r="R357" i="10"/>
  <c r="O357" i="10"/>
  <c r="Z356" i="10"/>
  <c r="O356" i="10"/>
  <c r="Z355" i="10"/>
  <c r="R355" i="10"/>
  <c r="O355" i="10"/>
  <c r="Z354" i="10"/>
  <c r="R354" i="10"/>
  <c r="Z353" i="10"/>
  <c r="Z352" i="10"/>
  <c r="D352" i="10"/>
  <c r="W165" i="33" s="1"/>
  <c r="A352" i="10"/>
  <c r="M727" i="10"/>
  <c r="M81" i="33" s="1"/>
  <c r="L727" i="10"/>
  <c r="L81" i="33" s="1"/>
  <c r="K727" i="10"/>
  <c r="K81" i="33" s="1"/>
  <c r="J727" i="10"/>
  <c r="J81" i="33" s="1"/>
  <c r="I727" i="10"/>
  <c r="I81" i="33" s="1"/>
  <c r="H727" i="10"/>
  <c r="H81" i="33" s="1"/>
  <c r="F727" i="10"/>
  <c r="F81" i="33" s="1"/>
  <c r="X726" i="10"/>
  <c r="X727" i="10" s="1"/>
  <c r="W726" i="10"/>
  <c r="W727" i="10" s="1"/>
  <c r="V726" i="10"/>
  <c r="V727" i="10" s="1"/>
  <c r="U726" i="10"/>
  <c r="U727" i="10" s="1"/>
  <c r="T726" i="10"/>
  <c r="T727" i="10" s="1"/>
  <c r="S726" i="10"/>
  <c r="R726" i="10"/>
  <c r="O726" i="10"/>
  <c r="Z725" i="10"/>
  <c r="O725" i="10"/>
  <c r="Z724" i="10"/>
  <c r="R724" i="10"/>
  <c r="O724" i="10"/>
  <c r="Z723" i="10"/>
  <c r="R723" i="10"/>
  <c r="O723" i="10"/>
  <c r="Z722" i="10"/>
  <c r="O722" i="10"/>
  <c r="Z721" i="10"/>
  <c r="D721" i="10"/>
  <c r="W183" i="33" s="1"/>
  <c r="A721" i="10"/>
  <c r="M709" i="10"/>
  <c r="M79" i="33" s="1"/>
  <c r="L709" i="10"/>
  <c r="L79" i="33" s="1"/>
  <c r="K709" i="10"/>
  <c r="K79" i="33" s="1"/>
  <c r="J709" i="10"/>
  <c r="J79" i="33" s="1"/>
  <c r="I709" i="10"/>
  <c r="I79" i="33" s="1"/>
  <c r="H709" i="10"/>
  <c r="H79" i="33" s="1"/>
  <c r="F709" i="10"/>
  <c r="F79" i="33" s="1"/>
  <c r="X708" i="10"/>
  <c r="X709" i="10" s="1"/>
  <c r="W708" i="10"/>
  <c r="W709" i="10" s="1"/>
  <c r="V708" i="10"/>
  <c r="V709" i="10" s="1"/>
  <c r="U708" i="10"/>
  <c r="U709" i="10" s="1"/>
  <c r="T708" i="10"/>
  <c r="T709" i="10" s="1"/>
  <c r="S708" i="10"/>
  <c r="S709" i="10" s="1"/>
  <c r="R708" i="10"/>
  <c r="O708" i="10"/>
  <c r="Z707" i="10"/>
  <c r="O707" i="10"/>
  <c r="Z706" i="10"/>
  <c r="R706" i="10"/>
  <c r="O706" i="10"/>
  <c r="Z705" i="10"/>
  <c r="R705" i="10"/>
  <c r="O705" i="10"/>
  <c r="Z704" i="10"/>
  <c r="O704" i="10"/>
  <c r="Z703" i="10"/>
  <c r="D703" i="10"/>
  <c r="W181" i="33" s="1"/>
  <c r="A703" i="10"/>
  <c r="M736" i="10"/>
  <c r="M82" i="33" s="1"/>
  <c r="L736" i="10"/>
  <c r="L82" i="33" s="1"/>
  <c r="K736" i="10"/>
  <c r="K82" i="33" s="1"/>
  <c r="J736" i="10"/>
  <c r="J82" i="33" s="1"/>
  <c r="I736" i="10"/>
  <c r="I82" i="33" s="1"/>
  <c r="H736" i="10"/>
  <c r="H82" i="33" s="1"/>
  <c r="F736" i="10"/>
  <c r="F82" i="33" s="1"/>
  <c r="X735" i="10"/>
  <c r="X736" i="10" s="1"/>
  <c r="W735" i="10"/>
  <c r="W736" i="10" s="1"/>
  <c r="V735" i="10"/>
  <c r="V736" i="10" s="1"/>
  <c r="U735" i="10"/>
  <c r="U736" i="10" s="1"/>
  <c r="T735" i="10"/>
  <c r="T736" i="10" s="1"/>
  <c r="S735" i="10"/>
  <c r="S736" i="10" s="1"/>
  <c r="R735" i="10"/>
  <c r="O735" i="10"/>
  <c r="Z734" i="10"/>
  <c r="O734" i="10"/>
  <c r="Z733" i="10"/>
  <c r="R733" i="10"/>
  <c r="O733" i="10"/>
  <c r="Z732" i="10"/>
  <c r="R732" i="10"/>
  <c r="O732" i="10"/>
  <c r="Z731" i="10"/>
  <c r="O731" i="10"/>
  <c r="Z730" i="10"/>
  <c r="D730" i="10"/>
  <c r="W184" i="33" s="1"/>
  <c r="A730" i="10"/>
  <c r="M718" i="10"/>
  <c r="M80" i="33" s="1"/>
  <c r="L718" i="10"/>
  <c r="L80" i="33" s="1"/>
  <c r="K718" i="10"/>
  <c r="K80" i="33" s="1"/>
  <c r="J718" i="10"/>
  <c r="J80" i="33" s="1"/>
  <c r="I718" i="10"/>
  <c r="I80" i="33" s="1"/>
  <c r="H718" i="10"/>
  <c r="H80" i="33" s="1"/>
  <c r="F718" i="10"/>
  <c r="F80" i="33" s="1"/>
  <c r="X717" i="10"/>
  <c r="X718" i="10" s="1"/>
  <c r="W717" i="10"/>
  <c r="W718" i="10" s="1"/>
  <c r="V717" i="10"/>
  <c r="V718" i="10" s="1"/>
  <c r="U717" i="10"/>
  <c r="U718" i="10" s="1"/>
  <c r="T717" i="10"/>
  <c r="T718" i="10" s="1"/>
  <c r="S717" i="10"/>
  <c r="R717" i="10"/>
  <c r="O717" i="10"/>
  <c r="Z716" i="10"/>
  <c r="O716" i="10"/>
  <c r="Z715" i="10"/>
  <c r="R715" i="10"/>
  <c r="O715" i="10"/>
  <c r="Z714" i="10"/>
  <c r="R714" i="10"/>
  <c r="O714" i="10"/>
  <c r="Z713" i="10"/>
  <c r="O713" i="10"/>
  <c r="Z712" i="10"/>
  <c r="D712" i="10"/>
  <c r="W182" i="33" s="1"/>
  <c r="A712" i="10"/>
  <c r="F331" i="10"/>
  <c r="F37" i="33" s="1"/>
  <c r="X330" i="10"/>
  <c r="X331" i="10" s="1"/>
  <c r="W330" i="10"/>
  <c r="W331" i="10" s="1"/>
  <c r="V330" i="10"/>
  <c r="V331" i="10" s="1"/>
  <c r="U330" i="10"/>
  <c r="U331" i="10" s="1"/>
  <c r="T330" i="10"/>
  <c r="T331" i="10" s="1"/>
  <c r="S330" i="10"/>
  <c r="S331" i="10" s="1"/>
  <c r="R330" i="10"/>
  <c r="O330" i="10"/>
  <c r="Z329" i="10"/>
  <c r="O329" i="10"/>
  <c r="Z328" i="10"/>
  <c r="R328" i="10"/>
  <c r="O328" i="10"/>
  <c r="Z327" i="10"/>
  <c r="R327" i="10"/>
  <c r="O327" i="10"/>
  <c r="Z326" i="10"/>
  <c r="O326" i="10"/>
  <c r="Z325" i="10"/>
  <c r="D325" i="10"/>
  <c r="W162" i="33" s="1"/>
  <c r="A325" i="10"/>
  <c r="A704" i="10" l="1"/>
  <c r="A705" i="10" s="1"/>
  <c r="A706" i="10" s="1"/>
  <c r="A707" i="10" s="1"/>
  <c r="A708" i="10" s="1"/>
  <c r="A709" i="10" s="1"/>
  <c r="A79" i="33" s="1"/>
  <c r="T181" i="33"/>
  <c r="A713" i="10"/>
  <c r="A714" i="10" s="1"/>
  <c r="A715" i="10" s="1"/>
  <c r="A716" i="10" s="1"/>
  <c r="A717" i="10" s="1"/>
  <c r="A718" i="10" s="1"/>
  <c r="A80" i="33" s="1"/>
  <c r="T182" i="33"/>
  <c r="A722" i="10"/>
  <c r="A723" i="10" s="1"/>
  <c r="A724" i="10" s="1"/>
  <c r="A725" i="10" s="1"/>
  <c r="A726" i="10" s="1"/>
  <c r="A727" i="10" s="1"/>
  <c r="A81" i="33" s="1"/>
  <c r="T183" i="33"/>
  <c r="A326" i="10"/>
  <c r="A327" i="10" s="1"/>
  <c r="A328" i="10" s="1"/>
  <c r="A329" i="10" s="1"/>
  <c r="A330" i="10" s="1"/>
  <c r="A331" i="10" s="1"/>
  <c r="A37" i="33" s="1"/>
  <c r="T162" i="33"/>
  <c r="A731" i="10"/>
  <c r="A732" i="10" s="1"/>
  <c r="A733" i="10" s="1"/>
  <c r="A734" i="10" s="1"/>
  <c r="A735" i="10" s="1"/>
  <c r="A736" i="10" s="1"/>
  <c r="A82" i="33" s="1"/>
  <c r="T184" i="33"/>
  <c r="A353" i="10"/>
  <c r="A354" i="10" s="1"/>
  <c r="A355" i="10" s="1"/>
  <c r="A356" i="10" s="1"/>
  <c r="A357" i="10" s="1"/>
  <c r="A358" i="10" s="1"/>
  <c r="A40" i="33" s="1"/>
  <c r="T165" i="33"/>
  <c r="O5" i="69"/>
  <c r="O727" i="10"/>
  <c r="O81" i="33" s="1"/>
  <c r="Z357" i="10"/>
  <c r="O358" i="10"/>
  <c r="O40" i="33" s="1"/>
  <c r="T358" i="10"/>
  <c r="Z358" i="10" s="1"/>
  <c r="Z726" i="10"/>
  <c r="O709" i="10"/>
  <c r="O79" i="33" s="1"/>
  <c r="S727" i="10"/>
  <c r="Z727" i="10" s="1"/>
  <c r="O736" i="10"/>
  <c r="O82" i="33" s="1"/>
  <c r="Z709" i="10"/>
  <c r="Z708" i="10"/>
  <c r="Z736" i="10"/>
  <c r="O718" i="10"/>
  <c r="O80" i="33" s="1"/>
  <c r="Z717" i="10"/>
  <c r="Z735" i="10"/>
  <c r="S718" i="10"/>
  <c r="Z718" i="10" s="1"/>
  <c r="O331" i="10"/>
  <c r="O37" i="33" s="1"/>
  <c r="Z331" i="10"/>
  <c r="Z330" i="10"/>
  <c r="K39" i="20" l="1"/>
  <c r="K84" i="20"/>
  <c r="K81" i="20"/>
  <c r="K42" i="20"/>
  <c r="K83" i="20"/>
  <c r="K82" i="20"/>
  <c r="M19" i="68"/>
  <c r="L19" i="68"/>
  <c r="K19" i="68"/>
  <c r="J19" i="68"/>
  <c r="I19" i="68"/>
  <c r="H19" i="68"/>
  <c r="O19" i="68" s="1"/>
  <c r="G19" i="68"/>
  <c r="F19" i="68"/>
  <c r="O18" i="68"/>
  <c r="O17" i="68"/>
  <c r="O16" i="68"/>
  <c r="O15" i="68"/>
  <c r="O14" i="68"/>
  <c r="D13" i="68"/>
  <c r="A13" i="68"/>
  <c r="A14" i="68" s="1"/>
  <c r="A15" i="68" s="1"/>
  <c r="A16" i="68" s="1"/>
  <c r="A17" i="68" s="1"/>
  <c r="A18" i="68" s="1"/>
  <c r="A19" i="68" s="1"/>
  <c r="M10" i="68"/>
  <c r="O10" i="68" s="1"/>
  <c r="L10" i="68"/>
  <c r="K10" i="68"/>
  <c r="J10" i="68"/>
  <c r="I10" i="68"/>
  <c r="H10" i="68"/>
  <c r="G10" i="68"/>
  <c r="F10" i="68"/>
  <c r="O9" i="68"/>
  <c r="O8" i="68"/>
  <c r="O7" i="68"/>
  <c r="O6" i="68"/>
  <c r="O5" i="68"/>
  <c r="D4" i="68"/>
  <c r="A4" i="68"/>
  <c r="A5" i="68" s="1"/>
  <c r="A6" i="68" s="1"/>
  <c r="A7" i="68" s="1"/>
  <c r="A8" i="68" s="1"/>
  <c r="A9" i="68" s="1"/>
  <c r="A10" i="68" s="1"/>
  <c r="O5" i="71"/>
  <c r="M10" i="71"/>
  <c r="L10" i="71"/>
  <c r="K10" i="71"/>
  <c r="J10" i="71"/>
  <c r="I10" i="71"/>
  <c r="H10" i="71"/>
  <c r="G10" i="71"/>
  <c r="F10" i="71"/>
  <c r="O9" i="71"/>
  <c r="O8" i="71"/>
  <c r="O7" i="71"/>
  <c r="D4" i="71"/>
  <c r="A4" i="71"/>
  <c r="A5" i="71" s="1"/>
  <c r="A6" i="71" s="1"/>
  <c r="A7" i="71" s="1"/>
  <c r="A8" i="71" s="1"/>
  <c r="A9" i="71" s="1"/>
  <c r="A10" i="71" s="1"/>
  <c r="O9" i="66"/>
  <c r="M9" i="66"/>
  <c r="L9" i="66"/>
  <c r="K9" i="66"/>
  <c r="J9" i="66"/>
  <c r="I9" i="66"/>
  <c r="H9" i="66"/>
  <c r="G9" i="66"/>
  <c r="F9" i="66"/>
  <c r="O8" i="66"/>
  <c r="O7" i="66"/>
  <c r="O6" i="66"/>
  <c r="O5" i="66"/>
  <c r="O4" i="66"/>
  <c r="D3" i="66"/>
  <c r="A3" i="66"/>
  <c r="A4" i="66" s="1"/>
  <c r="A5" i="66" s="1"/>
  <c r="A6" i="66" s="1"/>
  <c r="A7" i="66" s="1"/>
  <c r="A8" i="66" s="1"/>
  <c r="A9" i="66" s="1"/>
  <c r="O10" i="71" l="1"/>
  <c r="M394" i="10"/>
  <c r="M44" i="33" s="1"/>
  <c r="AF141" i="33" s="1"/>
  <c r="L394" i="10"/>
  <c r="L44" i="33" s="1"/>
  <c r="AE141" i="33" s="1"/>
  <c r="K394" i="10"/>
  <c r="K44" i="33" s="1"/>
  <c r="AD141" i="33" s="1"/>
  <c r="J394" i="10"/>
  <c r="J44" i="33" s="1"/>
  <c r="AC141" i="33" s="1"/>
  <c r="I394" i="10"/>
  <c r="I44" i="33" s="1"/>
  <c r="AB141" i="33" s="1"/>
  <c r="H394" i="10"/>
  <c r="H44" i="33" s="1"/>
  <c r="AA141" i="33" s="1"/>
  <c r="F394" i="10"/>
  <c r="F44" i="33" s="1"/>
  <c r="Y141" i="33" s="1"/>
  <c r="X393" i="10"/>
  <c r="X394" i="10" s="1"/>
  <c r="W393" i="10"/>
  <c r="W394" i="10" s="1"/>
  <c r="V393" i="10"/>
  <c r="V394" i="10" s="1"/>
  <c r="U393" i="10"/>
  <c r="U394" i="10" s="1"/>
  <c r="T393" i="10"/>
  <c r="T394" i="10" s="1"/>
  <c r="S393" i="10"/>
  <c r="R393" i="10"/>
  <c r="O393" i="10"/>
  <c r="Z392" i="10"/>
  <c r="O392" i="10"/>
  <c r="Z391" i="10"/>
  <c r="R391" i="10"/>
  <c r="O391" i="10"/>
  <c r="Z390" i="10"/>
  <c r="R390" i="10"/>
  <c r="O390" i="10"/>
  <c r="Z389" i="10"/>
  <c r="O389" i="10"/>
  <c r="Z388" i="10"/>
  <c r="D388" i="10"/>
  <c r="W139" i="33" s="1"/>
  <c r="A388" i="10"/>
  <c r="M232" i="10"/>
  <c r="M26" i="33" s="1"/>
  <c r="AF112" i="33" s="1"/>
  <c r="L232" i="10"/>
  <c r="L26" i="33" s="1"/>
  <c r="AE112" i="33" s="1"/>
  <c r="K232" i="10"/>
  <c r="K26" i="33" s="1"/>
  <c r="AD112" i="33" s="1"/>
  <c r="J232" i="10"/>
  <c r="J26" i="33" s="1"/>
  <c r="AC112" i="33" s="1"/>
  <c r="I232" i="10"/>
  <c r="I26" i="33" s="1"/>
  <c r="AB112" i="33" s="1"/>
  <c r="H232" i="10"/>
  <c r="H26" i="33" s="1"/>
  <c r="AA112" i="33" s="1"/>
  <c r="F232" i="10"/>
  <c r="F26" i="33" s="1"/>
  <c r="Y112" i="33" s="1"/>
  <c r="X231" i="10"/>
  <c r="X232" i="10" s="1"/>
  <c r="W231" i="10"/>
  <c r="W232" i="10" s="1"/>
  <c r="V231" i="10"/>
  <c r="V232" i="10" s="1"/>
  <c r="U231" i="10"/>
  <c r="U232" i="10" s="1"/>
  <c r="T231" i="10"/>
  <c r="T232" i="10" s="1"/>
  <c r="S231" i="10"/>
  <c r="R231" i="10"/>
  <c r="O231" i="10"/>
  <c r="Z230" i="10"/>
  <c r="O230" i="10"/>
  <c r="Z229" i="10"/>
  <c r="R229" i="10"/>
  <c r="O229" i="10"/>
  <c r="Z228" i="10"/>
  <c r="R228" i="10"/>
  <c r="O228" i="10"/>
  <c r="Z227" i="10"/>
  <c r="O227" i="10"/>
  <c r="Z226" i="10"/>
  <c r="D226" i="10"/>
  <c r="W108" i="33" s="1"/>
  <c r="A226" i="10"/>
  <c r="M223" i="10"/>
  <c r="M25" i="33" s="1"/>
  <c r="AF111" i="33" s="1"/>
  <c r="L223" i="10"/>
  <c r="L25" i="33" s="1"/>
  <c r="AE111" i="33" s="1"/>
  <c r="K223" i="10"/>
  <c r="K25" i="33" s="1"/>
  <c r="AD111" i="33" s="1"/>
  <c r="J223" i="10"/>
  <c r="J25" i="33" s="1"/>
  <c r="AC111" i="33" s="1"/>
  <c r="I223" i="10"/>
  <c r="I25" i="33" s="1"/>
  <c r="AB111" i="33" s="1"/>
  <c r="H223" i="10"/>
  <c r="H25" i="33" s="1"/>
  <c r="AA111" i="33" s="1"/>
  <c r="F223" i="10"/>
  <c r="F25" i="33" s="1"/>
  <c r="Y111" i="33" s="1"/>
  <c r="X222" i="10"/>
  <c r="X223" i="10" s="1"/>
  <c r="W222" i="10"/>
  <c r="W223" i="10" s="1"/>
  <c r="V222" i="10"/>
  <c r="V223" i="10" s="1"/>
  <c r="U222" i="10"/>
  <c r="U223" i="10" s="1"/>
  <c r="T222" i="10"/>
  <c r="T223" i="10" s="1"/>
  <c r="S222" i="10"/>
  <c r="S223" i="10" s="1"/>
  <c r="R222" i="10"/>
  <c r="O222" i="10"/>
  <c r="Z221" i="10"/>
  <c r="O221" i="10"/>
  <c r="Z220" i="10"/>
  <c r="R220" i="10"/>
  <c r="O220" i="10"/>
  <c r="Z219" i="10"/>
  <c r="R219" i="10"/>
  <c r="O219" i="10"/>
  <c r="Z218" i="10"/>
  <c r="O218" i="10"/>
  <c r="Z217" i="10"/>
  <c r="D217" i="10"/>
  <c r="W107" i="33" s="1"/>
  <c r="A217" i="10"/>
  <c r="J313" i="10"/>
  <c r="J35" i="33" s="1"/>
  <c r="AC15" i="33" s="1"/>
  <c r="I313" i="10"/>
  <c r="I35" i="33" s="1"/>
  <c r="AB15" i="33" s="1"/>
  <c r="H313" i="10"/>
  <c r="H35" i="33" s="1"/>
  <c r="AA15" i="33" s="1"/>
  <c r="F313" i="10"/>
  <c r="F35" i="33" s="1"/>
  <c r="Y15" i="33" s="1"/>
  <c r="X312" i="10"/>
  <c r="X313" i="10" s="1"/>
  <c r="W312" i="10"/>
  <c r="W313" i="10" s="1"/>
  <c r="V312" i="10"/>
  <c r="V313" i="10" s="1"/>
  <c r="U312" i="10"/>
  <c r="U313" i="10" s="1"/>
  <c r="T312" i="10"/>
  <c r="T313" i="10" s="1"/>
  <c r="S312" i="10"/>
  <c r="R312" i="10"/>
  <c r="O312" i="10"/>
  <c r="Z311" i="10"/>
  <c r="O311" i="10"/>
  <c r="Z310" i="10"/>
  <c r="R310" i="10"/>
  <c r="O310" i="10"/>
  <c r="Z309" i="10"/>
  <c r="R309" i="10"/>
  <c r="O309" i="10"/>
  <c r="Z308" i="10"/>
  <c r="O308" i="10"/>
  <c r="Z307" i="10"/>
  <c r="D307" i="10"/>
  <c r="W11" i="33" s="1"/>
  <c r="A307" i="10"/>
  <c r="M304" i="10"/>
  <c r="M34" i="33" s="1"/>
  <c r="AF14" i="33" s="1"/>
  <c r="L304" i="10"/>
  <c r="L34" i="33" s="1"/>
  <c r="AE14" i="33" s="1"/>
  <c r="K304" i="10"/>
  <c r="K34" i="33" s="1"/>
  <c r="AD14" i="33" s="1"/>
  <c r="J304" i="10"/>
  <c r="J34" i="33" s="1"/>
  <c r="AC14" i="33" s="1"/>
  <c r="I304" i="10"/>
  <c r="I34" i="33" s="1"/>
  <c r="AB14" i="33" s="1"/>
  <c r="H304" i="10"/>
  <c r="H34" i="33" s="1"/>
  <c r="AA14" i="33" s="1"/>
  <c r="F304" i="10"/>
  <c r="F34" i="33" s="1"/>
  <c r="Y14" i="33" s="1"/>
  <c r="X303" i="10"/>
  <c r="X304" i="10" s="1"/>
  <c r="W303" i="10"/>
  <c r="W304" i="10" s="1"/>
  <c r="V303" i="10"/>
  <c r="V304" i="10" s="1"/>
  <c r="U303" i="10"/>
  <c r="U304" i="10" s="1"/>
  <c r="T303" i="10"/>
  <c r="T304" i="10" s="1"/>
  <c r="S303" i="10"/>
  <c r="R303" i="10"/>
  <c r="O303" i="10"/>
  <c r="Z302" i="10"/>
  <c r="O302" i="10"/>
  <c r="Z301" i="10"/>
  <c r="R301" i="10"/>
  <c r="O301" i="10"/>
  <c r="Z300" i="10"/>
  <c r="R300" i="10"/>
  <c r="O300" i="10"/>
  <c r="Z299" i="10"/>
  <c r="O299" i="10"/>
  <c r="Z298" i="10"/>
  <c r="D298" i="10"/>
  <c r="W10" i="33" s="1"/>
  <c r="A298" i="10"/>
  <c r="O17" i="67"/>
  <c r="A4" i="67"/>
  <c r="A5" i="67"/>
  <c r="A6" i="67" s="1"/>
  <c r="A7" i="67" s="1"/>
  <c r="O5" i="67"/>
  <c r="A13" i="67"/>
  <c r="A14" i="67"/>
  <c r="A15" i="67" s="1"/>
  <c r="A16" i="67" s="1"/>
  <c r="O14" i="67"/>
  <c r="M25" i="10"/>
  <c r="M3" i="33" s="1"/>
  <c r="AF7" i="33" s="1"/>
  <c r="L25" i="10"/>
  <c r="L3" i="33" s="1"/>
  <c r="AE7" i="33" s="1"/>
  <c r="K25" i="10"/>
  <c r="K3" i="33" s="1"/>
  <c r="AD7" i="33" s="1"/>
  <c r="J25" i="10"/>
  <c r="J3" i="33" s="1"/>
  <c r="AC7" i="33" s="1"/>
  <c r="I25" i="10"/>
  <c r="I3" i="33" s="1"/>
  <c r="AB7" i="33" s="1"/>
  <c r="H25" i="10"/>
  <c r="H3" i="33" s="1"/>
  <c r="AA7" i="33" s="1"/>
  <c r="F25" i="10"/>
  <c r="F3" i="33" s="1"/>
  <c r="Y7" i="33" s="1"/>
  <c r="X24" i="10"/>
  <c r="X25" i="10" s="1"/>
  <c r="W24" i="10"/>
  <c r="W25" i="10" s="1"/>
  <c r="V24" i="10"/>
  <c r="V25" i="10" s="1"/>
  <c r="U24" i="10"/>
  <c r="U25" i="10" s="1"/>
  <c r="T24" i="10"/>
  <c r="T25" i="10" s="1"/>
  <c r="S24" i="10"/>
  <c r="R24" i="10"/>
  <c r="O24" i="10"/>
  <c r="Z23" i="10"/>
  <c r="O23" i="10"/>
  <c r="Z22" i="10"/>
  <c r="R22" i="10"/>
  <c r="O22" i="10"/>
  <c r="Z21" i="10"/>
  <c r="R21" i="10"/>
  <c r="O21" i="10"/>
  <c r="Z20" i="10"/>
  <c r="O20" i="10"/>
  <c r="Z19" i="10"/>
  <c r="A19" i="10"/>
  <c r="M745" i="10"/>
  <c r="M83" i="33" s="1"/>
  <c r="AF101" i="33" s="1"/>
  <c r="L745" i="10"/>
  <c r="L83" i="33" s="1"/>
  <c r="AE101" i="33" s="1"/>
  <c r="K745" i="10"/>
  <c r="K83" i="33" s="1"/>
  <c r="AD101" i="33" s="1"/>
  <c r="J745" i="10"/>
  <c r="J83" i="33" s="1"/>
  <c r="AC101" i="33" s="1"/>
  <c r="I745" i="10"/>
  <c r="I83" i="33" s="1"/>
  <c r="AB101" i="33" s="1"/>
  <c r="H745" i="10"/>
  <c r="H83" i="33" s="1"/>
  <c r="AA101" i="33" s="1"/>
  <c r="F745" i="10"/>
  <c r="F83" i="33" s="1"/>
  <c r="Y101" i="33" s="1"/>
  <c r="X744" i="10"/>
  <c r="X745" i="10" s="1"/>
  <c r="W744" i="10"/>
  <c r="W745" i="10" s="1"/>
  <c r="V744" i="10"/>
  <c r="V745" i="10" s="1"/>
  <c r="U744" i="10"/>
  <c r="U745" i="10" s="1"/>
  <c r="T744" i="10"/>
  <c r="T745" i="10" s="1"/>
  <c r="S744" i="10"/>
  <c r="R744" i="10"/>
  <c r="O744" i="10"/>
  <c r="Z743" i="10"/>
  <c r="O743" i="10"/>
  <c r="Z742" i="10"/>
  <c r="R742" i="10"/>
  <c r="O742" i="10"/>
  <c r="Z741" i="10"/>
  <c r="R741" i="10"/>
  <c r="O741" i="10"/>
  <c r="Z740" i="10"/>
  <c r="O740" i="10"/>
  <c r="Z739" i="10"/>
  <c r="D739" i="10"/>
  <c r="W99" i="33" s="1"/>
  <c r="A739" i="10"/>
  <c r="M691" i="10"/>
  <c r="M77" i="33" s="1"/>
  <c r="AF117" i="33" s="1"/>
  <c r="L691" i="10"/>
  <c r="L77" i="33" s="1"/>
  <c r="AE117" i="33" s="1"/>
  <c r="K691" i="10"/>
  <c r="K77" i="33" s="1"/>
  <c r="AD117" i="33" s="1"/>
  <c r="J691" i="10"/>
  <c r="J77" i="33" s="1"/>
  <c r="AC117" i="33" s="1"/>
  <c r="I691" i="10"/>
  <c r="I77" i="33" s="1"/>
  <c r="AB117" i="33" s="1"/>
  <c r="H691" i="10"/>
  <c r="H77" i="33" s="1"/>
  <c r="AA117" i="33" s="1"/>
  <c r="F691" i="10"/>
  <c r="F77" i="33" s="1"/>
  <c r="Y117" i="33" s="1"/>
  <c r="X690" i="10"/>
  <c r="X691" i="10" s="1"/>
  <c r="W690" i="10"/>
  <c r="W691" i="10" s="1"/>
  <c r="V690" i="10"/>
  <c r="V691" i="10" s="1"/>
  <c r="U690" i="10"/>
  <c r="U691" i="10" s="1"/>
  <c r="T690" i="10"/>
  <c r="T691" i="10" s="1"/>
  <c r="S690" i="10"/>
  <c r="R690" i="10"/>
  <c r="O690" i="10"/>
  <c r="Z689" i="10"/>
  <c r="O689" i="10"/>
  <c r="Z688" i="10"/>
  <c r="R688" i="10"/>
  <c r="O688" i="10"/>
  <c r="Z687" i="10"/>
  <c r="R687" i="10"/>
  <c r="O687" i="10"/>
  <c r="Z686" i="10"/>
  <c r="O686" i="10"/>
  <c r="Z685" i="10"/>
  <c r="D685" i="10"/>
  <c r="W115" i="33" s="1"/>
  <c r="A685" i="10"/>
  <c r="M682" i="10"/>
  <c r="M76" i="33" s="1"/>
  <c r="AF105" i="33" s="1"/>
  <c r="L682" i="10"/>
  <c r="L76" i="33" s="1"/>
  <c r="AE105" i="33" s="1"/>
  <c r="K682" i="10"/>
  <c r="K76" i="33" s="1"/>
  <c r="AD105" i="33" s="1"/>
  <c r="J682" i="10"/>
  <c r="J76" i="33" s="1"/>
  <c r="AC105" i="33" s="1"/>
  <c r="I682" i="10"/>
  <c r="I76" i="33" s="1"/>
  <c r="AB105" i="33" s="1"/>
  <c r="H682" i="10"/>
  <c r="H76" i="33" s="1"/>
  <c r="AA105" i="33" s="1"/>
  <c r="F682" i="10"/>
  <c r="F76" i="33" s="1"/>
  <c r="Y105" i="33" s="1"/>
  <c r="X681" i="10"/>
  <c r="X682" i="10" s="1"/>
  <c r="W681" i="10"/>
  <c r="W682" i="10" s="1"/>
  <c r="V681" i="10"/>
  <c r="V682" i="10" s="1"/>
  <c r="U681" i="10"/>
  <c r="U682" i="10" s="1"/>
  <c r="T681" i="10"/>
  <c r="T682" i="10" s="1"/>
  <c r="S681" i="10"/>
  <c r="R681" i="10"/>
  <c r="O681" i="10"/>
  <c r="Z680" i="10"/>
  <c r="O680" i="10"/>
  <c r="Z679" i="10"/>
  <c r="R679" i="10"/>
  <c r="O679" i="10"/>
  <c r="Z678" i="10"/>
  <c r="R678" i="10"/>
  <c r="O678" i="10"/>
  <c r="Z677" i="10"/>
  <c r="O677" i="10"/>
  <c r="Z676" i="10"/>
  <c r="D676" i="10"/>
  <c r="W103" i="33" s="1"/>
  <c r="A676" i="10"/>
  <c r="M529" i="10"/>
  <c r="M59" i="33" s="1"/>
  <c r="L529" i="10"/>
  <c r="L59" i="33" s="1"/>
  <c r="K529" i="10"/>
  <c r="K59" i="33" s="1"/>
  <c r="J529" i="10"/>
  <c r="J59" i="33" s="1"/>
  <c r="I529" i="10"/>
  <c r="I59" i="33" s="1"/>
  <c r="H529" i="10"/>
  <c r="H59" i="33" s="1"/>
  <c r="F529" i="10"/>
  <c r="F59" i="33" s="1"/>
  <c r="X528" i="10"/>
  <c r="X529" i="10" s="1"/>
  <c r="W528" i="10"/>
  <c r="W529" i="10" s="1"/>
  <c r="V528" i="10"/>
  <c r="V529" i="10" s="1"/>
  <c r="U528" i="10"/>
  <c r="U529" i="10" s="1"/>
  <c r="T528" i="10"/>
  <c r="T529" i="10" s="1"/>
  <c r="S528" i="10"/>
  <c r="R528" i="10"/>
  <c r="O528" i="10"/>
  <c r="Z527" i="10"/>
  <c r="O527" i="10"/>
  <c r="Z526" i="10"/>
  <c r="R526" i="10"/>
  <c r="O526" i="10"/>
  <c r="Z525" i="10"/>
  <c r="R525" i="10"/>
  <c r="O525" i="10"/>
  <c r="Z524" i="10"/>
  <c r="O524" i="10"/>
  <c r="Z523" i="10"/>
  <c r="D523" i="10"/>
  <c r="W171" i="33" s="1"/>
  <c r="A523" i="10"/>
  <c r="O17" i="65"/>
  <c r="O14" i="65"/>
  <c r="D13" i="65"/>
  <c r="A13" i="65"/>
  <c r="A14" i="65" s="1"/>
  <c r="A15" i="65" s="1"/>
  <c r="A16" i="65" s="1"/>
  <c r="O5" i="65"/>
  <c r="D4" i="65"/>
  <c r="A4" i="65"/>
  <c r="A5" i="65" s="1"/>
  <c r="A6" i="65" s="1"/>
  <c r="A7" i="65" s="1"/>
  <c r="A227" i="10" l="1"/>
  <c r="A228" i="10" s="1"/>
  <c r="A229" i="10" s="1"/>
  <c r="A230" i="10" s="1"/>
  <c r="A231" i="10" s="1"/>
  <c r="A232" i="10" s="1"/>
  <c r="A26" i="33" s="1"/>
  <c r="T112" i="33" s="1"/>
  <c r="T108" i="33"/>
  <c r="A524" i="10"/>
  <c r="A525" i="10" s="1"/>
  <c r="A526" i="10" s="1"/>
  <c r="A527" i="10" s="1"/>
  <c r="A528" i="10" s="1"/>
  <c r="A529" i="10" s="1"/>
  <c r="A59" i="33" s="1"/>
  <c r="T171" i="33"/>
  <c r="A740" i="10"/>
  <c r="A741" i="10" s="1"/>
  <c r="A742" i="10" s="1"/>
  <c r="A743" i="10" s="1"/>
  <c r="A744" i="10" s="1"/>
  <c r="A745" i="10" s="1"/>
  <c r="A83" i="33" s="1"/>
  <c r="T101" i="33" s="1"/>
  <c r="T99" i="33"/>
  <c r="A686" i="10"/>
  <c r="A687" i="10" s="1"/>
  <c r="A688" i="10" s="1"/>
  <c r="A689" i="10" s="1"/>
  <c r="A690" i="10" s="1"/>
  <c r="A691" i="10" s="1"/>
  <c r="A77" i="33" s="1"/>
  <c r="T117" i="33" s="1"/>
  <c r="T115" i="33"/>
  <c r="A299" i="10"/>
  <c r="A300" i="10" s="1"/>
  <c r="A301" i="10" s="1"/>
  <c r="A302" i="10" s="1"/>
  <c r="A303" i="10" s="1"/>
  <c r="A304" i="10" s="1"/>
  <c r="A34" i="33" s="1"/>
  <c r="T14" i="33" s="1"/>
  <c r="T10" i="33"/>
  <c r="A677" i="10"/>
  <c r="A678" i="10" s="1"/>
  <c r="A679" i="10" s="1"/>
  <c r="A680" i="10" s="1"/>
  <c r="A681" i="10" s="1"/>
  <c r="A682" i="10" s="1"/>
  <c r="A76" i="33" s="1"/>
  <c r="T105" i="33" s="1"/>
  <c r="T103" i="33"/>
  <c r="A20" i="10"/>
  <c r="A21" i="10" s="1"/>
  <c r="A22" i="10" s="1"/>
  <c r="A23" i="10" s="1"/>
  <c r="A24" i="10" s="1"/>
  <c r="A25" i="10" s="1"/>
  <c r="A3" i="33" s="1"/>
  <c r="T7" i="33" s="1"/>
  <c r="T3" i="33"/>
  <c r="A389" i="10"/>
  <c r="A390" i="10" s="1"/>
  <c r="A391" i="10" s="1"/>
  <c r="A392" i="10" s="1"/>
  <c r="A393" i="10" s="1"/>
  <c r="A394" i="10" s="1"/>
  <c r="A44" i="33" s="1"/>
  <c r="T141" i="33" s="1"/>
  <c r="T139" i="33"/>
  <c r="A308" i="10"/>
  <c r="A309" i="10" s="1"/>
  <c r="A310" i="10" s="1"/>
  <c r="A311" i="10" s="1"/>
  <c r="A312" i="10" s="1"/>
  <c r="A313" i="10" s="1"/>
  <c r="A35" i="33" s="1"/>
  <c r="T15" i="33" s="1"/>
  <c r="T11" i="33"/>
  <c r="A218" i="10"/>
  <c r="A219" i="10" s="1"/>
  <c r="A220" i="10" s="1"/>
  <c r="A221" i="10" s="1"/>
  <c r="A222" i="10" s="1"/>
  <c r="A223" i="10" s="1"/>
  <c r="A25" i="33" s="1"/>
  <c r="T111" i="33" s="1"/>
  <c r="T107" i="33"/>
  <c r="Z393" i="10"/>
  <c r="O232" i="10"/>
  <c r="O26" i="33" s="1"/>
  <c r="AH112" i="33" s="1"/>
  <c r="O394" i="10"/>
  <c r="O44" i="33" s="1"/>
  <c r="AH141" i="33" s="1"/>
  <c r="AJ139" i="33" s="1"/>
  <c r="S394" i="10"/>
  <c r="Z394" i="10" s="1"/>
  <c r="Z231" i="10"/>
  <c r="S232" i="10"/>
  <c r="Z232" i="10" s="1"/>
  <c r="O223" i="10"/>
  <c r="O25" i="33" s="1"/>
  <c r="AH111" i="33" s="1"/>
  <c r="Z223" i="10"/>
  <c r="Z222" i="10"/>
  <c r="O313" i="10"/>
  <c r="O35" i="33" s="1"/>
  <c r="AH15" i="33" s="1"/>
  <c r="Z312" i="10"/>
  <c r="O304" i="10"/>
  <c r="O34" i="33" s="1"/>
  <c r="AH14" i="33" s="1"/>
  <c r="AJ12" i="33" s="1"/>
  <c r="S313" i="10"/>
  <c r="Z313" i="10" s="1"/>
  <c r="Z303" i="10"/>
  <c r="S304" i="10"/>
  <c r="Z304" i="10" s="1"/>
  <c r="Z690" i="10"/>
  <c r="Z24" i="10"/>
  <c r="Z681" i="10"/>
  <c r="Z528" i="10"/>
  <c r="O25" i="10"/>
  <c r="O3" i="33" s="1"/>
  <c r="AH7" i="33" s="1"/>
  <c r="S25" i="10"/>
  <c r="Z25" i="10" s="1"/>
  <c r="O745" i="10"/>
  <c r="O83" i="33" s="1"/>
  <c r="AH101" i="33" s="1"/>
  <c r="AJ99" i="33" s="1"/>
  <c r="Z744" i="10"/>
  <c r="O691" i="10"/>
  <c r="O77" i="33" s="1"/>
  <c r="AH117" i="33" s="1"/>
  <c r="AJ115" i="33" s="1"/>
  <c r="O682" i="10"/>
  <c r="O76" i="33" s="1"/>
  <c r="AH105" i="33" s="1"/>
  <c r="AJ103" i="33" s="1"/>
  <c r="S745" i="10"/>
  <c r="Z745" i="10" s="1"/>
  <c r="S691" i="10"/>
  <c r="Z691" i="10" s="1"/>
  <c r="S682" i="10"/>
  <c r="Z682" i="10" s="1"/>
  <c r="O529" i="10"/>
  <c r="O59" i="33" s="1"/>
  <c r="S529" i="10"/>
  <c r="Z529" i="10" s="1"/>
  <c r="AJ109" i="33" l="1"/>
  <c r="K37" i="20"/>
  <c r="K61" i="20"/>
  <c r="K46" i="20"/>
  <c r="K36" i="20"/>
  <c r="K5" i="20"/>
  <c r="K27" i="20"/>
  <c r="K28" i="20"/>
  <c r="K79" i="20"/>
  <c r="K85" i="20"/>
  <c r="K78" i="20"/>
  <c r="M376" i="10"/>
  <c r="M42" i="33" s="1"/>
  <c r="AF90" i="33" s="1"/>
  <c r="L376" i="10"/>
  <c r="L42" i="33" s="1"/>
  <c r="AE90" i="33" s="1"/>
  <c r="K376" i="10"/>
  <c r="K42" i="33" s="1"/>
  <c r="AD90" i="33" s="1"/>
  <c r="J376" i="10"/>
  <c r="J42" i="33" s="1"/>
  <c r="AC90" i="33" s="1"/>
  <c r="I376" i="10"/>
  <c r="I42" i="33" s="1"/>
  <c r="AB90" i="33" s="1"/>
  <c r="H376" i="10"/>
  <c r="H42" i="33" s="1"/>
  <c r="AA90" i="33" s="1"/>
  <c r="F376" i="10"/>
  <c r="F42" i="33" s="1"/>
  <c r="Y90" i="33" s="1"/>
  <c r="X375" i="10"/>
  <c r="X376" i="10" s="1"/>
  <c r="W375" i="10"/>
  <c r="W376" i="10" s="1"/>
  <c r="V375" i="10"/>
  <c r="V376" i="10" s="1"/>
  <c r="U375" i="10"/>
  <c r="U376" i="10" s="1"/>
  <c r="T375" i="10"/>
  <c r="T376" i="10" s="1"/>
  <c r="S375" i="10"/>
  <c r="S376" i="10" s="1"/>
  <c r="R375" i="10"/>
  <c r="O375" i="10"/>
  <c r="Z374" i="10"/>
  <c r="O374" i="10"/>
  <c r="Z373" i="10"/>
  <c r="R373" i="10"/>
  <c r="O373" i="10"/>
  <c r="Z372" i="10"/>
  <c r="R372" i="10"/>
  <c r="O372" i="10"/>
  <c r="Z371" i="10"/>
  <c r="O371" i="10"/>
  <c r="Z370" i="10"/>
  <c r="D370" i="10"/>
  <c r="W86" i="33" s="1"/>
  <c r="A370" i="10"/>
  <c r="M367" i="10"/>
  <c r="M41" i="33" s="1"/>
  <c r="AF89" i="33" s="1"/>
  <c r="L367" i="10"/>
  <c r="L41" i="33" s="1"/>
  <c r="AE89" i="33" s="1"/>
  <c r="K367" i="10"/>
  <c r="K41" i="33" s="1"/>
  <c r="AD89" i="33" s="1"/>
  <c r="J367" i="10"/>
  <c r="J41" i="33" s="1"/>
  <c r="AC89" i="33" s="1"/>
  <c r="I367" i="10"/>
  <c r="I41" i="33" s="1"/>
  <c r="AB89" i="33" s="1"/>
  <c r="H367" i="10"/>
  <c r="H41" i="33" s="1"/>
  <c r="AA89" i="33" s="1"/>
  <c r="F367" i="10"/>
  <c r="F41" i="33" s="1"/>
  <c r="Y89" i="33" s="1"/>
  <c r="X366" i="10"/>
  <c r="X367" i="10" s="1"/>
  <c r="W366" i="10"/>
  <c r="W367" i="10" s="1"/>
  <c r="V366" i="10"/>
  <c r="V367" i="10" s="1"/>
  <c r="U366" i="10"/>
  <c r="U367" i="10" s="1"/>
  <c r="T366" i="10"/>
  <c r="T367" i="10" s="1"/>
  <c r="S366" i="10"/>
  <c r="S367" i="10" s="1"/>
  <c r="R366" i="10"/>
  <c r="O366" i="10"/>
  <c r="Z365" i="10"/>
  <c r="O365" i="10"/>
  <c r="Z364" i="10"/>
  <c r="R364" i="10"/>
  <c r="O364" i="10"/>
  <c r="Z363" i="10"/>
  <c r="R363" i="10"/>
  <c r="O363" i="10"/>
  <c r="Z362" i="10"/>
  <c r="O362" i="10"/>
  <c r="Z361" i="10"/>
  <c r="D361" i="10"/>
  <c r="W85" i="33" s="1"/>
  <c r="A361" i="10"/>
  <c r="A362" i="10" l="1"/>
  <c r="A363" i="10" s="1"/>
  <c r="A364" i="10" s="1"/>
  <c r="A365" i="10" s="1"/>
  <c r="A366" i="10" s="1"/>
  <c r="A367" i="10" s="1"/>
  <c r="A41" i="33" s="1"/>
  <c r="T89" i="33" s="1"/>
  <c r="T85" i="33"/>
  <c r="A371" i="10"/>
  <c r="A372" i="10" s="1"/>
  <c r="A373" i="10" s="1"/>
  <c r="A374" i="10" s="1"/>
  <c r="A375" i="10" s="1"/>
  <c r="A376" i="10" s="1"/>
  <c r="A42" i="33" s="1"/>
  <c r="T90" i="33" s="1"/>
  <c r="T86" i="33"/>
  <c r="O367" i="10"/>
  <c r="O41" i="33" s="1"/>
  <c r="AH89" i="33" s="1"/>
  <c r="AJ87" i="33" s="1"/>
  <c r="O376" i="10"/>
  <c r="O42" i="33" s="1"/>
  <c r="AH90" i="33" s="1"/>
  <c r="Z376" i="10"/>
  <c r="Z375" i="10"/>
  <c r="Z367" i="10"/>
  <c r="Z366" i="10"/>
  <c r="K44" i="20" l="1"/>
  <c r="K43" i="20"/>
  <c r="M430" i="10"/>
  <c r="M48" i="33" s="1"/>
  <c r="AF132" i="33" s="1"/>
  <c r="L430" i="10"/>
  <c r="L48" i="33" s="1"/>
  <c r="AE132" i="33" s="1"/>
  <c r="K430" i="10"/>
  <c r="K48" i="33" s="1"/>
  <c r="AD132" i="33" s="1"/>
  <c r="J430" i="10"/>
  <c r="J48" i="33" s="1"/>
  <c r="AC132" i="33" s="1"/>
  <c r="I430" i="10"/>
  <c r="I48" i="33" s="1"/>
  <c r="AB132" i="33" s="1"/>
  <c r="H430" i="10"/>
  <c r="H48" i="33" s="1"/>
  <c r="AA132" i="33" s="1"/>
  <c r="F430" i="10"/>
  <c r="F48" i="33" s="1"/>
  <c r="Y132" i="33" s="1"/>
  <c r="X429" i="10"/>
  <c r="X430" i="10" s="1"/>
  <c r="W429" i="10"/>
  <c r="W430" i="10" s="1"/>
  <c r="V429" i="10"/>
  <c r="V430" i="10" s="1"/>
  <c r="U429" i="10"/>
  <c r="U430" i="10" s="1"/>
  <c r="T429" i="10"/>
  <c r="T430" i="10" s="1"/>
  <c r="S429" i="10"/>
  <c r="S430" i="10" s="1"/>
  <c r="R429" i="10"/>
  <c r="O429" i="10"/>
  <c r="Z428" i="10"/>
  <c r="O428" i="10"/>
  <c r="Z427" i="10"/>
  <c r="R427" i="10"/>
  <c r="O427" i="10"/>
  <c r="Z426" i="10"/>
  <c r="R426" i="10"/>
  <c r="O426" i="10"/>
  <c r="Z425" i="10"/>
  <c r="O425" i="10"/>
  <c r="Z424" i="10"/>
  <c r="D424" i="10"/>
  <c r="W129" i="33" s="1"/>
  <c r="A424" i="10"/>
  <c r="M70" i="10"/>
  <c r="M8" i="33" s="1"/>
  <c r="AF81" i="33" s="1"/>
  <c r="L70" i="10"/>
  <c r="L8" i="33" s="1"/>
  <c r="AE81" i="33" s="1"/>
  <c r="K70" i="10"/>
  <c r="K8" i="33" s="1"/>
  <c r="AD81" i="33" s="1"/>
  <c r="J70" i="10"/>
  <c r="J8" i="33" s="1"/>
  <c r="AC81" i="33" s="1"/>
  <c r="I70" i="10"/>
  <c r="I8" i="33" s="1"/>
  <c r="AB81" i="33" s="1"/>
  <c r="H70" i="10"/>
  <c r="H8" i="33" s="1"/>
  <c r="AA81" i="33" s="1"/>
  <c r="F70" i="10"/>
  <c r="F8" i="33" s="1"/>
  <c r="Y81" i="33" s="1"/>
  <c r="X69" i="10"/>
  <c r="W69" i="10"/>
  <c r="W70" i="10" s="1"/>
  <c r="V69" i="10"/>
  <c r="V70" i="10" s="1"/>
  <c r="U69" i="10"/>
  <c r="U70" i="10" s="1"/>
  <c r="T69" i="10"/>
  <c r="T70" i="10" s="1"/>
  <c r="S69" i="10"/>
  <c r="S70" i="10" s="1"/>
  <c r="R69" i="10"/>
  <c r="O69" i="10"/>
  <c r="Z68" i="10"/>
  <c r="O68" i="10"/>
  <c r="Z67" i="10"/>
  <c r="R67" i="10"/>
  <c r="O67" i="10"/>
  <c r="Z66" i="10"/>
  <c r="R66" i="10"/>
  <c r="O66" i="10"/>
  <c r="Z65" i="10"/>
  <c r="O65" i="10"/>
  <c r="Z64" i="10"/>
  <c r="D64" i="10"/>
  <c r="W77" i="33" s="1"/>
  <c r="A64" i="10"/>
  <c r="F448" i="10"/>
  <c r="F50" i="33" s="1"/>
  <c r="Y73" i="33" s="1"/>
  <c r="X447" i="10"/>
  <c r="X448" i="10" s="1"/>
  <c r="W447" i="10"/>
  <c r="W448" i="10" s="1"/>
  <c r="V447" i="10"/>
  <c r="V448" i="10" s="1"/>
  <c r="U447" i="10"/>
  <c r="U448" i="10" s="1"/>
  <c r="T447" i="10"/>
  <c r="T448" i="10" s="1"/>
  <c r="S447" i="10"/>
  <c r="R447" i="10"/>
  <c r="O447" i="10"/>
  <c r="Z446" i="10"/>
  <c r="O446" i="10"/>
  <c r="Z445" i="10"/>
  <c r="R445" i="10"/>
  <c r="O445" i="10"/>
  <c r="Z444" i="10"/>
  <c r="R444" i="10"/>
  <c r="O444" i="10"/>
  <c r="Z443" i="10"/>
  <c r="O443" i="10"/>
  <c r="Z442" i="10"/>
  <c r="D442" i="10"/>
  <c r="W70" i="33" s="1"/>
  <c r="A442" i="10"/>
  <c r="F250" i="10"/>
  <c r="F28" i="33" s="1"/>
  <c r="Y23" i="33" s="1"/>
  <c r="X249" i="10"/>
  <c r="X250" i="10" s="1"/>
  <c r="W249" i="10"/>
  <c r="W250" i="10" s="1"/>
  <c r="V249" i="10"/>
  <c r="V250" i="10" s="1"/>
  <c r="U249" i="10"/>
  <c r="U250" i="10" s="1"/>
  <c r="T249" i="10"/>
  <c r="T250" i="10" s="1"/>
  <c r="S249" i="10"/>
  <c r="S250" i="10" s="1"/>
  <c r="R249" i="10"/>
  <c r="O249" i="10"/>
  <c r="Z248" i="10"/>
  <c r="O248" i="10"/>
  <c r="Z247" i="10"/>
  <c r="R247" i="10"/>
  <c r="O247" i="10"/>
  <c r="Z246" i="10"/>
  <c r="R246" i="10"/>
  <c r="O246" i="10"/>
  <c r="Z245" i="10"/>
  <c r="O245" i="10"/>
  <c r="Z244" i="10"/>
  <c r="D244" i="10"/>
  <c r="W18" i="33" s="1"/>
  <c r="A244" i="10"/>
  <c r="A425" i="10" l="1"/>
  <c r="A426" i="10" s="1"/>
  <c r="A427" i="10" s="1"/>
  <c r="A428" i="10" s="1"/>
  <c r="A429" i="10" s="1"/>
  <c r="A430" i="10" s="1"/>
  <c r="A48" i="33" s="1"/>
  <c r="T132" i="33" s="1"/>
  <c r="T129" i="33"/>
  <c r="A443" i="10"/>
  <c r="A444" i="10" s="1"/>
  <c r="A445" i="10" s="1"/>
  <c r="A446" i="10" s="1"/>
  <c r="A447" i="10" s="1"/>
  <c r="A448" i="10" s="1"/>
  <c r="A50" i="33" s="1"/>
  <c r="T73" i="33" s="1"/>
  <c r="T70" i="33"/>
  <c r="A65" i="10"/>
  <c r="A66" i="10" s="1"/>
  <c r="A67" i="10" s="1"/>
  <c r="A68" i="10" s="1"/>
  <c r="A69" i="10" s="1"/>
  <c r="A70" i="10" s="1"/>
  <c r="A8" i="33" s="1"/>
  <c r="T81" i="33" s="1"/>
  <c r="T77" i="33"/>
  <c r="A245" i="10"/>
  <c r="A246" i="10" s="1"/>
  <c r="A247" i="10" s="1"/>
  <c r="A248" i="10" s="1"/>
  <c r="A249" i="10" s="1"/>
  <c r="A250" i="10" s="1"/>
  <c r="A28" i="33" s="1"/>
  <c r="T23" i="33" s="1"/>
  <c r="T18" i="33"/>
  <c r="AK441" i="10"/>
  <c r="Z430" i="10"/>
  <c r="O430" i="10"/>
  <c r="O48" i="33" s="1"/>
  <c r="AH132" i="33" s="1"/>
  <c r="AJ130" i="33" s="1"/>
  <c r="O70" i="10"/>
  <c r="O8" i="33" s="1"/>
  <c r="AH81" i="33" s="1"/>
  <c r="AJ79" i="33" s="1"/>
  <c r="Z429" i="10"/>
  <c r="Z69" i="10"/>
  <c r="X70" i="10"/>
  <c r="Z70" i="10" s="1"/>
  <c r="O448" i="10"/>
  <c r="O50" i="33" s="1"/>
  <c r="AH73" i="33" s="1"/>
  <c r="AJ71" i="33" s="1"/>
  <c r="Z447" i="10"/>
  <c r="S448" i="10"/>
  <c r="Z448" i="10" s="1"/>
  <c r="O250" i="10"/>
  <c r="O28" i="33" s="1"/>
  <c r="AH23" i="33" s="1"/>
  <c r="AJ21" i="33" s="1"/>
  <c r="Z250" i="10"/>
  <c r="Z249" i="10"/>
  <c r="K52" i="20" l="1"/>
  <c r="K30" i="20"/>
  <c r="K10" i="20"/>
  <c r="K50" i="20"/>
  <c r="M511" i="10"/>
  <c r="M57" i="33" s="1"/>
  <c r="L511" i="10"/>
  <c r="L57" i="33" s="1"/>
  <c r="K511" i="10"/>
  <c r="K57" i="33" s="1"/>
  <c r="J511" i="10"/>
  <c r="J57" i="33" s="1"/>
  <c r="I511" i="10"/>
  <c r="I57" i="33" s="1"/>
  <c r="H511" i="10"/>
  <c r="H57" i="33" s="1"/>
  <c r="F511" i="10"/>
  <c r="F57" i="33" s="1"/>
  <c r="X510" i="10"/>
  <c r="X511" i="10" s="1"/>
  <c r="W510" i="10"/>
  <c r="W511" i="10" s="1"/>
  <c r="V510" i="10"/>
  <c r="V511" i="10" s="1"/>
  <c r="U510" i="10"/>
  <c r="U511" i="10" s="1"/>
  <c r="T510" i="10"/>
  <c r="T511" i="10" s="1"/>
  <c r="S510" i="10"/>
  <c r="R510" i="10"/>
  <c r="O510" i="10"/>
  <c r="Z509" i="10"/>
  <c r="O509" i="10"/>
  <c r="Z508" i="10"/>
  <c r="R508" i="10"/>
  <c r="O508" i="10"/>
  <c r="Z507" i="10"/>
  <c r="R507" i="10"/>
  <c r="O507" i="10"/>
  <c r="Z506" i="10"/>
  <c r="O506" i="10"/>
  <c r="Z505" i="10"/>
  <c r="D505" i="10"/>
  <c r="W169" i="33" s="1"/>
  <c r="A505" i="10"/>
  <c r="D496" i="10"/>
  <c r="W135" i="33" s="1"/>
  <c r="D460" i="10"/>
  <c r="W28" i="33" s="1"/>
  <c r="D37" i="10"/>
  <c r="W59" i="33" s="1"/>
  <c r="A506" i="10" l="1"/>
  <c r="A507" i="10" s="1"/>
  <c r="A508" i="10" s="1"/>
  <c r="A509" i="10" s="1"/>
  <c r="A510" i="10" s="1"/>
  <c r="A511" i="10" s="1"/>
  <c r="A57" i="33" s="1"/>
  <c r="T169" i="33"/>
  <c r="O511" i="10"/>
  <c r="O57" i="33" s="1"/>
  <c r="Z510" i="10"/>
  <c r="S511" i="10"/>
  <c r="Z511" i="10" s="1"/>
  <c r="K59" i="20" l="1"/>
  <c r="M502" i="10"/>
  <c r="M56" i="33" s="1"/>
  <c r="AF137" i="33" s="1"/>
  <c r="L502" i="10"/>
  <c r="L56" i="33" s="1"/>
  <c r="AE137" i="33" s="1"/>
  <c r="K502" i="10"/>
  <c r="K56" i="33" s="1"/>
  <c r="AD137" i="33" s="1"/>
  <c r="J502" i="10"/>
  <c r="J56" i="33" s="1"/>
  <c r="AC137" i="33" s="1"/>
  <c r="I502" i="10"/>
  <c r="I56" i="33" s="1"/>
  <c r="AB137" i="33" s="1"/>
  <c r="H502" i="10"/>
  <c r="H56" i="33" s="1"/>
  <c r="AA137" i="33" s="1"/>
  <c r="F502" i="10"/>
  <c r="F56" i="33" s="1"/>
  <c r="Y137" i="33" s="1"/>
  <c r="X501" i="10"/>
  <c r="X502" i="10" s="1"/>
  <c r="W501" i="10"/>
  <c r="W502" i="10" s="1"/>
  <c r="V501" i="10"/>
  <c r="V502" i="10" s="1"/>
  <c r="U501" i="10"/>
  <c r="U502" i="10" s="1"/>
  <c r="T501" i="10"/>
  <c r="T502" i="10" s="1"/>
  <c r="S501" i="10"/>
  <c r="R501" i="10"/>
  <c r="O501" i="10"/>
  <c r="Z500" i="10"/>
  <c r="O500" i="10"/>
  <c r="Z499" i="10"/>
  <c r="R499" i="10"/>
  <c r="O499" i="10"/>
  <c r="Z498" i="10"/>
  <c r="R498" i="10"/>
  <c r="O498" i="10"/>
  <c r="Z497" i="10"/>
  <c r="O497" i="10"/>
  <c r="Z496" i="10"/>
  <c r="A496" i="10"/>
  <c r="A497" i="10" l="1"/>
  <c r="A498" i="10" s="1"/>
  <c r="A499" i="10" s="1"/>
  <c r="A500" i="10" s="1"/>
  <c r="A501" i="10" s="1"/>
  <c r="A502" i="10" s="1"/>
  <c r="A56" i="33" s="1"/>
  <c r="T137" i="33" s="1"/>
  <c r="T135" i="33"/>
  <c r="O502" i="10"/>
  <c r="O56" i="33" s="1"/>
  <c r="AH137" i="33" s="1"/>
  <c r="AJ135" i="33" s="1"/>
  <c r="Z501" i="10"/>
  <c r="S502" i="10"/>
  <c r="Z502" i="10" s="1"/>
  <c r="K58" i="20" l="1"/>
  <c r="J78" i="20"/>
  <c r="J96" i="20"/>
  <c r="J86" i="20"/>
  <c r="J79" i="20"/>
  <c r="J80" i="20"/>
  <c r="J81" i="20"/>
  <c r="J82" i="20"/>
  <c r="J70" i="20"/>
  <c r="J43" i="20"/>
  <c r="J44" i="20"/>
  <c r="M466" i="10"/>
  <c r="M52" i="33" s="1"/>
  <c r="AF32" i="33" s="1"/>
  <c r="L466" i="10"/>
  <c r="L52" i="33" s="1"/>
  <c r="AE32" i="33" s="1"/>
  <c r="K466" i="10"/>
  <c r="K52" i="33" s="1"/>
  <c r="AD32" i="33" s="1"/>
  <c r="J466" i="10"/>
  <c r="J52" i="33" s="1"/>
  <c r="AC32" i="33" s="1"/>
  <c r="I466" i="10"/>
  <c r="I52" i="33" s="1"/>
  <c r="AB32" i="33" s="1"/>
  <c r="H466" i="10"/>
  <c r="H52" i="33" s="1"/>
  <c r="AA32" i="33" s="1"/>
  <c r="F466" i="10"/>
  <c r="F52" i="33" s="1"/>
  <c r="Y32" i="33" s="1"/>
  <c r="X465" i="10"/>
  <c r="X466" i="10" s="1"/>
  <c r="W465" i="10"/>
  <c r="W466" i="10" s="1"/>
  <c r="V465" i="10"/>
  <c r="V466" i="10" s="1"/>
  <c r="U465" i="10"/>
  <c r="U466" i="10" s="1"/>
  <c r="T465" i="10"/>
  <c r="S465" i="10"/>
  <c r="S466" i="10" s="1"/>
  <c r="R465" i="10"/>
  <c r="O465" i="10"/>
  <c r="Z464" i="10"/>
  <c r="O464" i="10"/>
  <c r="Z463" i="10"/>
  <c r="R463" i="10"/>
  <c r="O463" i="10"/>
  <c r="Z462" i="10"/>
  <c r="R462" i="10"/>
  <c r="O462" i="10"/>
  <c r="Z461" i="10"/>
  <c r="O461" i="10"/>
  <c r="Z460" i="10"/>
  <c r="A460" i="10"/>
  <c r="A461" i="10" l="1"/>
  <c r="A462" i="10" s="1"/>
  <c r="A463" i="10" s="1"/>
  <c r="A464" i="10" s="1"/>
  <c r="A465" i="10" s="1"/>
  <c r="A466" i="10" s="1"/>
  <c r="A52" i="33" s="1"/>
  <c r="T32" i="33" s="1"/>
  <c r="T28" i="33"/>
  <c r="O466" i="10"/>
  <c r="O52" i="33" s="1"/>
  <c r="AH32" i="33" s="1"/>
  <c r="AJ30" i="33" s="1"/>
  <c r="Z465" i="10"/>
  <c r="T466" i="10"/>
  <c r="Z466" i="10" s="1"/>
  <c r="K54" i="20" l="1"/>
  <c r="J97" i="20"/>
  <c r="J42" i="20"/>
  <c r="J16" i="20" l="1"/>
  <c r="J12" i="20"/>
  <c r="J94" i="20" l="1"/>
  <c r="J95" i="20"/>
  <c r="J85" i="20"/>
  <c r="J58" i="20"/>
  <c r="J46" i="20"/>
  <c r="J37" i="20"/>
  <c r="M43" i="10" l="1"/>
  <c r="M5" i="33" s="1"/>
  <c r="AF61" i="33" s="1"/>
  <c r="L43" i="10"/>
  <c r="L5" i="33" s="1"/>
  <c r="AE61" i="33" s="1"/>
  <c r="K43" i="10"/>
  <c r="K5" i="33" s="1"/>
  <c r="AD61" i="33" s="1"/>
  <c r="J43" i="10"/>
  <c r="J5" i="33" s="1"/>
  <c r="AC61" i="33" s="1"/>
  <c r="I43" i="10"/>
  <c r="I5" i="33" s="1"/>
  <c r="AB61" i="33" s="1"/>
  <c r="H43" i="10"/>
  <c r="H5" i="33" s="1"/>
  <c r="AA61" i="33" s="1"/>
  <c r="F43" i="10"/>
  <c r="F5" i="33" s="1"/>
  <c r="Y61" i="33" s="1"/>
  <c r="X42" i="10"/>
  <c r="X43" i="10" s="1"/>
  <c r="W42" i="10"/>
  <c r="W43" i="10" s="1"/>
  <c r="V42" i="10"/>
  <c r="V43" i="10" s="1"/>
  <c r="U42" i="10"/>
  <c r="U43" i="10" s="1"/>
  <c r="T42" i="10"/>
  <c r="T43" i="10" s="1"/>
  <c r="S42" i="10"/>
  <c r="S43" i="10" s="1"/>
  <c r="R42" i="10"/>
  <c r="O42" i="10"/>
  <c r="Z41" i="10"/>
  <c r="O41" i="10"/>
  <c r="Z40" i="10"/>
  <c r="R40" i="10"/>
  <c r="Z39" i="10"/>
  <c r="R39" i="10"/>
  <c r="O39" i="10"/>
  <c r="Z38" i="10"/>
  <c r="O38" i="10"/>
  <c r="Z37" i="10"/>
  <c r="A37" i="10"/>
  <c r="J54" i="20"/>
  <c r="J34" i="20"/>
  <c r="A38" i="10" l="1"/>
  <c r="A39" i="10" s="1"/>
  <c r="A40" i="10" s="1"/>
  <c r="A41" i="10" s="1"/>
  <c r="A42" i="10" s="1"/>
  <c r="A43" i="10" s="1"/>
  <c r="A5" i="33" s="1"/>
  <c r="T61" i="33" s="1"/>
  <c r="T59" i="33"/>
  <c r="O43" i="10"/>
  <c r="O5" i="33" s="1"/>
  <c r="AH61" i="33" s="1"/>
  <c r="AJ59" i="33" s="1"/>
  <c r="Z43" i="10"/>
  <c r="Z42" i="10"/>
  <c r="K7" i="20" l="1"/>
  <c r="J73" i="20"/>
  <c r="J64" i="20"/>
  <c r="J39" i="20"/>
  <c r="J38" i="20"/>
  <c r="J11" i="20"/>
  <c r="J7" i="20"/>
  <c r="J77" i="20" l="1"/>
  <c r="J18" i="20"/>
  <c r="J13" i="20"/>
  <c r="J9" i="20"/>
  <c r="J89" i="20" l="1"/>
  <c r="J92" i="20"/>
  <c r="J21" i="20" l="1"/>
  <c r="J87" i="20"/>
  <c r="J68" i="20"/>
  <c r="J57" i="20"/>
  <c r="J45" i="20"/>
  <c r="J40" i="20"/>
  <c r="J30" i="20"/>
  <c r="O14" i="10"/>
  <c r="M16" i="10"/>
  <c r="M2" i="33" s="1"/>
  <c r="AF6" i="33" s="1"/>
  <c r="L16" i="10"/>
  <c r="L2" i="33" s="1"/>
  <c r="AE6" i="33" s="1"/>
  <c r="F16" i="10"/>
  <c r="F2" i="33" s="1"/>
  <c r="Y6" i="33" s="1"/>
  <c r="X15" i="10"/>
  <c r="X16" i="10" s="1"/>
  <c r="W15" i="10"/>
  <c r="W16" i="10" s="1"/>
  <c r="V15" i="10"/>
  <c r="V16" i="10" s="1"/>
  <c r="U15" i="10"/>
  <c r="U16" i="10" s="1"/>
  <c r="T15" i="10"/>
  <c r="T16" i="10" s="1"/>
  <c r="S15" i="10"/>
  <c r="S16" i="10" s="1"/>
  <c r="R15" i="10"/>
  <c r="O15" i="10"/>
  <c r="Z14" i="10"/>
  <c r="Z13" i="10"/>
  <c r="R13" i="10"/>
  <c r="O13" i="10"/>
  <c r="Z12" i="10"/>
  <c r="R12" i="10"/>
  <c r="O12" i="10"/>
  <c r="Z11" i="10"/>
  <c r="O11" i="10"/>
  <c r="Z10" i="10"/>
  <c r="K16" i="10"/>
  <c r="K2" i="33" s="1"/>
  <c r="AD6" i="33" s="1"/>
  <c r="J16" i="10"/>
  <c r="J2" i="33" s="1"/>
  <c r="AC6" i="33" s="1"/>
  <c r="I16" i="10"/>
  <c r="I2" i="33" s="1"/>
  <c r="AB6" i="33" s="1"/>
  <c r="A10" i="10"/>
  <c r="A11" i="10" l="1"/>
  <c r="A12" i="10" s="1"/>
  <c r="A13" i="10" s="1"/>
  <c r="A14" i="10" s="1"/>
  <c r="A15" i="10" s="1"/>
  <c r="A16" i="10" s="1"/>
  <c r="A2" i="33" s="1"/>
  <c r="T6" i="33" s="1"/>
  <c r="T2" i="33"/>
  <c r="Z16" i="10"/>
  <c r="Z15" i="10"/>
  <c r="H16" i="10"/>
  <c r="H2" i="33" s="1"/>
  <c r="AA6" i="33" s="1"/>
  <c r="O16" i="10" l="1"/>
  <c r="O2" i="33" s="1"/>
  <c r="AH6" i="33" s="1"/>
  <c r="AJ4" i="33" s="1"/>
  <c r="J88" i="20"/>
  <c r="J62" i="20"/>
  <c r="J52" i="20"/>
  <c r="J49" i="20"/>
  <c r="J50" i="20"/>
  <c r="J41" i="20"/>
  <c r="J47" i="20"/>
  <c r="J25" i="20"/>
  <c r="K4" i="20" l="1"/>
  <c r="J32" i="20"/>
  <c r="J76" i="20"/>
  <c r="J83" i="20"/>
  <c r="J61" i="20"/>
  <c r="J75" i="20"/>
  <c r="J74" i="20"/>
  <c r="J48" i="20"/>
  <c r="J20" i="20"/>
  <c r="J31" i="20" l="1"/>
  <c r="J22" i="20"/>
  <c r="J65" i="20" l="1"/>
  <c r="J59" i="20"/>
  <c r="J55" i="20"/>
  <c r="J10" i="20"/>
  <c r="J8" i="20"/>
  <c r="J4" i="20"/>
  <c r="AN4" i="20" s="1"/>
  <c r="J5" i="20"/>
  <c r="J6" i="20"/>
  <c r="J14" i="20"/>
  <c r="J15" i="20"/>
  <c r="J17" i="20"/>
  <c r="J19" i="20"/>
  <c r="J23" i="20"/>
  <c r="J24" i="20"/>
  <c r="J33" i="20"/>
  <c r="J36" i="20"/>
  <c r="J51" i="20"/>
  <c r="J53" i="20"/>
  <c r="J63" i="20"/>
  <c r="J67" i="20"/>
  <c r="J69" i="20"/>
  <c r="J71" i="20"/>
  <c r="J72" i="20"/>
  <c r="Y3" i="10" l="1"/>
  <c r="Y2" i="10"/>
  <c r="Y1" i="10"/>
  <c r="J98" i="20" l="1"/>
  <c r="J1" i="20" l="1"/>
  <c r="CZ99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39" authorId="0" shapeId="0" xr:uid="{E46DDCC3-3BD5-4273-80BB-02BC8030360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Aumento a 400 , no se quien destino las cantidades por talla. 9/3/2026 esta mal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S57" authorId="0" shapeId="0" xr:uid="{77DB5C49-8C65-47DC-BA3D-380F827AF88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Aun se puede replantear este saldo
</t>
        </r>
      </text>
    </comment>
    <comment ref="S97" authorId="0" shapeId="0" xr:uid="{2C118A15-D52A-461E-85C8-457047919C1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Aun se puede aumentar</t>
        </r>
      </text>
    </comment>
    <comment ref="S101" authorId="0" shapeId="0" xr:uid="{DBB04FE3-D0C5-427A-991B-BF252D551F2A}">
      <text>
        <r>
          <rPr>
            <b/>
            <sz val="9"/>
            <color indexed="81"/>
            <rFont val="Tahoma"/>
            <family val="2"/>
          </rPr>
          <t>se lavó la mitad para despacho mayor , el saldo  Don Pedro decidio abrir en nuevo color (la mitad)</t>
        </r>
      </text>
    </comment>
  </commentList>
</comments>
</file>

<file path=xl/sharedStrings.xml><?xml version="1.0" encoding="utf-8"?>
<sst xmlns="http://schemas.openxmlformats.org/spreadsheetml/2006/main" count="7509" uniqueCount="489">
  <si>
    <t>Primavera 2026</t>
  </si>
  <si>
    <t>Venta</t>
  </si>
  <si>
    <t>Mayor</t>
  </si>
  <si>
    <t>Giro</t>
  </si>
  <si>
    <t>Tienda K</t>
  </si>
  <si>
    <t xml:space="preserve"> </t>
  </si>
  <si>
    <t>Tienda F</t>
  </si>
  <si>
    <t>Art.</t>
  </si>
  <si>
    <t>TELA</t>
  </si>
  <si>
    <t>Obsv</t>
  </si>
  <si>
    <t>4201-00</t>
  </si>
  <si>
    <t>Ibiza Blue</t>
  </si>
  <si>
    <t>Tiro</t>
  </si>
  <si>
    <t>Cintura</t>
  </si>
  <si>
    <t>Tallas</t>
  </si>
  <si>
    <t>TOTAL</t>
  </si>
  <si>
    <t>Fecha</t>
  </si>
  <si>
    <t>Bota</t>
  </si>
  <si>
    <t>Pitillo</t>
  </si>
  <si>
    <t>Corte Total</t>
  </si>
  <si>
    <t>11550</t>
  </si>
  <si>
    <t>Bio Focalizado</t>
  </si>
  <si>
    <t>11553</t>
  </si>
  <si>
    <t>Saldo</t>
  </si>
  <si>
    <t>4201-01</t>
  </si>
  <si>
    <t>Bio Focalizado Oxidado</t>
  </si>
  <si>
    <t>4201-60</t>
  </si>
  <si>
    <t>Tachas</t>
  </si>
  <si>
    <t>Total</t>
  </si>
  <si>
    <t>O.Corte</t>
  </si>
  <si>
    <t>Artículo</t>
  </si>
  <si>
    <t>Recto</t>
  </si>
  <si>
    <t>Tela</t>
  </si>
  <si>
    <t>EX 4189</t>
  </si>
  <si>
    <t>11566</t>
  </si>
  <si>
    <t>4203-00</t>
  </si>
  <si>
    <t>B2868-V3</t>
  </si>
  <si>
    <t>Medio</t>
  </si>
  <si>
    <t>Tobillero</t>
  </si>
  <si>
    <t>4203-01</t>
  </si>
  <si>
    <t>Dimarsa Marzo Urgente</t>
  </si>
  <si>
    <t>4204-00</t>
  </si>
  <si>
    <t>Flared</t>
  </si>
  <si>
    <t>EX 4112</t>
  </si>
  <si>
    <t>11567</t>
  </si>
  <si>
    <t>Flare</t>
  </si>
  <si>
    <t>Disponible después del giro</t>
  </si>
  <si>
    <t>4204-01</t>
  </si>
  <si>
    <t>4204-02</t>
  </si>
  <si>
    <t>4205-00</t>
  </si>
  <si>
    <t>Ayla</t>
  </si>
  <si>
    <t>Oxford</t>
  </si>
  <si>
    <t>11572</t>
  </si>
  <si>
    <t xml:space="preserve">Cintura </t>
  </si>
  <si>
    <t>4205-01</t>
  </si>
  <si>
    <t>4205-02</t>
  </si>
  <si>
    <t>4206-00</t>
  </si>
  <si>
    <t>11544/ Lv 1</t>
  </si>
  <si>
    <t>11544/ Lv 2</t>
  </si>
  <si>
    <t>4207-00</t>
  </si>
  <si>
    <t>4208-00</t>
  </si>
  <si>
    <t>4208-01</t>
  </si>
  <si>
    <t>4208-02</t>
  </si>
  <si>
    <t>4209-00</t>
  </si>
  <si>
    <t>4210-00</t>
  </si>
  <si>
    <t>4210-01</t>
  </si>
  <si>
    <t>4211-00</t>
  </si>
  <si>
    <t>4211-01</t>
  </si>
  <si>
    <t>4212-00</t>
  </si>
  <si>
    <t>4213-00</t>
  </si>
  <si>
    <t>11491LV</t>
  </si>
  <si>
    <t>Ex 4110</t>
  </si>
  <si>
    <t>Suavizado</t>
  </si>
  <si>
    <t>4213-01</t>
  </si>
  <si>
    <t>Marengo</t>
  </si>
  <si>
    <t>4213-02</t>
  </si>
  <si>
    <t>Lavado ???</t>
  </si>
  <si>
    <t>4214-00</t>
  </si>
  <si>
    <t>EX 4118</t>
  </si>
  <si>
    <t>Negro</t>
  </si>
  <si>
    <t>11559</t>
  </si>
  <si>
    <t>4214-01</t>
  </si>
  <si>
    <t>4214-02</t>
  </si>
  <si>
    <t>4214-60</t>
  </si>
  <si>
    <t>4216-00</t>
  </si>
  <si>
    <t>Missy Plus</t>
  </si>
  <si>
    <t>4218-00</t>
  </si>
  <si>
    <t>New  Glue</t>
  </si>
  <si>
    <t>11488 LV</t>
  </si>
  <si>
    <t>Ex 4122</t>
  </si>
  <si>
    <t>11554</t>
  </si>
  <si>
    <t>Lavado 1 Esteban Cole 42</t>
  </si>
  <si>
    <t>4218-01</t>
  </si>
  <si>
    <t>Lavado 2 Esteban  Cole 42</t>
  </si>
  <si>
    <t>4218-02</t>
  </si>
  <si>
    <t>New Glue</t>
  </si>
  <si>
    <t>Lavado 3 ??</t>
  </si>
  <si>
    <t>4219-00</t>
  </si>
  <si>
    <t>11498 LV</t>
  </si>
  <si>
    <t>Ex 4166</t>
  </si>
  <si>
    <t>11501 LV</t>
  </si>
  <si>
    <t>Lavado ?</t>
  </si>
  <si>
    <t>11546</t>
  </si>
  <si>
    <t>4219-01</t>
  </si>
  <si>
    <t>4219-02</t>
  </si>
  <si>
    <t>4220-00</t>
  </si>
  <si>
    <t>11490 LV</t>
  </si>
  <si>
    <t>Ex 4021</t>
  </si>
  <si>
    <t>11547</t>
  </si>
  <si>
    <t>4221-00</t>
  </si>
  <si>
    <t>11499 LV</t>
  </si>
  <si>
    <t>Ex 4015</t>
  </si>
  <si>
    <t>11565</t>
  </si>
  <si>
    <t>Black Blue Laser</t>
  </si>
  <si>
    <t>Recto Tobillero</t>
  </si>
  <si>
    <t>4221-01</t>
  </si>
  <si>
    <t>Oxidado   Laser</t>
  </si>
  <si>
    <t>4221-90</t>
  </si>
  <si>
    <t>GLITTER</t>
  </si>
  <si>
    <t>4222-00</t>
  </si>
  <si>
    <t>Cadera</t>
  </si>
  <si>
    <t>11483 LV</t>
  </si>
  <si>
    <t>Ex 4165</t>
  </si>
  <si>
    <t>11573</t>
  </si>
  <si>
    <t>Color Muestrario 42</t>
  </si>
  <si>
    <t>4223-00</t>
  </si>
  <si>
    <t>11543 L1 Activado</t>
  </si>
  <si>
    <t>11543 L2 Activado</t>
  </si>
  <si>
    <t>4224-00</t>
  </si>
  <si>
    <t>4224-01</t>
  </si>
  <si>
    <t>4225-00</t>
  </si>
  <si>
    <t>Ex 4169-00</t>
  </si>
  <si>
    <t>11494 LV</t>
  </si>
  <si>
    <t>4225-01</t>
  </si>
  <si>
    <t>Lavado Marengo?</t>
  </si>
  <si>
    <t>4226-00</t>
  </si>
  <si>
    <t xml:space="preserve">Jorge: Agotar Tela </t>
  </si>
  <si>
    <t>Ex 4135</t>
  </si>
  <si>
    <t>11570</t>
  </si>
  <si>
    <t>4226-01</t>
  </si>
  <si>
    <t>4227-00</t>
  </si>
  <si>
    <t>Recto   Tobillero</t>
  </si>
  <si>
    <t>Ex 4007</t>
  </si>
  <si>
    <t>11558</t>
  </si>
  <si>
    <t>4227-01</t>
  </si>
  <si>
    <t>4227-02</t>
  </si>
  <si>
    <t>4228-00</t>
  </si>
  <si>
    <t>Giro Jacqueline</t>
  </si>
  <si>
    <t>Gustavo Licencia</t>
  </si>
  <si>
    <t>4229-00</t>
  </si>
  <si>
    <t>4230-00</t>
  </si>
  <si>
    <t>Imperio Max</t>
  </si>
  <si>
    <t>Palazzo</t>
  </si>
  <si>
    <t>11536/ Lv1 Activado</t>
  </si>
  <si>
    <t>11536/ Lv2 Activado</t>
  </si>
  <si>
    <t>4231-00</t>
  </si>
  <si>
    <t>4232-00</t>
  </si>
  <si>
    <t>11510 LV</t>
  </si>
  <si>
    <t>Ex 4124</t>
  </si>
  <si>
    <t>Lavar Color Muestrario 42</t>
  </si>
  <si>
    <t>4233-00</t>
  </si>
  <si>
    <t>Lavinia</t>
  </si>
  <si>
    <t>Teñido Blanco</t>
  </si>
  <si>
    <t>4233-04</t>
  </si>
  <si>
    <t>Teñido Chocolate</t>
  </si>
  <si>
    <t>4233-08</t>
  </si>
  <si>
    <t>Teñido Ocre</t>
  </si>
  <si>
    <t>4233-09</t>
  </si>
  <si>
    <t>Teñido Verde Menta</t>
  </si>
  <si>
    <t>4233-16</t>
  </si>
  <si>
    <t>Teñido Verde Oliva</t>
  </si>
  <si>
    <t>4233-48</t>
  </si>
  <si>
    <t>Teñido Bordo</t>
  </si>
  <si>
    <t>4234-00</t>
  </si>
  <si>
    <t>4234-04</t>
  </si>
  <si>
    <t>4234-08</t>
  </si>
  <si>
    <t>4234-09</t>
  </si>
  <si>
    <t>4234-16</t>
  </si>
  <si>
    <t>4234-48</t>
  </si>
  <si>
    <t>4235-00</t>
  </si>
  <si>
    <t>11569</t>
  </si>
  <si>
    <t>4235-01</t>
  </si>
  <si>
    <t>4236-00</t>
  </si>
  <si>
    <t>4238-00</t>
  </si>
  <si>
    <t>X206-B1</t>
  </si>
  <si>
    <t>Jorge: Lleva reserva plastica en estrella</t>
  </si>
  <si>
    <t>4239-00</t>
  </si>
  <si>
    <t>11495 LV</t>
  </si>
  <si>
    <t>Ex 4169-01</t>
  </si>
  <si>
    <t>11561</t>
  </si>
  <si>
    <t>Gravillado Oscuro</t>
  </si>
  <si>
    <t>4240-00</t>
  </si>
  <si>
    <t>11504  LV</t>
  </si>
  <si>
    <t>Ex 4170-00</t>
  </si>
  <si>
    <t>11551</t>
  </si>
  <si>
    <t>4242-00</t>
  </si>
  <si>
    <t>Omar: Consultar a Jorge Figueroa por forro estrellas</t>
  </si>
  <si>
    <t>Forro Negro Bolsillos</t>
  </si>
  <si>
    <t>4243-00</t>
  </si>
  <si>
    <t>11518  LV</t>
  </si>
  <si>
    <t>NEW GLUE</t>
  </si>
  <si>
    <t>Ex 4142-00</t>
  </si>
  <si>
    <t>11578</t>
  </si>
  <si>
    <t>4244-00</t>
  </si>
  <si>
    <t>11505 LV</t>
  </si>
  <si>
    <t>Ex 4168 Hilo Petro</t>
  </si>
  <si>
    <t>4245-00</t>
  </si>
  <si>
    <t>11521 LV</t>
  </si>
  <si>
    <t>Ex 4128</t>
  </si>
  <si>
    <t>4246-00</t>
  </si>
  <si>
    <t>11481 LV</t>
  </si>
  <si>
    <t>Ex 4157-00</t>
  </si>
  <si>
    <t>4247-00</t>
  </si>
  <si>
    <t xml:space="preserve">Recto   </t>
  </si>
  <si>
    <t>11509 LV</t>
  </si>
  <si>
    <t>Ex 4189-00</t>
  </si>
  <si>
    <t>11549</t>
  </si>
  <si>
    <t>4248-00</t>
  </si>
  <si>
    <t>4248-01</t>
  </si>
  <si>
    <t>11580</t>
  </si>
  <si>
    <t>4249-00</t>
  </si>
  <si>
    <t>Outlander Black</t>
  </si>
  <si>
    <t>4249-60</t>
  </si>
  <si>
    <t>4251-60</t>
  </si>
  <si>
    <t>Stock Bodega</t>
  </si>
  <si>
    <t>4252-00</t>
  </si>
  <si>
    <t>4256-00</t>
  </si>
  <si>
    <t>4257-04</t>
  </si>
  <si>
    <t>4257-08</t>
  </si>
  <si>
    <t>4257-09</t>
  </si>
  <si>
    <t>4257-16</t>
  </si>
  <si>
    <t>4257-48</t>
  </si>
  <si>
    <t>12</t>
  </si>
  <si>
    <t>13</t>
  </si>
  <si>
    <t>24</t>
  </si>
  <si>
    <t>14</t>
  </si>
  <si>
    <t>S</t>
  </si>
  <si>
    <t>M</t>
  </si>
  <si>
    <t>L</t>
  </si>
  <si>
    <t>XL</t>
  </si>
  <si>
    <t>Girar o</t>
  </si>
  <si>
    <t>Compra</t>
  </si>
  <si>
    <t>Girar</t>
  </si>
  <si>
    <t>c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</si>
  <si>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</si>
  <si>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</si>
  <si>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</si>
  <si>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</si>
  <si>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</si>
  <si>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</si>
  <si>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</si>
  <si>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</si>
  <si>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</si>
  <si>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Disponible</t>
  </si>
  <si>
    <t>Kennedy</t>
  </si>
  <si>
    <t>13,01 hrs</t>
  </si>
  <si>
    <t>12,00 hrs</t>
  </si>
  <si>
    <t>15,25 hrs</t>
  </si>
  <si>
    <t>12,2 hrs</t>
  </si>
  <si>
    <t>10,21 hrs</t>
  </si>
  <si>
    <t>12,01 hrs</t>
  </si>
  <si>
    <t>12,39 hrs</t>
  </si>
  <si>
    <t>10 hrs</t>
  </si>
  <si>
    <t>J MHC CINTURA P</t>
  </si>
  <si>
    <t>Ventas</t>
  </si>
  <si>
    <t>J MHC CINTURA R</t>
  </si>
  <si>
    <t>J MHC MEDIO TOB</t>
  </si>
  <si>
    <t>J MHC MEDIO FLA</t>
  </si>
  <si>
    <t>J MHC CINTURA O</t>
  </si>
  <si>
    <t>J MHC MEDIO OXF</t>
  </si>
  <si>
    <t>J MHC CINTURA F</t>
  </si>
  <si>
    <t>J MHC MEDIO PIT</t>
  </si>
  <si>
    <t>J MHC MEDIO REC</t>
  </si>
  <si>
    <t>Blain Light</t>
  </si>
  <si>
    <t>J MHC CINTURA T</t>
  </si>
  <si>
    <t xml:space="preserve">J MHC CINTURA  </t>
  </si>
  <si>
    <t>J MHC CADERA PI</t>
  </si>
  <si>
    <t>J MHC  MEDIO FL</t>
  </si>
  <si>
    <t>J MHC CINT.RECT</t>
  </si>
  <si>
    <t>***50</t>
  </si>
  <si>
    <t>J MHC CINTURA W</t>
  </si>
  <si>
    <t>Girar/ Sin Tela</t>
  </si>
  <si>
    <t>***</t>
  </si>
  <si>
    <t>Disponibles</t>
  </si>
  <si>
    <t>Base al 24/3/26</t>
  </si>
  <si>
    <t xml:space="preserve">Total </t>
  </si>
  <si>
    <t>Pedido kennedy</t>
  </si>
  <si>
    <t>Pedido Nicole</t>
  </si>
  <si>
    <t>1)</t>
  </si>
  <si>
    <t>Stock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</si>
  <si>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</si>
  <si>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</si>
  <si>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</si>
  <si>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</si>
  <si>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</si>
  <si>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</si>
  <si>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</si>
  <si>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</si>
  <si>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</si>
  <si>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Magic  50</t>
  </si>
  <si>
    <t>11)</t>
  </si>
  <si>
    <t>G</t>
  </si>
  <si>
    <t>Sin Tela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</si>
  <si>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</si>
  <si>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</si>
  <si>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</si>
  <si>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</si>
  <si>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</si>
  <si>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</si>
  <si>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</si>
  <si>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</si>
  <si>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</si>
  <si>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</si>
  <si>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</si>
  <si>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Magic 50</t>
  </si>
  <si>
    <t>Lista de Precio Servicio de Lavandería</t>
  </si>
  <si>
    <t>Procesos Maquina</t>
  </si>
  <si>
    <t>Lista Precios Mohicano</t>
  </si>
  <si>
    <t>Lavado y Suavizado</t>
  </si>
  <si>
    <t>Bio Medio Oscuro</t>
  </si>
  <si>
    <t>Bio Medio Claro</t>
  </si>
  <si>
    <t>Bio Celeste</t>
  </si>
  <si>
    <t>Gravillado</t>
  </si>
  <si>
    <t>Oxidado</t>
  </si>
  <si>
    <t>Bigotes</t>
  </si>
  <si>
    <t>-</t>
  </si>
  <si>
    <t>Laser Delantero</t>
  </si>
  <si>
    <t>Laser Delantero y Trasero</t>
  </si>
  <si>
    <t>Manualidades</t>
  </si>
  <si>
    <t>Plastiflechas Pretinas x1</t>
  </si>
  <si>
    <t>Destroyed Delanteros x3</t>
  </si>
  <si>
    <t>Destroyed Traseros x2</t>
  </si>
  <si>
    <t>Esmeril Bastas</t>
  </si>
  <si>
    <t>Esmeril Bolsillos Delanteros</t>
  </si>
  <si>
    <t>Esmeril Bolsillos Traseros</t>
  </si>
  <si>
    <t>Focalizado</t>
  </si>
  <si>
    <t>Teñidos Orgánicos</t>
  </si>
  <si>
    <t>Teñido Nueces</t>
  </si>
  <si>
    <t>Teñidos Reactivo</t>
  </si>
  <si>
    <t>Teñido Colores</t>
  </si>
  <si>
    <t>Teñido Black &amp; Blue</t>
  </si>
  <si>
    <t>Teñido Blanco Óptico</t>
  </si>
  <si>
    <r>
      <t>Observación: Todas las tallas extra grandes, que superen el estándar normal de un jeans clásico, tendrán un sobre cargo de un </t>
    </r>
    <r>
      <rPr>
        <b/>
        <sz val="12"/>
        <rFont val="Aptos Display"/>
        <family val="2"/>
      </rPr>
      <t>20%</t>
    </r>
    <r>
      <rPr>
        <sz val="12"/>
        <rFont val="Aptos Display"/>
        <family val="2"/>
      </rPr>
      <t> del valor de esta lista de precios</t>
    </r>
  </si>
  <si>
    <t>BIOOSCURO FOCALIZADO 2 RELOJ ANCHO BOLS TRASERO CORTE 3 PINZA TRASERO</t>
  </si>
  <si>
    <t>CINTURA</t>
  </si>
  <si>
    <t>PITILLO</t>
  </si>
  <si>
    <t>BIOOSCURO FOCALIZADO 2 RELOJ ANCHO BOLS TRASERO CORTE 3 PINZA TRAS TACHAS 12PLANAS</t>
  </si>
  <si>
    <t>BLUE BLACK  FOCALIZADO SIN TACHAS</t>
  </si>
  <si>
    <t>4202-00</t>
  </si>
  <si>
    <t>BIO OSCURO FOCALIZADO2 RELOJ ANCHO  3 COSTURA ALTURA</t>
  </si>
  <si>
    <t>RECTO</t>
  </si>
  <si>
    <t>NEGRO CLASICO 3 PINZAS</t>
  </si>
  <si>
    <t>MEDIO</t>
  </si>
  <si>
    <t>TOBILLERO</t>
  </si>
  <si>
    <t xml:space="preserve">GRIS GRAVILLADO  CLASICO  3 PINZAS </t>
  </si>
  <si>
    <t xml:space="preserve">NEGRO   CLASICO  NEGRO 3 PINZAS </t>
  </si>
  <si>
    <t xml:space="preserve">MEDIO </t>
  </si>
  <si>
    <t>FLARE</t>
  </si>
  <si>
    <t>GRAVILLADO CLASICO NEGRO 3 PINZAS</t>
  </si>
  <si>
    <t>GRIS  FOCALIZADO  BOLS ARGENTINO ELASTICO PRETINA 2 PINZAS</t>
  </si>
  <si>
    <t>BIO OSCURO  FOCALIZADOSMART DENIM 2 PINZA TRASERO COSTADO</t>
  </si>
  <si>
    <t>OXFORD</t>
  </si>
  <si>
    <t>GRAVILLADO FOCALIZADOSMART DENIM 2 PINZA TRASERO COSTADO</t>
  </si>
  <si>
    <t>BIOMEDIO FOCALIZADOSMART DENIM 2 PINZA TRASERO COSTADO</t>
  </si>
  <si>
    <t>NEGRO1 RELOJERO APLICACIÓN ECO CUERO PRETINA 3PINZA TRASERO</t>
  </si>
  <si>
    <t xml:space="preserve">BIO OSCURO FOCALIZADO TENUE 2 RELOJERO TIPO OJAL 3 PINZA ALTURA </t>
  </si>
  <si>
    <t xml:space="preserve">GRAVILLADO FOCALIZADO TENUE 2 RELOJERO TIPO OJAL 3 PINZA ALTURA </t>
  </si>
  <si>
    <t xml:space="preserve"> FOCALIZADO TENUE 2 RELOJERO TIPO OJAL 3 PINZA ALTURA </t>
  </si>
  <si>
    <t xml:space="preserve">  NEGRO    RELOJERO OJAL APLICACIÓN ECO CUERO DEL/TRAS</t>
  </si>
  <si>
    <t>BIO MEDIO FOCALIZADO  TENUE 4 BOTONES   PINZA TRASEROS 2 COSTADO</t>
  </si>
  <si>
    <t>GRAVILLADO FOCALIZADO  4 BOTONES PINZA TRASEROS 2 COSTADO</t>
  </si>
  <si>
    <t>BIO OSCURO FOCALIZADOAZUL SUAVISADO SIN PRETINA  PRETINA  BOLSILLO ARGENTINA</t>
  </si>
  <si>
    <t>GRAVILLADO BIO MEDIO  PRETINA SIN PRETINA   BOLSILLO ARGENTINA</t>
  </si>
  <si>
    <t>NEGRO FOCALIZADO TENUE CLASICO 3 PINZAS ALTURA</t>
  </si>
  <si>
    <t>SUAVIZADO  FOCALIZADO TENUE  CLASICO 3 PINZAS ALTURA</t>
  </si>
  <si>
    <t xml:space="preserve">CINTURA </t>
  </si>
  <si>
    <t xml:space="preserve">NEGROCORTE  DELANTERO  3 PINZAS TRASERAS </t>
  </si>
  <si>
    <t xml:space="preserve">NEGRO FOCALIZADO    CORTE  DELANTERO  3 PINZAS TRASERAS </t>
  </si>
  <si>
    <t>MARENGO FOCALIZADOCORTE  DELANTERO  3 PINZAS TRASERAS  TACHAS PRETINA</t>
  </si>
  <si>
    <t xml:space="preserve">GRAVILLADO  FOCALIZADOCORTE  DELANTERO  3 PINZAS TRASERAS  </t>
  </si>
  <si>
    <t>BIOMEDIO FOCALIZADO PRETINA EN FORMA</t>
  </si>
  <si>
    <t>4217-00</t>
  </si>
  <si>
    <t>NEGRO  PARCHE DELANTERO</t>
  </si>
  <si>
    <t>BIO OSCURO FOCALIZADO 2 RELOJERO 3 PINZA TRSERO BOLSILLOS M CORTE PASADOR V</t>
  </si>
  <si>
    <t>GRAVILLADO  BIO 3 PINZA TRSERO BOLSIMO M CORTE PASADOR V</t>
  </si>
  <si>
    <t xml:space="preserve">  BIO 3 PINZA TRSERO BOLSIMO M CORTE PASADOR V</t>
  </si>
  <si>
    <t>BIOMEDIO FOCALIZADOFLECOS BOLS DELANT Y TRASEROS 2 PINZAS TRASERO</t>
  </si>
  <si>
    <t>BIOMEDO OXIDADO  FLECOS BOLS DELANT Y TRASEROS 2 PINZAS TRASERO</t>
  </si>
  <si>
    <t>4219-03</t>
  </si>
  <si>
    <t xml:space="preserve">  FLECOS BOLS DELANT Y TRASEROS 2 PINZAS TRASERO</t>
  </si>
  <si>
    <t>BIO MEDIOFOCALIZADO OXIDOCORTE  BOSILLO DELANTERO BOLSILLO TRAS CORTE  ALTURA 3 PINZAS</t>
  </si>
  <si>
    <t>BIOOSCURO FOCALIZADO PRETINA CRUZADA   3 PINZA TRASERO</t>
  </si>
  <si>
    <t>BIO MEDIO FOCALIZADOPRETINA CRUZADA  3 PINZA TRASERO</t>
  </si>
  <si>
    <t>BIO OSCURO GLITTERPRETINA CRUZADA  3 PINZA TRASERO</t>
  </si>
  <si>
    <t>BIOMEDIO   FOCALIZADO LASER  PASADOR BOLS TRAS/DELANTERO 3 COSTURA ALTURA</t>
  </si>
  <si>
    <t xml:space="preserve">CADERA </t>
  </si>
  <si>
    <t>NEGRO   ECO CUERO TAPETA FORMA</t>
  </si>
  <si>
    <t xml:space="preserve">BIOMEDIO BOTON DELANTERO 4 </t>
  </si>
  <si>
    <t>GRAVILLADO BOTON DELANTERO 4</t>
  </si>
  <si>
    <t xml:space="preserve"> NEGRO  3 PINZATRSERO BOLSILLO TRAS  RELOJ CORTE M PUSHIN PUSH UP</t>
  </si>
  <si>
    <t xml:space="preserve"> GRAVILLADO 3 PINZATRSERO BOLSILLO TRAS  RELOJ CORTE M PUSHIN PUSH UP</t>
  </si>
  <si>
    <t>BLUE BLACK FOCALIZADO  2 RELOJERO  ANCHO BOLS TRASERO  PINZA+CORTE ALTURA 3 PINZAS</t>
  </si>
  <si>
    <t xml:space="preserve">AZUL INDUSTRIAL   DOBLE RELOJERO  2 TONOS DE HILOS </t>
  </si>
  <si>
    <t>RECTO TOBI</t>
  </si>
  <si>
    <t xml:space="preserve">BIOMEDIO FOCALIZADODOBLE RELOJERO  2 TONOS DE HILOS </t>
  </si>
  <si>
    <t xml:space="preserve">  NEGRO     PRETINA ECO CUERO</t>
  </si>
  <si>
    <t>BIOSCURO  1 RELOJ 3 PINZA TRASERO PUSH IN PUSH UP</t>
  </si>
  <si>
    <t>BIOMEDIO FOCALIZADO  BOLSILLOS DELANTEROS    ALTURA EN FORMA 2AGUJAS</t>
  </si>
  <si>
    <t>PALAZZO</t>
  </si>
  <si>
    <t>BIO OSCURO  FOCALIZADO  FLECOS BOLS DELANT Y TRASEROS</t>
  </si>
  <si>
    <t>OCRE  CLASICO 2 PINZAS ALTURA</t>
  </si>
  <si>
    <t>CHOCOLATE CLASICO 2 PINZAS ALTURA</t>
  </si>
  <si>
    <t>VERDE MENTA CLASICO 2 PINZAS ALTURA</t>
  </si>
  <si>
    <t>VERDE OLIVA CLASICO 2 PINZAS TRAS</t>
  </si>
  <si>
    <t>BURDEO  CLASICO 2 PINZAS TRASERAS</t>
  </si>
  <si>
    <t xml:space="preserve"> CHOCOLATE RELOJERO EN PRETINA Y PASADOR TRASERO  V</t>
  </si>
  <si>
    <t>OCRE  RELOJERO EN PRETINA  Y PASADOR TRASERO   V</t>
  </si>
  <si>
    <t>VERDE MENTA  CLASICO 2 PINZAS TRASERAS</t>
  </si>
  <si>
    <t xml:space="preserve">BIOOSCURO FOCABIGOTES 2 CIERRES EN VISTA DELANTERO 3 PINZA TRASERO DREMEL BOLSILLOS </t>
  </si>
  <si>
    <t>BIOMEDIO FOCALIZADO  2 RELOJERO PASADORES  ANCHO BOLS TRASCORTE</t>
  </si>
  <si>
    <t>MARENGO  FOCALIZADO ESTRELLAS   BOLSILLO SIN BOLSILLOS TRASEROS</t>
  </si>
  <si>
    <t>GRAVILLADO   GRIS  3 PINZATRSERO BOLSILLO TRAS  RELOJCORTE M PUSHIN PUSH UP</t>
  </si>
  <si>
    <t>NEGRO1 RELOJERO CORTE TRASERO 1 PINZAS  BOLSILLOS TRASEROS M CORTE</t>
  </si>
  <si>
    <t>MARENGO FOCALIZADO ESTRELLAS COSTADO</t>
  </si>
  <si>
    <t>BIO OSCURO  FOCALIZADO3 PINZAS COSTURA ALTURA BOLSILLO DELANTERO 3 COSTURAS</t>
  </si>
  <si>
    <t>4243-01</t>
  </si>
  <si>
    <t>BIO MEDIO FOCALIZADO3 PINZAS COSTURA ALTURA BOLSILLO DELANTERO 3 COSTURAS</t>
  </si>
  <si>
    <t>BIOMEDIO FOCALIZADOPASADOR BOLS TRAS/DELANTERO 3 COSTURA ALTURA</t>
  </si>
  <si>
    <t>BIOFOCALIZADO MARENGO 1 RELOJERO GRANDE 3 PINZA ALTURA BOLSILLO OVALADO</t>
  </si>
  <si>
    <t>MEDIO FOCALIZADO   CORTE DELANTERO   PESPUNTE 2 PINZA TRASERO</t>
  </si>
  <si>
    <t>BIO MEDIO FOCALIZADO  BOLSILLOS TRASERO OVALADOS</t>
  </si>
  <si>
    <t>NEGRO     2 PINZA TRASERO  BOLSILLOS CUADRADOS  TRAS</t>
  </si>
  <si>
    <t>GRIS FOCALIZADO   2 PINZA TRASERO</t>
  </si>
  <si>
    <t>MARENGO FOLCALIZADO BOLSILLO BOLSA  DELANTERO</t>
  </si>
  <si>
    <t>MARENGO FOLCALIZADOTACHAS (18) REDONDA BOLSILLO B</t>
  </si>
  <si>
    <t>4250-00</t>
  </si>
  <si>
    <t>BIO OSCURO  CARGOTACHAS (10) PLANA NIQUEL GD BOL</t>
  </si>
  <si>
    <t>BIO OSCURO FOCALIZADO   2 RELOJERO ANCHO BOLS TRASEROS CON CORTE</t>
  </si>
  <si>
    <t>RELOJERO PRETINAS OCRE</t>
  </si>
  <si>
    <t>RELOJERO PRETINAS VERDE MENTA</t>
  </si>
  <si>
    <t>RELOJERO PRETINAS VERDE OLIVA</t>
  </si>
  <si>
    <t>RELOJERO PRETINAS BURDEO</t>
  </si>
  <si>
    <t>BIOOSCURO FOCALIZADO  CARGO</t>
  </si>
  <si>
    <t>EX 4168</t>
  </si>
  <si>
    <t>Bio Focalizado Oscuro</t>
  </si>
  <si>
    <t>Tachas ???</t>
  </si>
  <si>
    <t xml:space="preserve">Bio Focalizado </t>
  </si>
  <si>
    <t>Negro?</t>
  </si>
  <si>
    <t>Marengo?</t>
  </si>
  <si>
    <t>Gravillado?</t>
  </si>
  <si>
    <t>Inv. Julian</t>
  </si>
  <si>
    <t>PEDIDOS PENDIENTES POR ARTICULO</t>
  </si>
  <si>
    <t>ARTICULO :</t>
  </si>
  <si>
    <t>AYLA</t>
  </si>
  <si>
    <t xml:space="preserve">SABINA QUISPE PAIRO                               </t>
  </si>
  <si>
    <t xml:space="preserve">INVERSIONES JULIAN S.A.                           </t>
  </si>
  <si>
    <t xml:space="preserve">COMERCIAL JOSE ANDRES CARRASCO CID EIRL           </t>
  </si>
  <si>
    <t xml:space="preserve">K Y A BOUTIQUE OVALLE                             </t>
  </si>
  <si>
    <t xml:space="preserve">GERALDINA ROJAS ARACENA                           </t>
  </si>
  <si>
    <t xml:space="preserve">JETZABEL AGUIRRE ALVAREZ                          </t>
  </si>
  <si>
    <t xml:space="preserve">CAROLINA GALLARDO CEPEDA                          </t>
  </si>
  <si>
    <t>TOTAL COLOR 00</t>
  </si>
  <si>
    <t xml:space="preserve">FABIOLA BENAVENTE MEZA                            </t>
  </si>
  <si>
    <t xml:space="preserve">COM. CARMEN TEMER GONZALEZ SPA                    </t>
  </si>
  <si>
    <t xml:space="preserve">GLADYS VALDIVIA PEREZ EIRL                        </t>
  </si>
  <si>
    <t>TOTAL COLOR 01</t>
  </si>
  <si>
    <t xml:space="preserve">DOLLY S.A.                                        </t>
  </si>
  <si>
    <t>TOTAL COLOR 02</t>
  </si>
  <si>
    <t>Separar para Cambio de Tallas</t>
  </si>
  <si>
    <t>Etiquetar</t>
  </si>
  <si>
    <t>===&gt;</t>
  </si>
  <si>
    <t xml:space="preserve">Rebajar una talla  </t>
  </si>
  <si>
    <t>Art, Cambiado de talla</t>
  </si>
  <si>
    <t>Orden de corte para cuadrar cambio de talla</t>
  </si>
  <si>
    <t>Colección 42</t>
  </si>
  <si>
    <t>11543 / Lv1</t>
  </si>
  <si>
    <t>Falta lavar</t>
  </si>
  <si>
    <t>la</t>
  </si>
  <si>
    <t xml:space="preserve">otra mitad </t>
  </si>
  <si>
    <t xml:space="preserve">de </t>
  </si>
  <si>
    <t>la o. de corte</t>
  </si>
  <si>
    <t>11543 / Lv2</t>
  </si>
  <si>
    <t>Se envía a lavar la otra mitad del corte art.4223-00</t>
  </si>
  <si>
    <t>11536/ Lv1</t>
  </si>
  <si>
    <t>11536/ Lv2</t>
  </si>
  <si>
    <t>Lavado 2</t>
  </si>
  <si>
    <t>Art. 4230</t>
  </si>
  <si>
    <t>OK</t>
  </si>
  <si>
    <t>Lav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</si>
</sst>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&quot;$&quot;#,##0;[Red]&quot;$&quot;\-#,##0"/>
    <numFmt numFmtId="165" formatCode="_ &quot;$&quot;* #,##0_ ;_ &quot;$&quot;* \-#,##0_ ;_ &quot;$&quot;* &quot;-&quot;_ ;_ @_ "/>
    <numFmt numFmtId="166" formatCode="_ &quot;$&quot;* #,##0.00_ ;_ &quot;$&quot;* \-#,##0.00_ ;_ &quot;$&quot;* &quot;-&quot;??_ ;_ @_ "/>
    <numFmt numFmtId="167" formatCode="_-* #,##0.00\ &quot;€&quot;_-;\-* #,##0.00\ &quot;€&quot;_-;_-* &quot;-&quot;??\ &quot;€&quot;_-;_-@_-"/>
    <numFmt numFmtId="168" formatCode="_-* #,##0.00\ _€_-;\-* #,##0.00\ _€_-;_-* &quot;-&quot;??\ _€_-;_-@_-"/>
    <numFmt numFmtId="169" formatCode="0_ ;[Red]\-0\ "/>
    <numFmt numFmtId="170" formatCode="d\-m\-yy;@"/>
    <numFmt numFmtId="171" formatCode="_-&quot;$&quot;\ * #,##0.00_-;\-&quot;$&quot;\ * #,##0.00_-;_-&quot;$&quot;\ * &quot;-&quot;??_-;_-@_-"/>
    <numFmt numFmtId="172" formatCode="_-* #,##0.00_-;\-* #,##0.00_-;_-* &quot;-&quot;??_-;_-@_-"/>
    <numFmt numFmtId="173" formatCode="_-&quot;$&quot;\ * #,##0_-;\-&quot;$&quot;\ * #,##0_-;_-&quot;$&quot;\ * &quot;-&quot;_-;_-@_-"/>
    <numFmt numFmtId="174" formatCode="_-* #,##0_-;\-* #,##0_-;_-* &quot;-&quot;_-;_-@_-"/>
    <numFmt numFmtId="175" formatCode="0.0"/>
    <numFmt numFmtId="176" formatCode="dd/mm/yy;@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u/>
      <sz val="10"/>
      <color theme="10"/>
      <name val="Arial"/>
      <family val="2"/>
    </font>
    <font>
      <sz val="18"/>
      <color theme="3"/>
      <name val="Cambria"/>
      <family val="2"/>
      <scheme val="major"/>
    </font>
    <font>
      <sz val="10"/>
      <color indexed="72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0"/>
      <name val="Aptos Display"/>
      <family val="2"/>
    </font>
    <font>
      <sz val="10"/>
      <color rgb="FFC00000"/>
      <name val="Aptos Display"/>
      <family val="2"/>
    </font>
    <font>
      <sz val="10"/>
      <color theme="1"/>
      <name val="Aptos Display"/>
      <family val="2"/>
    </font>
    <font>
      <i/>
      <sz val="10"/>
      <name val="Aptos Display"/>
      <family val="2"/>
    </font>
    <font>
      <sz val="12"/>
      <color theme="3" tint="-0.499984740745262"/>
      <name val="Aptos Display"/>
      <family val="2"/>
    </font>
    <font>
      <sz val="9"/>
      <color theme="3" tint="-0.499984740745262"/>
      <name val="Aptos Display"/>
      <family val="2"/>
    </font>
    <font>
      <sz val="11"/>
      <color rgb="FFFF0000"/>
      <name val="Aptos Display"/>
      <family val="2"/>
    </font>
    <font>
      <b/>
      <sz val="10"/>
      <color rgb="FFFF0000"/>
      <name val="Aptos Display"/>
      <family val="2"/>
    </font>
    <font>
      <b/>
      <sz val="10"/>
      <color theme="8" tint="-0.499984740745262"/>
      <name val="Aptos Display"/>
      <family val="2"/>
    </font>
    <font>
      <b/>
      <sz val="10"/>
      <name val="Aptos Display"/>
      <family val="2"/>
    </font>
    <font>
      <b/>
      <sz val="10"/>
      <color theme="3" tint="-0.499984740745262"/>
      <name val="Aptos Display"/>
      <family val="2"/>
    </font>
    <font>
      <b/>
      <sz val="10"/>
      <color theme="2" tint="-0.89999084444715716"/>
      <name val="Aptos Display"/>
      <family val="2"/>
    </font>
    <font>
      <b/>
      <sz val="11"/>
      <name val="Aptos Display"/>
      <family val="2"/>
    </font>
    <font>
      <sz val="9"/>
      <name val="Aptos Display"/>
      <family val="2"/>
    </font>
    <font>
      <sz val="14"/>
      <color theme="1"/>
      <name val="Aptos Display"/>
      <family val="2"/>
    </font>
    <font>
      <b/>
      <sz val="14"/>
      <color theme="1"/>
      <name val="Aptos Display"/>
      <family val="2"/>
    </font>
    <font>
      <sz val="11"/>
      <name val="Aptos Display"/>
      <family val="2"/>
    </font>
    <font>
      <sz val="14"/>
      <color theme="4"/>
      <name val="Aptos Display"/>
      <family val="2"/>
    </font>
    <font>
      <b/>
      <sz val="20"/>
      <name val="Aptos Display"/>
      <family val="2"/>
    </font>
    <font>
      <b/>
      <sz val="12"/>
      <color rgb="FFC00000"/>
      <name val="Aptos Display"/>
      <family val="2"/>
    </font>
    <font>
      <b/>
      <sz val="11"/>
      <color rgb="FFFF0000"/>
      <name val="Aptos Display"/>
      <family val="2"/>
    </font>
    <font>
      <sz val="11"/>
      <color theme="3" tint="-0.499984740745262"/>
      <name val="Aptos Display"/>
      <family val="2"/>
    </font>
    <font>
      <b/>
      <sz val="14"/>
      <color theme="1"/>
      <name val="Calibri"/>
      <family val="2"/>
      <scheme val="minor"/>
    </font>
    <font>
      <b/>
      <sz val="12"/>
      <color rgb="FFFF0000"/>
      <name val="Aptos Display"/>
      <family val="2"/>
    </font>
    <font>
      <b/>
      <sz val="10"/>
      <color rgb="FFC00000"/>
      <name val="Aptos Display"/>
      <family val="2"/>
    </font>
    <font>
      <b/>
      <sz val="11"/>
      <color theme="3" tint="-0.499984740745262"/>
      <name val="Aptos Display"/>
      <family val="2"/>
    </font>
    <font>
      <b/>
      <u/>
      <sz val="22"/>
      <color theme="1"/>
      <name val="Calibri"/>
      <family val="2"/>
      <scheme val="minor"/>
    </font>
    <font>
      <b/>
      <sz val="20"/>
      <color theme="1"/>
      <name val="Aptos Display"/>
      <family val="2"/>
    </font>
    <font>
      <b/>
      <sz val="12"/>
      <color theme="3" tint="-0.499984740745262"/>
      <name val="Aptos Display"/>
      <family val="2"/>
    </font>
    <font>
      <b/>
      <sz val="11"/>
      <color rgb="FFC000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C00000"/>
      <name val="Aptos Display"/>
      <family val="2"/>
    </font>
    <font>
      <sz val="12"/>
      <name val="Aptos Display"/>
      <family val="2"/>
    </font>
    <font>
      <sz val="8"/>
      <name val="Aptos Display"/>
      <family val="2"/>
    </font>
    <font>
      <b/>
      <sz val="12"/>
      <color theme="1"/>
      <name val="Calibri"/>
      <family val="2"/>
      <scheme val="minor"/>
    </font>
    <font>
      <b/>
      <sz val="11"/>
      <color rgb="FFFFFF00"/>
      <name val="Aptos Display"/>
      <family val="2"/>
    </font>
    <font>
      <b/>
      <sz val="11"/>
      <color rgb="FFC00000"/>
      <name val="Aptos Display"/>
      <family val="2"/>
    </font>
    <font>
      <b/>
      <sz val="14"/>
      <color theme="3" tint="-0.499984740745262"/>
      <name val="Aptos Display"/>
      <family val="2"/>
    </font>
    <font>
      <b/>
      <sz val="12"/>
      <name val="Aptos Display"/>
      <family val="2"/>
    </font>
    <font>
      <b/>
      <sz val="12"/>
      <color rgb="FFFF0066"/>
      <name val="Aptos Display"/>
      <family val="2"/>
    </font>
    <font>
      <sz val="14"/>
      <color theme="4" tint="0.3999755851924192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b/>
      <sz val="11"/>
      <color theme="8" tint="-0.499984740745262"/>
      <name val="Aptos Display"/>
      <family val="2"/>
    </font>
    <font>
      <sz val="11"/>
      <color rgb="FFC00000"/>
      <name val="Aptos Display"/>
      <family val="2"/>
    </font>
    <font>
      <i/>
      <sz val="11"/>
      <name val="Aptos Display"/>
      <family val="2"/>
    </font>
    <font>
      <b/>
      <sz val="11"/>
      <color theme="2" tint="-0.89999084444715716"/>
      <name val="Aptos Display"/>
      <family val="2"/>
    </font>
    <font>
      <b/>
      <u/>
      <sz val="11"/>
      <color theme="1"/>
      <name val="Aptos Display"/>
      <family val="2"/>
    </font>
    <font>
      <sz val="14"/>
      <color theme="3" tint="-0.499984740745262"/>
      <name val="Aptos Display"/>
      <family val="2"/>
    </font>
    <font>
      <sz val="16"/>
      <color theme="1"/>
      <name val="Calibri"/>
      <family val="2"/>
      <scheme val="minor"/>
    </font>
    <font>
      <sz val="16"/>
      <color theme="1"/>
      <name val="Aptos Display"/>
      <family val="2"/>
    </font>
    <font>
      <sz val="16"/>
      <color theme="3" tint="-0.499984740745262"/>
      <name val="Aptos Display"/>
      <family val="2"/>
    </font>
    <font>
      <b/>
      <sz val="16"/>
      <color theme="3" tint="-0.499984740745262"/>
      <name val="Aptos Display"/>
      <family val="2"/>
    </font>
    <font>
      <b/>
      <sz val="16"/>
      <color theme="1"/>
      <name val="Calibri"/>
      <family val="2"/>
      <scheme val="minor"/>
    </font>
    <font>
      <b/>
      <sz val="16"/>
      <color rgb="FFC00000"/>
      <name val="Aptos Display"/>
      <family val="2"/>
    </font>
    <font>
      <b/>
      <sz val="18"/>
      <color theme="2" tint="-0.89999084444715716"/>
      <name val="Aptos Display"/>
      <family val="2"/>
    </font>
    <font>
      <b/>
      <sz val="11"/>
      <color rgb="FFFF0000"/>
      <name val="Calibri"/>
      <family val="2"/>
      <scheme val="minor"/>
    </font>
    <font>
      <b/>
      <sz val="14"/>
      <color theme="8" tint="-0.499984740745262"/>
      <name val="Aptos Display"/>
      <family val="2"/>
    </font>
    <font>
      <sz val="14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4" tint="-0.499984740745262"/>
      <name val="Aptos Display"/>
      <family val="2"/>
    </font>
    <font>
      <b/>
      <sz val="10"/>
      <color theme="0"/>
      <name val="Aptos Display"/>
      <family val="2"/>
    </font>
    <font>
      <sz val="10"/>
      <color theme="8" tint="-0.499984740745262"/>
      <name val="Aptos Display"/>
      <family val="2"/>
    </font>
    <font>
      <b/>
      <sz val="10"/>
      <color theme="1"/>
      <name val="Aptos Display"/>
      <family val="2"/>
    </font>
    <font>
      <sz val="10"/>
      <color rgb="FFFF0000"/>
      <name val="Aptos Display"/>
      <family val="2"/>
    </font>
    <font>
      <sz val="10"/>
      <color theme="3" tint="-0.499984740745262"/>
      <name val="Aptos Display"/>
      <family val="2"/>
    </font>
    <font>
      <sz val="10"/>
      <color theme="0"/>
      <name val="Aptos Display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b/>
      <sz val="10"/>
      <color rgb="FFFFFF00"/>
      <name val="Aptos Display"/>
      <family val="2"/>
    </font>
    <font>
      <b/>
      <u/>
      <sz val="10"/>
      <color theme="1"/>
      <name val="Aptos Display"/>
      <family val="2"/>
    </font>
    <font>
      <b/>
      <sz val="10"/>
      <color theme="9" tint="-0.249977111117893"/>
      <name val="Aptos Display"/>
      <family val="2"/>
    </font>
    <font>
      <b/>
      <sz val="16"/>
      <color theme="1"/>
      <name val="Aptos Display"/>
      <family val="2"/>
    </font>
    <font>
      <b/>
      <sz val="18"/>
      <color theme="1"/>
      <name val="Aptos Display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2" tint="-0.89999084444715716"/>
      <name val="Aptos Display"/>
      <family val="2"/>
    </font>
    <font>
      <b/>
      <sz val="18"/>
      <color theme="1"/>
      <name val="Calibri"/>
      <family val="2"/>
      <scheme val="minor"/>
    </font>
    <font>
      <b/>
      <sz val="14"/>
      <name val="Aptos Display"/>
      <family val="2"/>
    </font>
    <font>
      <sz val="12"/>
      <color theme="4"/>
      <name val="Aptos Display"/>
      <family val="2"/>
    </font>
    <font>
      <sz val="18"/>
      <color theme="1"/>
      <name val="Aptos Display"/>
      <family val="2"/>
    </font>
    <font>
      <sz val="12"/>
      <color theme="1"/>
      <name val="Calibri"/>
      <family val="2"/>
      <scheme val="minor"/>
    </font>
    <font>
      <b/>
      <sz val="14"/>
      <color rgb="FFFF0000"/>
      <name val="Aptos Display"/>
      <family val="2"/>
    </font>
    <font>
      <b/>
      <sz val="18"/>
      <color rgb="FFFF0000"/>
      <name val="Aptos Display"/>
      <family val="2"/>
    </font>
    <font>
      <b/>
      <sz val="20"/>
      <color rgb="FFFF0000"/>
      <name val="Aptos Display"/>
      <family val="2"/>
    </font>
    <font>
      <b/>
      <u/>
      <sz val="18"/>
      <color rgb="FFFF0000"/>
      <name val="Aptos Display"/>
      <family val="2"/>
    </font>
    <font>
      <b/>
      <sz val="18"/>
      <color theme="0"/>
      <name val="Aptos Display"/>
      <family val="2"/>
    </font>
    <font>
      <b/>
      <sz val="18"/>
      <name val="Aptos Display"/>
      <family val="2"/>
    </font>
    <font>
      <b/>
      <sz val="18"/>
      <color rgb="FFFFFF00"/>
      <name val="Aptos Display"/>
      <family val="2"/>
    </font>
    <font>
      <b/>
      <sz val="18"/>
      <color rgb="FFC00000"/>
      <name val="Aptos Display"/>
      <family val="2"/>
    </font>
    <font>
      <b/>
      <sz val="18"/>
      <color theme="9" tint="-0.249977111117893"/>
      <name val="Aptos Display"/>
      <family val="2"/>
    </font>
    <font>
      <b/>
      <sz val="16"/>
      <color theme="2" tint="-0.89999084444715716"/>
      <name val="Aptos Display"/>
      <family val="2"/>
    </font>
    <font>
      <b/>
      <sz val="16"/>
      <name val="Aptos Display"/>
      <family val="2"/>
    </font>
  </fonts>
  <fills count="6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CEE0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DFF"/>
        <bgColor indexed="64"/>
      </patternFill>
    </fill>
    <fill>
      <patternFill patternType="solid">
        <fgColor rgb="FFF9F98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3FDB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D5"/>
        <bgColor indexed="64"/>
      </patternFill>
    </fill>
  </fills>
  <borders count="9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8" tint="0.59996337778862885"/>
      </left>
      <right style="double">
        <color theme="8" tint="0.59996337778862885"/>
      </right>
      <top style="double">
        <color theme="8" tint="0.59996337778862885"/>
      </top>
      <bottom style="double">
        <color theme="8" tint="0.59996337778862885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theme="4" tint="-0.24994659260841701"/>
      </left>
      <right style="double">
        <color theme="4" tint="-0.24994659260841701"/>
      </right>
      <top style="double">
        <color theme="4" tint="-0.24994659260841701"/>
      </top>
      <bottom style="double">
        <color theme="4" tint="-0.24994659260841701"/>
      </bottom>
      <diagonal/>
    </border>
    <border>
      <left style="double">
        <color theme="8" tint="0.59996337778862885"/>
      </left>
      <right style="double">
        <color theme="8" tint="0.59996337778862885"/>
      </right>
      <top style="double">
        <color theme="8" tint="0.59996337778862885"/>
      </top>
      <bottom/>
      <diagonal/>
    </border>
    <border>
      <left style="thick">
        <color theme="8" tint="0.59996337778862885"/>
      </left>
      <right style="double">
        <color theme="8" tint="0.59996337778862885"/>
      </right>
      <top style="thick">
        <color theme="8" tint="0.59996337778862885"/>
      </top>
      <bottom style="double">
        <color theme="8" tint="0.59996337778862885"/>
      </bottom>
      <diagonal/>
    </border>
    <border>
      <left style="double">
        <color theme="8" tint="0.59996337778862885"/>
      </left>
      <right style="double">
        <color theme="8" tint="0.59996337778862885"/>
      </right>
      <top style="thick">
        <color theme="8" tint="0.59996337778862885"/>
      </top>
      <bottom style="double">
        <color theme="8" tint="0.59996337778862885"/>
      </bottom>
      <diagonal/>
    </border>
    <border>
      <left style="double">
        <color theme="8" tint="0.59996337778862885"/>
      </left>
      <right style="thick">
        <color theme="8" tint="0.59996337778862885"/>
      </right>
      <top style="thick">
        <color theme="8" tint="0.59996337778862885"/>
      </top>
      <bottom style="double">
        <color theme="8" tint="0.59996337778862885"/>
      </bottom>
      <diagonal/>
    </border>
    <border>
      <left style="thick">
        <color theme="8" tint="0.59996337778862885"/>
      </left>
      <right style="double">
        <color theme="8" tint="0.59996337778862885"/>
      </right>
      <top style="double">
        <color theme="8" tint="0.59996337778862885"/>
      </top>
      <bottom style="double">
        <color theme="8" tint="0.59996337778862885"/>
      </bottom>
      <diagonal/>
    </border>
    <border>
      <left style="double">
        <color theme="8" tint="0.59996337778862885"/>
      </left>
      <right style="thick">
        <color theme="8" tint="0.59996337778862885"/>
      </right>
      <top style="double">
        <color theme="8" tint="0.59996337778862885"/>
      </top>
      <bottom style="double">
        <color theme="8" tint="0.59996337778862885"/>
      </bottom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8" tint="0.59996337778862885"/>
      </left>
      <right style="double">
        <color theme="8" tint="0.59996337778862885"/>
      </right>
      <top style="double">
        <color theme="8" tint="0.59996337778862885"/>
      </top>
      <bottom/>
      <diagonal/>
    </border>
    <border>
      <left style="double">
        <color theme="8" tint="0.59996337778862885"/>
      </left>
      <right style="thick">
        <color theme="8" tint="0.59996337778862885"/>
      </right>
      <top style="double">
        <color theme="8" tint="0.59996337778862885"/>
      </top>
      <bottom/>
      <diagonal/>
    </border>
    <border>
      <left style="double">
        <color theme="4" tint="-0.499984740745262"/>
      </left>
      <right style="double">
        <color theme="4" tint="-0.499984740745262"/>
      </right>
      <top style="double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CEE0C"/>
      </left>
      <right style="double">
        <color rgb="FF0CEE0C"/>
      </right>
      <top style="double">
        <color rgb="FF0CEE0C"/>
      </top>
      <bottom style="double">
        <color rgb="FF0CEE0C"/>
      </bottom>
      <diagonal/>
    </border>
    <border>
      <left style="double">
        <color rgb="FF00B050"/>
      </left>
      <right style="double">
        <color rgb="FF00B050"/>
      </right>
      <top/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 style="double">
        <color theme="4" tint="-0.24994659260841701"/>
      </left>
      <right/>
      <top style="double">
        <color theme="4" tint="-0.24994659260841701"/>
      </top>
      <bottom style="double">
        <color theme="4" tint="-0.24994659260841701"/>
      </bottom>
      <diagonal/>
    </border>
    <border>
      <left/>
      <right style="double">
        <color theme="4" tint="-0.24994659260841701"/>
      </right>
      <top style="double">
        <color theme="4" tint="-0.24994659260841701"/>
      </top>
      <bottom style="double">
        <color theme="4" tint="-0.24994659260841701"/>
      </bottom>
      <diagonal/>
    </border>
    <border>
      <left style="double">
        <color theme="4" tint="-0.24994659260841701"/>
      </left>
      <right style="double">
        <color theme="4" tint="-0.24994659260841701"/>
      </right>
      <top/>
      <bottom style="double">
        <color theme="4" tint="-0.24994659260841701"/>
      </bottom>
      <diagonal/>
    </border>
    <border>
      <left style="double">
        <color rgb="FF0CEE0C"/>
      </left>
      <right style="double">
        <color rgb="FF0CEE0C"/>
      </right>
      <top style="double">
        <color rgb="FF0CEE0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8" tint="0.59996337778862885"/>
      </left>
      <right style="thick">
        <color theme="8" tint="0.59996337778862885"/>
      </right>
      <top style="thick">
        <color theme="8" tint="0.59996337778862885"/>
      </top>
      <bottom style="thick">
        <color theme="8" tint="0.59996337778862885"/>
      </bottom>
      <diagonal/>
    </border>
    <border>
      <left style="double">
        <color theme="8" tint="0.59996337778862885"/>
      </left>
      <right/>
      <top/>
      <bottom/>
      <diagonal/>
    </border>
    <border>
      <left style="thick">
        <color theme="8" tint="0.39994506668294322"/>
      </left>
      <right style="thick">
        <color theme="8" tint="0.39994506668294322"/>
      </right>
      <top style="thick">
        <color theme="8" tint="0.39994506668294322"/>
      </top>
      <bottom style="thick">
        <color theme="8" tint="0.39994506668294322"/>
      </bottom>
      <diagonal/>
    </border>
    <border>
      <left/>
      <right/>
      <top/>
      <bottom style="thick">
        <color theme="8" tint="0.59996337778862885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theme="8" tint="0.59996337778862885"/>
      </top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theme="8" tint="0.59996337778862885"/>
      </left>
      <right/>
      <top style="double">
        <color theme="8" tint="0.59996337778862885"/>
      </top>
      <bottom style="double">
        <color theme="8" tint="0.5999633777886288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8" tint="0.59996337778862885"/>
      </left>
      <right style="thick">
        <color theme="8" tint="0.59996337778862885"/>
      </right>
      <top style="medium">
        <color indexed="64"/>
      </top>
      <bottom style="thick">
        <color theme="8" tint="0.59996337778862885"/>
      </bottom>
      <diagonal/>
    </border>
    <border>
      <left style="thick">
        <color theme="8" tint="0.59996337778862885"/>
      </left>
      <right style="medium">
        <color indexed="64"/>
      </right>
      <top style="medium">
        <color indexed="64"/>
      </top>
      <bottom style="thick">
        <color theme="8" tint="0.59996337778862885"/>
      </bottom>
      <diagonal/>
    </border>
    <border>
      <left style="medium">
        <color indexed="64"/>
      </left>
      <right style="double">
        <color theme="8" tint="0.59996337778862885"/>
      </right>
      <top style="thick">
        <color theme="8" tint="0.59996337778862885"/>
      </top>
      <bottom style="double">
        <color theme="8" tint="0.59996337778862885"/>
      </bottom>
      <diagonal/>
    </border>
    <border>
      <left style="double">
        <color theme="8" tint="0.59996337778862885"/>
      </left>
      <right style="medium">
        <color indexed="64"/>
      </right>
      <top style="thick">
        <color theme="8" tint="0.59996337778862885"/>
      </top>
      <bottom style="double">
        <color theme="8" tint="0.59996337778862885"/>
      </bottom>
      <diagonal/>
    </border>
    <border>
      <left style="medium">
        <color indexed="64"/>
      </left>
      <right style="double">
        <color theme="8" tint="0.59996337778862885"/>
      </right>
      <top style="double">
        <color theme="8" tint="0.59996337778862885"/>
      </top>
      <bottom style="double">
        <color theme="8" tint="0.59996337778862885"/>
      </bottom>
      <diagonal/>
    </border>
    <border>
      <left style="double">
        <color theme="8" tint="0.59996337778862885"/>
      </left>
      <right style="medium">
        <color indexed="64"/>
      </right>
      <top style="double">
        <color theme="8" tint="0.59996337778862885"/>
      </top>
      <bottom style="double">
        <color theme="8" tint="0.59996337778862885"/>
      </bottom>
      <diagonal/>
    </border>
    <border>
      <left style="double">
        <color theme="8" tint="0.59996337778862885"/>
      </left>
      <right style="medium">
        <color indexed="64"/>
      </right>
      <top style="double">
        <color theme="8" tint="0.59996337778862885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theme="8" tint="0.59996337778862885"/>
      </left>
      <right style="medium">
        <color indexed="64"/>
      </right>
      <top style="thick">
        <color theme="8" tint="0.59996337778862885"/>
      </top>
      <bottom style="thick">
        <color theme="8" tint="0.59996337778862885"/>
      </bottom>
      <diagonal/>
    </border>
    <border>
      <left style="medium">
        <color indexed="64"/>
      </left>
      <right style="double">
        <color theme="8" tint="0.59996337778862885"/>
      </right>
      <top style="double">
        <color theme="8" tint="0.59996337778862885"/>
      </top>
      <bottom style="medium">
        <color indexed="64"/>
      </bottom>
      <diagonal/>
    </border>
    <border>
      <left style="double">
        <color theme="8" tint="0.59996337778862885"/>
      </left>
      <right style="double">
        <color theme="8" tint="0.59996337778862885"/>
      </right>
      <top style="double">
        <color theme="8" tint="0.59996337778862885"/>
      </top>
      <bottom style="medium">
        <color indexed="64"/>
      </bottom>
      <diagonal/>
    </border>
    <border>
      <left style="double">
        <color theme="8" tint="0.59996337778862885"/>
      </left>
      <right style="medium">
        <color indexed="64"/>
      </right>
      <top style="double">
        <color theme="8" tint="0.59996337778862885"/>
      </top>
      <bottom style="medium">
        <color indexed="64"/>
      </bottom>
      <diagonal/>
    </border>
    <border>
      <left style="thick">
        <color theme="8" tint="0.59996337778862885"/>
      </left>
      <right style="thick">
        <color theme="8" tint="0.59996337778862885"/>
      </right>
      <top/>
      <bottom style="thick">
        <color theme="8" tint="0.59996337778862885"/>
      </bottom>
      <diagonal/>
    </border>
    <border>
      <left style="double">
        <color theme="8" tint="0.59996337778862885"/>
      </left>
      <right/>
      <top style="double">
        <color theme="8" tint="0.59996337778862885"/>
      </top>
      <bottom style="thin">
        <color indexed="64"/>
      </bottom>
      <diagonal/>
    </border>
    <border>
      <left/>
      <right/>
      <top style="double">
        <color theme="8" tint="0.59996337778862885"/>
      </top>
      <bottom style="thin">
        <color indexed="64"/>
      </bottom>
      <diagonal/>
    </border>
    <border>
      <left/>
      <right style="double">
        <color theme="8" tint="0.59996337778862885"/>
      </right>
      <top style="double">
        <color theme="8" tint="0.59996337778862885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/>
      <diagonal/>
    </border>
    <border>
      <left style="double">
        <color theme="8" tint="0.59996337778862885"/>
      </left>
      <right style="double">
        <color theme="8" tint="0.59996337778862885"/>
      </right>
      <top/>
      <bottom/>
      <diagonal/>
    </border>
    <border>
      <left style="double">
        <color rgb="FF00B050"/>
      </left>
      <right style="double">
        <color rgb="FF00B050"/>
      </right>
      <top/>
      <bottom/>
      <diagonal/>
    </border>
    <border>
      <left style="thick">
        <color theme="8" tint="0.59996337778862885"/>
      </left>
      <right style="double">
        <color theme="8" tint="0.59996337778862885"/>
      </right>
      <top style="thin">
        <color indexed="64"/>
      </top>
      <bottom style="double">
        <color theme="8" tint="0.59996337778862885"/>
      </bottom>
      <diagonal/>
    </border>
    <border>
      <left style="double">
        <color theme="8" tint="0.59996337778862885"/>
      </left>
      <right style="double">
        <color theme="8" tint="0.59996337778862885"/>
      </right>
      <top style="thin">
        <color indexed="64"/>
      </top>
      <bottom style="double">
        <color theme="8" tint="0.59996337778862885"/>
      </bottom>
      <diagonal/>
    </border>
    <border>
      <left style="double">
        <color theme="8" tint="0.59996337778862885"/>
      </left>
      <right style="thick">
        <color theme="8" tint="0.59996337778862885"/>
      </right>
      <top style="thin">
        <color indexed="64"/>
      </top>
      <bottom style="double">
        <color theme="8" tint="0.59996337778862885"/>
      </bottom>
      <diagonal/>
    </border>
    <border>
      <left/>
      <right style="thin">
        <color indexed="64"/>
      </right>
      <top/>
      <bottom/>
      <diagonal/>
    </border>
    <border>
      <left style="thick">
        <color theme="8" tint="0.39994506668294322"/>
      </left>
      <right style="thick">
        <color theme="8" tint="0.39994506668294322"/>
      </right>
      <top style="thick">
        <color theme="8" tint="0.399945066682943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19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171" fontId="2" fillId="0" borderId="0" applyFont="0" applyFill="0" applyBorder="0" applyAlignment="0" applyProtection="0"/>
    <xf numFmtId="0" fontId="2" fillId="0" borderId="0"/>
    <xf numFmtId="0" fontId="21" fillId="0" borderId="0"/>
    <xf numFmtId="167" fontId="19" fillId="0" borderId="0" applyFont="0" applyFill="0" applyBorder="0" applyAlignment="0" applyProtection="0"/>
    <xf numFmtId="0" fontId="22" fillId="34" borderId="0" applyNumberFormat="0" applyBorder="0" applyAlignment="0" applyProtection="0"/>
    <xf numFmtId="0" fontId="23" fillId="6" borderId="4" applyNumberFormat="0" applyAlignment="0" applyProtection="0"/>
    <xf numFmtId="0" fontId="24" fillId="7" borderId="4" applyNumberFormat="0" applyAlignment="0" applyProtection="0"/>
    <xf numFmtId="0" fontId="20" fillId="0" borderId="0"/>
    <xf numFmtId="0" fontId="18" fillId="0" borderId="0"/>
    <xf numFmtId="0" fontId="2" fillId="0" borderId="0"/>
    <xf numFmtId="0" fontId="18" fillId="0" borderId="0"/>
    <xf numFmtId="167" fontId="18" fillId="0" borderId="0" applyFont="0" applyFill="0" applyBorder="0" applyAlignment="0" applyProtection="0"/>
    <xf numFmtId="0" fontId="19" fillId="0" borderId="0"/>
    <xf numFmtId="0" fontId="25" fillId="0" borderId="0" applyNumberForma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18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1" fillId="0" borderId="0"/>
    <xf numFmtId="0" fontId="22" fillId="34" borderId="0" applyNumberFormat="0" applyBorder="0" applyAlignment="0" applyProtection="0"/>
    <xf numFmtId="0" fontId="2" fillId="0" borderId="0"/>
    <xf numFmtId="0" fontId="18" fillId="0" borderId="0"/>
    <xf numFmtId="0" fontId="18" fillId="0" borderId="0"/>
    <xf numFmtId="0" fontId="19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9" borderId="0" applyNumberFormat="0" applyBorder="0" applyAlignment="0" applyProtection="0"/>
    <xf numFmtId="0" fontId="18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9" fillId="0" borderId="0"/>
    <xf numFmtId="0" fontId="19" fillId="0" borderId="0"/>
    <xf numFmtId="0" fontId="26" fillId="0" borderId="0" applyNumberFormat="0" applyFill="0" applyBorder="0" applyAlignment="0" applyProtection="0"/>
    <xf numFmtId="0" fontId="27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16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28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0" borderId="0"/>
    <xf numFmtId="0" fontId="25" fillId="0" borderId="0" applyNumberFormat="0" applyFill="0" applyBorder="0" applyAlignment="0" applyProtection="0">
      <alignment vertical="top"/>
      <protection locked="0"/>
    </xf>
    <xf numFmtId="168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0" borderId="0"/>
    <xf numFmtId="171" fontId="2" fillId="0" borderId="0" applyFont="0" applyFill="0" applyBorder="0" applyAlignment="0" applyProtection="0"/>
    <xf numFmtId="0" fontId="29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2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664">
    <xf numFmtId="0" fontId="0" fillId="0" borderId="0" xfId="0"/>
    <xf numFmtId="0" fontId="31" fillId="0" borderId="0" xfId="0" applyFont="1" applyAlignment="1">
      <alignment horizontal="center"/>
    </xf>
    <xf numFmtId="0" fontId="35" fillId="0" borderId="10" xfId="0" applyFont="1" applyBorder="1" applyAlignment="1">
      <alignment horizontal="center" vertical="center"/>
    </xf>
    <xf numFmtId="170" fontId="34" fillId="0" borderId="10" xfId="0" applyNumberFormat="1" applyFont="1" applyBorder="1" applyAlignment="1">
      <alignment horizontal="center" vertical="center"/>
    </xf>
    <xf numFmtId="170" fontId="33" fillId="0" borderId="10" xfId="0" applyNumberFormat="1" applyFont="1" applyBorder="1" applyAlignment="1">
      <alignment horizontal="center" vertical="center"/>
    </xf>
    <xf numFmtId="169" fontId="35" fillId="0" borderId="10" xfId="0" applyNumberFormat="1" applyFont="1" applyBorder="1" applyAlignment="1">
      <alignment horizontal="center" vertical="center"/>
    </xf>
    <xf numFmtId="49" fontId="35" fillId="0" borderId="10" xfId="0" applyNumberFormat="1" applyFont="1" applyBorder="1" applyAlignment="1">
      <alignment horizontal="center" vertical="center"/>
    </xf>
    <xf numFmtId="1" fontId="42" fillId="0" borderId="10" xfId="0" applyNumberFormat="1" applyFont="1" applyBorder="1" applyAlignment="1">
      <alignment horizontal="center" vertical="center"/>
    </xf>
    <xf numFmtId="169" fontId="42" fillId="0" borderId="10" xfId="0" applyNumberFormat="1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170" fontId="34" fillId="0" borderId="15" xfId="0" applyNumberFormat="1" applyFont="1" applyBorder="1" applyAlignment="1">
      <alignment horizontal="center" vertical="center"/>
    </xf>
    <xf numFmtId="49" fontId="37" fillId="0" borderId="15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169" fontId="43" fillId="0" borderId="18" xfId="0" applyNumberFormat="1" applyFont="1" applyBorder="1" applyAlignment="1">
      <alignment horizontal="center" vertical="center"/>
    </xf>
    <xf numFmtId="169" fontId="41" fillId="0" borderId="10" xfId="0" applyNumberFormat="1" applyFont="1" applyBorder="1" applyAlignment="1">
      <alignment horizontal="center" vertical="center"/>
    </xf>
    <xf numFmtId="169" fontId="41" fillId="0" borderId="1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0" fontId="34" fillId="0" borderId="13" xfId="0" applyNumberFormat="1" applyFont="1" applyBorder="1" applyAlignment="1">
      <alignment horizontal="center" vertical="center"/>
    </xf>
    <xf numFmtId="169" fontId="35" fillId="0" borderId="13" xfId="0" applyNumberFormat="1" applyFont="1" applyBorder="1" applyAlignment="1">
      <alignment horizontal="center" vertical="center"/>
    </xf>
    <xf numFmtId="49" fontId="35" fillId="0" borderId="13" xfId="0" applyNumberFormat="1" applyFont="1" applyBorder="1" applyAlignment="1">
      <alignment horizontal="center" vertical="center"/>
    </xf>
    <xf numFmtId="169" fontId="41" fillId="0" borderId="13" xfId="0" applyNumberFormat="1" applyFont="1" applyBorder="1" applyAlignment="1">
      <alignment horizontal="center" vertical="center"/>
    </xf>
    <xf numFmtId="169" fontId="41" fillId="0" borderId="21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37" borderId="24" xfId="0" applyFont="1" applyFill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6" fontId="47" fillId="0" borderId="0" xfId="0" applyNumberFormat="1" applyFont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49" fontId="48" fillId="0" borderId="13" xfId="0" applyNumberFormat="1" applyFont="1" applyBorder="1" applyAlignment="1">
      <alignment horizontal="center" vertical="center"/>
    </xf>
    <xf numFmtId="49" fontId="48" fillId="0" borderId="10" xfId="0" applyNumberFormat="1" applyFont="1" applyBorder="1" applyAlignment="1">
      <alignment horizontal="center" vertical="center"/>
    </xf>
    <xf numFmtId="169" fontId="45" fillId="0" borderId="14" xfId="0" applyNumberFormat="1" applyFont="1" applyBorder="1" applyAlignment="1">
      <alignment horizontal="center" vertical="center"/>
    </xf>
    <xf numFmtId="169" fontId="45" fillId="0" borderId="17" xfId="0" applyNumberFormat="1" applyFont="1" applyBorder="1" applyAlignment="1">
      <alignment horizontal="center" vertical="center"/>
    </xf>
    <xf numFmtId="169" fontId="45" fillId="0" borderId="20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36" fillId="40" borderId="15" xfId="0" applyFont="1" applyFill="1" applyBorder="1" applyAlignment="1">
      <alignment horizontal="center" vertical="center"/>
    </xf>
    <xf numFmtId="169" fontId="34" fillId="40" borderId="10" xfId="0" applyNumberFormat="1" applyFont="1" applyFill="1" applyBorder="1" applyAlignment="1">
      <alignment horizontal="center" vertical="center"/>
    </xf>
    <xf numFmtId="169" fontId="40" fillId="40" borderId="10" xfId="0" applyNumberFormat="1" applyFont="1" applyFill="1" applyBorder="1" applyAlignment="1">
      <alignment horizontal="center" vertical="center"/>
    </xf>
    <xf numFmtId="49" fontId="39" fillId="40" borderId="10" xfId="0" applyNumberFormat="1" applyFont="1" applyFill="1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49" fontId="35" fillId="0" borderId="33" xfId="0" applyNumberFormat="1" applyFont="1" applyBorder="1" applyAlignment="1">
      <alignment horizontal="center" vertical="center"/>
    </xf>
    <xf numFmtId="169" fontId="45" fillId="0" borderId="35" xfId="0" applyNumberFormat="1" applyFont="1" applyBorder="1" applyAlignment="1">
      <alignment horizontal="center" vertical="center"/>
    </xf>
    <xf numFmtId="170" fontId="34" fillId="2" borderId="35" xfId="0" applyNumberFormat="1" applyFont="1" applyFill="1" applyBorder="1" applyAlignment="1">
      <alignment horizontal="center" vertical="center"/>
    </xf>
    <xf numFmtId="169" fontId="44" fillId="2" borderId="35" xfId="0" applyNumberFormat="1" applyFont="1" applyFill="1" applyBorder="1" applyAlignment="1">
      <alignment horizontal="center" vertical="center"/>
    </xf>
    <xf numFmtId="49" fontId="44" fillId="2" borderId="35" xfId="0" applyNumberFormat="1" applyFont="1" applyFill="1" applyBorder="1" applyAlignment="1">
      <alignment horizontal="center" vertical="center"/>
    </xf>
    <xf numFmtId="169" fontId="54" fillId="40" borderId="10" xfId="0" applyNumberFormat="1" applyFont="1" applyFill="1" applyBorder="1" applyAlignment="1">
      <alignment horizontal="center" vertical="center"/>
    </xf>
    <xf numFmtId="169" fontId="54" fillId="40" borderId="18" xfId="0" applyNumberFormat="1" applyFont="1" applyFill="1" applyBorder="1" applyAlignment="1">
      <alignment horizontal="center" vertical="center"/>
    </xf>
    <xf numFmtId="170" fontId="57" fillId="0" borderId="10" xfId="0" applyNumberFormat="1" applyFont="1" applyBorder="1" applyAlignment="1">
      <alignment horizontal="center" vertical="center"/>
    </xf>
    <xf numFmtId="170" fontId="52" fillId="39" borderId="10" xfId="0" applyNumberFormat="1" applyFont="1" applyFill="1" applyBorder="1" applyAlignment="1">
      <alignment horizontal="center" vertical="center"/>
    </xf>
    <xf numFmtId="170" fontId="52" fillId="37" borderId="10" xfId="0" applyNumberFormat="1" applyFont="1" applyFill="1" applyBorder="1" applyAlignment="1">
      <alignment horizontal="center" vertical="center"/>
    </xf>
    <xf numFmtId="169" fontId="55" fillId="0" borderId="23" xfId="0" applyNumberFormat="1" applyFont="1" applyBorder="1"/>
    <xf numFmtId="170" fontId="56" fillId="39" borderId="10" xfId="0" applyNumberFormat="1" applyFont="1" applyFill="1" applyBorder="1" applyAlignment="1">
      <alignment horizontal="center" vertical="center"/>
    </xf>
    <xf numFmtId="170" fontId="57" fillId="39" borderId="10" xfId="0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169" fontId="61" fillId="0" borderId="18" xfId="0" applyNumberFormat="1" applyFont="1" applyBorder="1" applyAlignment="1">
      <alignment horizontal="center" vertical="center"/>
    </xf>
    <xf numFmtId="169" fontId="44" fillId="39" borderId="35" xfId="0" applyNumberFormat="1" applyFont="1" applyFill="1" applyBorder="1" applyAlignment="1">
      <alignment horizontal="center" vertical="center"/>
    </xf>
    <xf numFmtId="0" fontId="62" fillId="39" borderId="0" xfId="0" applyFont="1" applyFill="1" applyAlignment="1">
      <alignment horizontal="center" vertical="center"/>
    </xf>
    <xf numFmtId="49" fontId="48" fillId="42" borderId="10" xfId="0" applyNumberFormat="1" applyFont="1" applyFill="1" applyBorder="1" applyAlignment="1">
      <alignment horizontal="center" vertical="center"/>
    </xf>
    <xf numFmtId="169" fontId="40" fillId="39" borderId="35" xfId="0" applyNumberFormat="1" applyFont="1" applyFill="1" applyBorder="1" applyAlignment="1">
      <alignment horizontal="center" vertical="center"/>
    </xf>
    <xf numFmtId="16" fontId="48" fillId="0" borderId="0" xfId="0" applyNumberFormat="1" applyFont="1" applyAlignment="1">
      <alignment horizontal="center" vertical="center"/>
    </xf>
    <xf numFmtId="0" fontId="46" fillId="55" borderId="23" xfId="0" applyFont="1" applyFill="1" applyBorder="1" applyAlignment="1">
      <alignment horizontal="left" vertical="center"/>
    </xf>
    <xf numFmtId="0" fontId="66" fillId="55" borderId="23" xfId="0" applyFont="1" applyFill="1" applyBorder="1" applyAlignment="1">
      <alignment horizontal="left" vertical="center"/>
    </xf>
    <xf numFmtId="0" fontId="33" fillId="55" borderId="23" xfId="0" applyFont="1" applyFill="1" applyBorder="1" applyAlignment="1">
      <alignment vertical="center"/>
    </xf>
    <xf numFmtId="0" fontId="33" fillId="55" borderId="23" xfId="0" applyFont="1" applyFill="1" applyBorder="1" applyAlignment="1">
      <alignment horizontal="left" vertical="center"/>
    </xf>
    <xf numFmtId="0" fontId="65" fillId="55" borderId="23" xfId="0" applyFont="1" applyFill="1" applyBorder="1" applyAlignment="1">
      <alignment horizontal="center" vertical="center"/>
    </xf>
    <xf numFmtId="165" fontId="0" fillId="55" borderId="23" xfId="2454" applyFont="1" applyFill="1" applyBorder="1"/>
    <xf numFmtId="170" fontId="64" fillId="39" borderId="10" xfId="0" applyNumberFormat="1" applyFont="1" applyFill="1" applyBorder="1" applyAlignment="1">
      <alignment horizontal="center" vertical="center"/>
    </xf>
    <xf numFmtId="169" fontId="67" fillId="0" borderId="0" xfId="0" applyNumberFormat="1" applyFont="1" applyAlignment="1">
      <alignment horizontal="center" vertical="center"/>
    </xf>
    <xf numFmtId="169" fontId="58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5" fillId="0" borderId="0" xfId="0" applyFont="1" applyAlignment="1">
      <alignment vertical="center"/>
    </xf>
    <xf numFmtId="0" fontId="65" fillId="0" borderId="23" xfId="0" applyFont="1" applyBorder="1" applyAlignment="1">
      <alignment horizontal="center" vertical="center"/>
    </xf>
    <xf numFmtId="0" fontId="33" fillId="0" borderId="23" xfId="0" applyFont="1" applyBorder="1" applyAlignment="1">
      <alignment horizontal="left" vertical="center"/>
    </xf>
    <xf numFmtId="165" fontId="0" fillId="0" borderId="23" xfId="2454" applyFont="1" applyFill="1" applyBorder="1"/>
    <xf numFmtId="0" fontId="46" fillId="0" borderId="23" xfId="0" applyFont="1" applyBorder="1" applyAlignment="1">
      <alignment horizontal="left" vertical="center"/>
    </xf>
    <xf numFmtId="0" fontId="65" fillId="51" borderId="23" xfId="0" applyFont="1" applyFill="1" applyBorder="1" applyAlignment="1">
      <alignment horizontal="center" vertical="center"/>
    </xf>
    <xf numFmtId="0" fontId="46" fillId="51" borderId="23" xfId="0" applyFont="1" applyFill="1" applyBorder="1" applyAlignment="1">
      <alignment horizontal="left" vertical="center"/>
    </xf>
    <xf numFmtId="0" fontId="33" fillId="51" borderId="23" xfId="0" applyFont="1" applyFill="1" applyBorder="1" applyAlignment="1">
      <alignment horizontal="left" vertical="center"/>
    </xf>
    <xf numFmtId="165" fontId="0" fillId="51" borderId="23" xfId="2454" applyFont="1" applyFill="1" applyBorder="1"/>
    <xf numFmtId="20" fontId="50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69" fillId="2" borderId="34" xfId="0" applyFont="1" applyFill="1" applyBorder="1" applyAlignment="1">
      <alignment horizontal="center" vertical="center"/>
    </xf>
    <xf numFmtId="169" fontId="69" fillId="2" borderId="14" xfId="0" applyNumberFormat="1" applyFont="1" applyFill="1" applyBorder="1" applyAlignment="1">
      <alignment horizontal="center" vertical="center"/>
    </xf>
    <xf numFmtId="169" fontId="69" fillId="2" borderId="17" xfId="0" applyNumberFormat="1" applyFont="1" applyFill="1" applyBorder="1" applyAlignment="1">
      <alignment horizontal="center" vertical="center"/>
    </xf>
    <xf numFmtId="0" fontId="48" fillId="42" borderId="10" xfId="0" applyFont="1" applyFill="1" applyBorder="1" applyAlignment="1">
      <alignment horizontal="center" vertical="center"/>
    </xf>
    <xf numFmtId="169" fontId="70" fillId="0" borderId="18" xfId="0" applyNumberFormat="1" applyFont="1" applyBorder="1" applyAlignment="1">
      <alignment horizontal="center" vertical="center"/>
    </xf>
    <xf numFmtId="0" fontId="15" fillId="37" borderId="40" xfId="0" applyFont="1" applyFill="1" applyBorder="1"/>
    <xf numFmtId="0" fontId="15" fillId="37" borderId="41" xfId="0" applyFont="1" applyFill="1" applyBorder="1"/>
    <xf numFmtId="0" fontId="15" fillId="37" borderId="42" xfId="0" applyFont="1" applyFill="1" applyBorder="1"/>
    <xf numFmtId="0" fontId="65" fillId="61" borderId="0" xfId="0" applyFont="1" applyFill="1" applyAlignment="1">
      <alignment horizontal="center" vertical="center" wrapText="1"/>
    </xf>
    <xf numFmtId="164" fontId="65" fillId="61" borderId="45" xfId="0" applyNumberFormat="1" applyFont="1" applyFill="1" applyBorder="1" applyAlignment="1">
      <alignment horizontal="center" vertical="center" wrapText="1"/>
    </xf>
    <xf numFmtId="0" fontId="72" fillId="62" borderId="37" xfId="0" applyFont="1" applyFill="1" applyBorder="1" applyAlignment="1">
      <alignment horizontal="center" vertical="center" wrapText="1"/>
    </xf>
    <xf numFmtId="0" fontId="65" fillId="61" borderId="44" xfId="0" applyFont="1" applyFill="1" applyBorder="1" applyAlignment="1">
      <alignment horizontal="center" vertical="center" wrapText="1"/>
    </xf>
    <xf numFmtId="0" fontId="65" fillId="61" borderId="43" xfId="0" applyFont="1" applyFill="1" applyBorder="1" applyAlignment="1">
      <alignment horizontal="center" vertical="center" wrapText="1"/>
    </xf>
    <xf numFmtId="0" fontId="65" fillId="61" borderId="23" xfId="0" applyFont="1" applyFill="1" applyBorder="1" applyAlignment="1">
      <alignment horizontal="center" vertical="center" wrapText="1"/>
    </xf>
    <xf numFmtId="0" fontId="72" fillId="62" borderId="53" xfId="0" applyFont="1" applyFill="1" applyBorder="1" applyAlignment="1">
      <alignment horizontal="center" vertical="center" wrapText="1"/>
    </xf>
    <xf numFmtId="0" fontId="65" fillId="61" borderId="54" xfId="0" applyFont="1" applyFill="1" applyBorder="1" applyAlignment="1">
      <alignment horizontal="center" vertical="center" wrapText="1"/>
    </xf>
    <xf numFmtId="0" fontId="72" fillId="62" borderId="55" xfId="0" applyFont="1" applyFill="1" applyBorder="1" applyAlignment="1">
      <alignment horizontal="center" vertical="center" wrapText="1"/>
    </xf>
    <xf numFmtId="0" fontId="65" fillId="61" borderId="37" xfId="0" applyFont="1" applyFill="1" applyBorder="1" applyAlignment="1">
      <alignment horizontal="center" vertical="center" wrapText="1"/>
    </xf>
    <xf numFmtId="0" fontId="65" fillId="61" borderId="45" xfId="0" applyFont="1" applyFill="1" applyBorder="1" applyAlignment="1">
      <alignment horizontal="center" vertical="center" wrapText="1"/>
    </xf>
    <xf numFmtId="0" fontId="65" fillId="62" borderId="37" xfId="0" applyFont="1" applyFill="1" applyBorder="1" applyAlignment="1">
      <alignment horizontal="center" vertical="center" wrapText="1"/>
    </xf>
    <xf numFmtId="0" fontId="65" fillId="62" borderId="56" xfId="0" applyFont="1" applyFill="1" applyBorder="1" applyAlignment="1">
      <alignment horizontal="center" vertical="center" wrapText="1"/>
    </xf>
    <xf numFmtId="0" fontId="65" fillId="61" borderId="57" xfId="0" applyFont="1" applyFill="1" applyBorder="1" applyAlignment="1">
      <alignment horizontal="center" vertical="center" wrapText="1"/>
    </xf>
    <xf numFmtId="164" fontId="65" fillId="61" borderId="58" xfId="0" applyNumberFormat="1" applyFont="1" applyFill="1" applyBorder="1" applyAlignment="1">
      <alignment horizontal="center" vertical="center" wrapText="1"/>
    </xf>
    <xf numFmtId="0" fontId="71" fillId="61" borderId="31" xfId="0" applyFont="1" applyFill="1" applyBorder="1" applyAlignment="1">
      <alignment vertical="center" wrapText="1"/>
    </xf>
    <xf numFmtId="17" fontId="71" fillId="61" borderId="31" xfId="0" applyNumberFormat="1" applyFont="1" applyFill="1" applyBorder="1" applyAlignment="1">
      <alignment vertical="center" wrapText="1"/>
    </xf>
    <xf numFmtId="20" fontId="73" fillId="0" borderId="0" xfId="0" applyNumberFormat="1" applyFont="1" applyAlignment="1">
      <alignment horizontal="center" vertical="center"/>
    </xf>
    <xf numFmtId="0" fontId="68" fillId="50" borderId="34" xfId="0" applyFont="1" applyFill="1" applyBorder="1" applyAlignment="1">
      <alignment horizontal="center" vertical="center"/>
    </xf>
    <xf numFmtId="169" fontId="68" fillId="50" borderId="14" xfId="0" applyNumberFormat="1" applyFont="1" applyFill="1" applyBorder="1" applyAlignment="1">
      <alignment horizontal="center" vertical="center"/>
    </xf>
    <xf numFmtId="169" fontId="68" fillId="50" borderId="17" xfId="0" applyNumberFormat="1" applyFont="1" applyFill="1" applyBorder="1" applyAlignment="1">
      <alignment horizontal="center" vertical="center"/>
    </xf>
    <xf numFmtId="0" fontId="68" fillId="49" borderId="34" xfId="0" applyFont="1" applyFill="1" applyBorder="1" applyAlignment="1">
      <alignment horizontal="center" vertical="center"/>
    </xf>
    <xf numFmtId="169" fontId="68" fillId="49" borderId="14" xfId="0" applyNumberFormat="1" applyFont="1" applyFill="1" applyBorder="1" applyAlignment="1">
      <alignment horizontal="center" vertical="center"/>
    </xf>
    <xf numFmtId="169" fontId="68" fillId="49" borderId="17" xfId="0" applyNumberFormat="1" applyFont="1" applyFill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49" fontId="31" fillId="0" borderId="33" xfId="0" applyNumberFormat="1" applyFont="1" applyBorder="1" applyAlignment="1">
      <alignment horizontal="center" vertical="center"/>
    </xf>
    <xf numFmtId="0" fontId="77" fillId="0" borderId="33" xfId="0" applyFont="1" applyBorder="1" applyAlignment="1">
      <alignment horizontal="center" vertical="center"/>
    </xf>
    <xf numFmtId="0" fontId="78" fillId="40" borderId="15" xfId="0" applyFont="1" applyFill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170" fontId="77" fillId="0" borderId="15" xfId="0" applyNumberFormat="1" applyFont="1" applyBorder="1" applyAlignment="1">
      <alignment horizontal="center" vertical="center"/>
    </xf>
    <xf numFmtId="49" fontId="54" fillId="0" borderId="15" xfId="0" applyNumberFormat="1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169" fontId="77" fillId="40" borderId="10" xfId="0" applyNumberFormat="1" applyFont="1" applyFill="1" applyBorder="1" applyAlignment="1">
      <alignment horizontal="center" vertical="center"/>
    </xf>
    <xf numFmtId="169" fontId="53" fillId="40" borderId="10" xfId="0" applyNumberFormat="1" applyFont="1" applyFill="1" applyBorder="1" applyAlignment="1">
      <alignment horizontal="center" vertical="center"/>
    </xf>
    <xf numFmtId="170" fontId="77" fillId="0" borderId="10" xfId="0" applyNumberFormat="1" applyFont="1" applyBorder="1" applyAlignment="1">
      <alignment horizontal="center" vertical="center"/>
    </xf>
    <xf numFmtId="170" fontId="49" fillId="0" borderId="10" xfId="0" applyNumberFormat="1" applyFont="1" applyBorder="1" applyAlignment="1">
      <alignment horizontal="center" vertical="center"/>
    </xf>
    <xf numFmtId="169" fontId="31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69" fontId="45" fillId="0" borderId="10" xfId="0" applyNumberFormat="1" applyFont="1" applyBorder="1" applyAlignment="1">
      <alignment horizontal="center" vertical="center"/>
    </xf>
    <xf numFmtId="170" fontId="69" fillId="0" borderId="10" xfId="0" applyNumberFormat="1" applyFont="1" applyBorder="1" applyAlignment="1">
      <alignment horizontal="center" vertical="center"/>
    </xf>
    <xf numFmtId="49" fontId="32" fillId="0" borderId="10" xfId="0" applyNumberFormat="1" applyFont="1" applyBorder="1" applyAlignment="1">
      <alignment horizontal="center" vertical="center"/>
    </xf>
    <xf numFmtId="49" fontId="31" fillId="0" borderId="10" xfId="0" applyNumberFormat="1" applyFont="1" applyBorder="1" applyAlignment="1">
      <alignment horizontal="center" vertical="center"/>
    </xf>
    <xf numFmtId="169" fontId="76" fillId="0" borderId="10" xfId="0" applyNumberFormat="1" applyFont="1" applyBorder="1" applyAlignment="1">
      <alignment horizontal="center" vertical="center"/>
    </xf>
    <xf numFmtId="170" fontId="69" fillId="39" borderId="10" xfId="0" applyNumberFormat="1" applyFont="1" applyFill="1" applyBorder="1" applyAlignment="1">
      <alignment horizontal="center" vertical="center"/>
    </xf>
    <xf numFmtId="169" fontId="76" fillId="0" borderId="18" xfId="0" applyNumberFormat="1" applyFont="1" applyBorder="1" applyAlignment="1">
      <alignment horizontal="center" vertical="center"/>
    </xf>
    <xf numFmtId="170" fontId="77" fillId="0" borderId="13" xfId="0" applyNumberFormat="1" applyFont="1" applyBorder="1" applyAlignment="1">
      <alignment horizontal="center" vertical="center"/>
    </xf>
    <xf numFmtId="169" fontId="31" fillId="0" borderId="13" xfId="0" applyNumberFormat="1" applyFont="1" applyBorder="1" applyAlignment="1">
      <alignment horizontal="center" vertical="center"/>
    </xf>
    <xf numFmtId="49" fontId="32" fillId="0" borderId="13" xfId="0" applyNumberFormat="1" applyFont="1" applyBorder="1" applyAlignment="1">
      <alignment horizontal="center" vertical="center"/>
    </xf>
    <xf numFmtId="169" fontId="76" fillId="0" borderId="13" xfId="0" applyNumberFormat="1" applyFont="1" applyBorder="1" applyAlignment="1">
      <alignment horizontal="center" vertical="center"/>
    </xf>
    <xf numFmtId="169" fontId="76" fillId="0" borderId="21" xfId="0" applyNumberFormat="1" applyFont="1" applyBorder="1" applyAlignment="1">
      <alignment horizontal="center" vertical="center"/>
    </xf>
    <xf numFmtId="170" fontId="77" fillId="2" borderId="35" xfId="0" applyNumberFormat="1" applyFont="1" applyFill="1" applyBorder="1" applyAlignment="1">
      <alignment horizontal="center" vertical="center"/>
    </xf>
    <xf numFmtId="169" fontId="79" fillId="2" borderId="35" xfId="0" applyNumberFormat="1" applyFont="1" applyFill="1" applyBorder="1" applyAlignment="1">
      <alignment horizontal="center" vertical="center"/>
    </xf>
    <xf numFmtId="49" fontId="79" fillId="2" borderId="35" xfId="0" applyNumberFormat="1" applyFont="1" applyFill="1" applyBorder="1" applyAlignment="1">
      <alignment horizontal="center" vertical="center"/>
    </xf>
    <xf numFmtId="49" fontId="80" fillId="0" borderId="10" xfId="0" applyNumberFormat="1" applyFont="1" applyBorder="1" applyAlignment="1">
      <alignment horizontal="center" vertical="center"/>
    </xf>
    <xf numFmtId="1" fontId="53" fillId="39" borderId="10" xfId="0" applyNumberFormat="1" applyFont="1" applyFill="1" applyBorder="1" applyAlignment="1">
      <alignment horizontal="center" vertical="center"/>
    </xf>
    <xf numFmtId="49" fontId="31" fillId="39" borderId="10" xfId="0" applyNumberFormat="1" applyFont="1" applyFill="1" applyBorder="1" applyAlignment="1">
      <alignment horizontal="center" vertical="center"/>
    </xf>
    <xf numFmtId="49" fontId="31" fillId="39" borderId="13" xfId="0" applyNumberFormat="1" applyFont="1" applyFill="1" applyBorder="1" applyAlignment="1">
      <alignment horizontal="center" vertical="center"/>
    </xf>
    <xf numFmtId="169" fontId="79" fillId="39" borderId="35" xfId="0" applyNumberFormat="1" applyFont="1" applyFill="1" applyBorder="1" applyAlignment="1">
      <alignment horizontal="center" vertical="center"/>
    </xf>
    <xf numFmtId="0" fontId="31" fillId="60" borderId="59" xfId="0" applyFont="1" applyFill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169" fontId="55" fillId="0" borderId="23" xfId="0" applyNumberFormat="1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81" fillId="0" borderId="16" xfId="0" applyFont="1" applyBorder="1" applyAlignment="1">
      <alignment horizontal="center" vertical="center"/>
    </xf>
    <xf numFmtId="169" fontId="81" fillId="40" borderId="18" xfId="0" applyNumberFormat="1" applyFont="1" applyFill="1" applyBorder="1" applyAlignment="1">
      <alignment horizontal="center" vertical="center"/>
    </xf>
    <xf numFmtId="0" fontId="82" fillId="0" borderId="0" xfId="0" applyFont="1"/>
    <xf numFmtId="0" fontId="83" fillId="0" borderId="33" xfId="0" applyFont="1" applyBorder="1" applyAlignment="1">
      <alignment horizontal="center" vertical="center"/>
    </xf>
    <xf numFmtId="0" fontId="84" fillId="0" borderId="16" xfId="0" applyFont="1" applyBorder="1" applyAlignment="1">
      <alignment horizontal="center" vertical="center"/>
    </xf>
    <xf numFmtId="169" fontId="84" fillId="40" borderId="18" xfId="0" applyNumberFormat="1" applyFont="1" applyFill="1" applyBorder="1" applyAlignment="1">
      <alignment horizontal="center" vertical="center"/>
    </xf>
    <xf numFmtId="169" fontId="85" fillId="0" borderId="18" xfId="0" applyNumberFormat="1" applyFont="1" applyBorder="1" applyAlignment="1">
      <alignment horizontal="center" vertical="center"/>
    </xf>
    <xf numFmtId="169" fontId="85" fillId="0" borderId="21" xfId="0" applyNumberFormat="1" applyFont="1" applyBorder="1" applyAlignment="1">
      <alignment horizontal="center" vertical="center"/>
    </xf>
    <xf numFmtId="169" fontId="86" fillId="0" borderId="23" xfId="0" applyNumberFormat="1" applyFont="1" applyBorder="1"/>
    <xf numFmtId="170" fontId="87" fillId="0" borderId="10" xfId="0" applyNumberFormat="1" applyFont="1" applyBorder="1" applyAlignment="1">
      <alignment horizontal="center" vertical="center"/>
    </xf>
    <xf numFmtId="169" fontId="70" fillId="0" borderId="21" xfId="0" applyNumberFormat="1" applyFont="1" applyBorder="1" applyAlignment="1">
      <alignment horizontal="center" vertical="center"/>
    </xf>
    <xf numFmtId="0" fontId="31" fillId="0" borderId="0" xfId="0" applyFont="1"/>
    <xf numFmtId="169" fontId="88" fillId="2" borderId="35" xfId="0" applyNumberFormat="1" applyFont="1" applyFill="1" applyBorder="1" applyAlignment="1">
      <alignment horizontal="center" vertical="center"/>
    </xf>
    <xf numFmtId="0" fontId="89" fillId="37" borderId="42" xfId="0" applyFont="1" applyFill="1" applyBorder="1" applyAlignment="1">
      <alignment horizontal="center" vertical="center"/>
    </xf>
    <xf numFmtId="169" fontId="58" fillId="0" borderId="60" xfId="0" applyNumberFormat="1" applyFont="1" applyBorder="1" applyAlignment="1">
      <alignment horizontal="center" vertical="center"/>
    </xf>
    <xf numFmtId="0" fontId="89" fillId="37" borderId="61" xfId="0" applyFont="1" applyFill="1" applyBorder="1"/>
    <xf numFmtId="0" fontId="89" fillId="37" borderId="41" xfId="0" applyFont="1" applyFill="1" applyBorder="1" applyAlignment="1">
      <alignment horizontal="center" vertical="center"/>
    </xf>
    <xf numFmtId="170" fontId="57" fillId="0" borderId="13" xfId="0" applyNumberFormat="1" applyFont="1" applyBorder="1" applyAlignment="1">
      <alignment horizontal="center" vertical="center"/>
    </xf>
    <xf numFmtId="0" fontId="89" fillId="37" borderId="40" xfId="0" applyFont="1" applyFill="1" applyBorder="1" applyAlignment="1">
      <alignment horizontal="center" vertical="center"/>
    </xf>
    <xf numFmtId="0" fontId="89" fillId="37" borderId="65" xfId="0" applyFont="1" applyFill="1" applyBorder="1"/>
    <xf numFmtId="0" fontId="89" fillId="37" borderId="64" xfId="0" applyFont="1" applyFill="1" applyBorder="1"/>
    <xf numFmtId="0" fontId="89" fillId="37" borderId="63" xfId="0" applyFont="1" applyFill="1" applyBorder="1"/>
    <xf numFmtId="0" fontId="89" fillId="37" borderId="62" xfId="0" applyFont="1" applyFill="1" applyBorder="1"/>
    <xf numFmtId="0" fontId="89" fillId="37" borderId="26" xfId="0" applyFont="1" applyFill="1" applyBorder="1"/>
    <xf numFmtId="169" fontId="90" fillId="0" borderId="18" xfId="0" applyNumberFormat="1" applyFont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169" fontId="90" fillId="0" borderId="21" xfId="0" applyNumberFormat="1" applyFont="1" applyBorder="1" applyAlignment="1">
      <alignment horizontal="center" vertical="center"/>
    </xf>
    <xf numFmtId="169" fontId="58" fillId="0" borderId="21" xfId="0" applyNumberFormat="1" applyFont="1" applyBorder="1" applyAlignment="1">
      <alignment horizontal="center" vertical="center"/>
    </xf>
    <xf numFmtId="1" fontId="47" fillId="0" borderId="0" xfId="0" applyNumberFormat="1" applyFont="1" applyAlignment="1">
      <alignment horizontal="center" vertical="center"/>
    </xf>
    <xf numFmtId="1" fontId="48" fillId="0" borderId="23" xfId="0" applyNumberFormat="1" applyFont="1" applyBorder="1" applyAlignment="1">
      <alignment horizontal="center" vertical="center"/>
    </xf>
    <xf numFmtId="176" fontId="48" fillId="0" borderId="23" xfId="0" applyNumberFormat="1" applyFont="1" applyBorder="1" applyAlignment="1">
      <alignment horizontal="center" vertical="center"/>
    </xf>
    <xf numFmtId="1" fontId="47" fillId="0" borderId="23" xfId="0" applyNumberFormat="1" applyFont="1" applyBorder="1" applyAlignment="1">
      <alignment horizontal="center" vertical="center"/>
    </xf>
    <xf numFmtId="1" fontId="47" fillId="0" borderId="31" xfId="0" applyNumberFormat="1" applyFont="1" applyBorder="1" applyAlignment="1">
      <alignment horizontal="center" vertical="center"/>
    </xf>
    <xf numFmtId="1" fontId="48" fillId="0" borderId="31" xfId="0" applyNumberFormat="1" applyFont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 vertical="center"/>
    </xf>
    <xf numFmtId="0" fontId="35" fillId="0" borderId="66" xfId="0" applyFont="1" applyBorder="1" applyAlignment="1">
      <alignment horizontal="center" vertical="center"/>
    </xf>
    <xf numFmtId="49" fontId="35" fillId="0" borderId="66" xfId="0" applyNumberFormat="1" applyFont="1" applyBorder="1" applyAlignment="1">
      <alignment horizontal="center" vertical="center"/>
    </xf>
    <xf numFmtId="0" fontId="35" fillId="0" borderId="67" xfId="0" applyFont="1" applyBorder="1" applyAlignment="1">
      <alignment horizontal="center" vertical="center"/>
    </xf>
    <xf numFmtId="169" fontId="45" fillId="0" borderId="68" xfId="0" applyNumberFormat="1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169" fontId="45" fillId="0" borderId="70" xfId="0" applyNumberFormat="1" applyFont="1" applyBorder="1" applyAlignment="1">
      <alignment horizontal="center" vertical="center"/>
    </xf>
    <xf numFmtId="169" fontId="54" fillId="40" borderId="71" xfId="0" applyNumberFormat="1" applyFont="1" applyFill="1" applyBorder="1" applyAlignment="1">
      <alignment horizontal="center" vertical="center"/>
    </xf>
    <xf numFmtId="169" fontId="61" fillId="0" borderId="71" xfId="0" applyNumberFormat="1" applyFont="1" applyBorder="1" applyAlignment="1">
      <alignment horizontal="center" vertical="center"/>
    </xf>
    <xf numFmtId="169" fontId="43" fillId="0" borderId="71" xfId="0" applyNumberFormat="1" applyFont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169" fontId="43" fillId="0" borderId="72" xfId="0" applyNumberFormat="1" applyFont="1" applyBorder="1" applyAlignment="1">
      <alignment horizontal="center" vertical="center"/>
    </xf>
    <xf numFmtId="169" fontId="67" fillId="0" borderId="45" xfId="0" applyNumberFormat="1" applyFont="1" applyBorder="1" applyAlignment="1">
      <alignment horizontal="center"/>
    </xf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47" xfId="0" applyBorder="1"/>
    <xf numFmtId="0" fontId="0" fillId="0" borderId="76" xfId="0" applyBorder="1"/>
    <xf numFmtId="0" fontId="53" fillId="40" borderId="43" xfId="0" applyFont="1" applyFill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169" fontId="53" fillId="40" borderId="68" xfId="0" applyNumberFormat="1" applyFont="1" applyFill="1" applyBorder="1" applyAlignment="1">
      <alignment horizontal="center" vertical="center"/>
    </xf>
    <xf numFmtId="0" fontId="54" fillId="0" borderId="69" xfId="0" applyFont="1" applyBorder="1" applyAlignment="1">
      <alignment horizontal="center" vertical="center"/>
    </xf>
    <xf numFmtId="169" fontId="53" fillId="40" borderId="70" xfId="0" applyNumberFormat="1" applyFont="1" applyFill="1" applyBorder="1" applyAlignment="1">
      <alignment horizontal="center" vertical="center"/>
    </xf>
    <xf numFmtId="169" fontId="76" fillId="0" borderId="71" xfId="0" applyNumberFormat="1" applyFont="1" applyBorder="1" applyAlignment="1">
      <alignment horizontal="center" vertical="center"/>
    </xf>
    <xf numFmtId="169" fontId="58" fillId="0" borderId="71" xfId="0" applyNumberFormat="1" applyFont="1" applyBorder="1" applyAlignment="1">
      <alignment horizontal="center" vertical="center"/>
    </xf>
    <xf numFmtId="169" fontId="55" fillId="0" borderId="59" xfId="0" applyNumberFormat="1" applyFont="1" applyBorder="1" applyAlignment="1">
      <alignment horizontal="center" vertical="center"/>
    </xf>
    <xf numFmtId="0" fontId="93" fillId="37" borderId="0" xfId="0" applyFont="1" applyFill="1" applyAlignment="1">
      <alignment horizontal="center" vertical="center"/>
    </xf>
    <xf numFmtId="0" fontId="92" fillId="37" borderId="46" xfId="0" applyFont="1" applyFill="1" applyBorder="1"/>
    <xf numFmtId="0" fontId="92" fillId="37" borderId="43" xfId="0" applyFont="1" applyFill="1" applyBorder="1"/>
    <xf numFmtId="170" fontId="94" fillId="37" borderId="70" xfId="0" applyNumberFormat="1" applyFont="1" applyFill="1" applyBorder="1" applyAlignment="1">
      <alignment horizontal="center" vertical="center"/>
    </xf>
    <xf numFmtId="169" fontId="97" fillId="38" borderId="30" xfId="0" applyNumberFormat="1" applyFont="1" applyFill="1" applyBorder="1" applyAlignment="1">
      <alignment horizontal="center" vertical="center"/>
    </xf>
    <xf numFmtId="175" fontId="35" fillId="0" borderId="23" xfId="0" applyNumberFormat="1" applyFont="1" applyBorder="1" applyAlignment="1">
      <alignment horizontal="center" vertical="center"/>
    </xf>
    <xf numFmtId="1" fontId="35" fillId="0" borderId="27" xfId="0" applyNumberFormat="1" applyFont="1" applyBorder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1" fontId="33" fillId="2" borderId="12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35" fillId="0" borderId="0" xfId="0" applyNumberFormat="1" applyFont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41" fillId="2" borderId="12" xfId="0" applyFont="1" applyFill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" fontId="35" fillId="0" borderId="12" xfId="0" applyNumberFormat="1" applyFont="1" applyBorder="1" applyAlignment="1">
      <alignment horizontal="center" vertical="center"/>
    </xf>
    <xf numFmtId="0" fontId="96" fillId="2" borderId="12" xfId="0" applyFont="1" applyFill="1" applyBorder="1" applyAlignment="1">
      <alignment horizontal="center" vertical="center"/>
    </xf>
    <xf numFmtId="49" fontId="35" fillId="0" borderId="19" xfId="0" applyNumberFormat="1" applyFont="1" applyBorder="1" applyAlignment="1">
      <alignment horizontal="center" vertical="center"/>
    </xf>
    <xf numFmtId="1" fontId="97" fillId="0" borderId="12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" fontId="35" fillId="0" borderId="29" xfId="0" applyNumberFormat="1" applyFont="1" applyBorder="1" applyAlignment="1">
      <alignment horizontal="center" vertical="center"/>
    </xf>
    <xf numFmtId="16" fontId="42" fillId="0" borderId="12" xfId="0" applyNumberFormat="1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1" fontId="98" fillId="0" borderId="12" xfId="0" applyNumberFormat="1" applyFont="1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1" fontId="97" fillId="0" borderId="11" xfId="0" applyNumberFormat="1" applyFont="1" applyBorder="1" applyAlignment="1">
      <alignment horizontal="center" vertical="center"/>
    </xf>
    <xf numFmtId="175" fontId="97" fillId="0" borderId="28" xfId="0" applyNumberFormat="1" applyFont="1" applyBorder="1" applyAlignment="1">
      <alignment horizontal="center" vertical="center"/>
    </xf>
    <xf numFmtId="0" fontId="95" fillId="63" borderId="34" xfId="0" applyFont="1" applyFill="1" applyBorder="1" applyAlignment="1">
      <alignment horizontal="center" vertical="center"/>
    </xf>
    <xf numFmtId="169" fontId="95" fillId="63" borderId="14" xfId="0" applyNumberFormat="1" applyFont="1" applyFill="1" applyBorder="1" applyAlignment="1">
      <alignment horizontal="center" vertical="center"/>
    </xf>
    <xf numFmtId="49" fontId="99" fillId="0" borderId="15" xfId="0" applyNumberFormat="1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16" xfId="0" applyFont="1" applyBorder="1" applyAlignment="1">
      <alignment horizontal="center" vertical="center"/>
    </xf>
    <xf numFmtId="1" fontId="95" fillId="35" borderId="11" xfId="0" applyNumberFormat="1" applyFont="1" applyFill="1" applyBorder="1" applyAlignment="1">
      <alignment horizontal="center" vertical="center"/>
    </xf>
    <xf numFmtId="169" fontId="95" fillId="63" borderId="17" xfId="0" applyNumberFormat="1" applyFont="1" applyFill="1" applyBorder="1" applyAlignment="1">
      <alignment horizontal="center" vertical="center"/>
    </xf>
    <xf numFmtId="49" fontId="98" fillId="40" borderId="10" xfId="0" applyNumberFormat="1" applyFont="1" applyFill="1" applyBorder="1" applyAlignment="1">
      <alignment horizontal="center" vertical="center"/>
    </xf>
    <xf numFmtId="169" fontId="99" fillId="40" borderId="10" xfId="0" applyNumberFormat="1" applyFont="1" applyFill="1" applyBorder="1" applyAlignment="1">
      <alignment horizontal="center" vertical="center"/>
    </xf>
    <xf numFmtId="169" fontId="99" fillId="40" borderId="18" xfId="0" applyNumberFormat="1" applyFont="1" applyFill="1" applyBorder="1" applyAlignment="1">
      <alignment horizontal="center" vertical="center"/>
    </xf>
    <xf numFmtId="1" fontId="100" fillId="35" borderId="11" xfId="0" applyNumberFormat="1" applyFont="1" applyFill="1" applyBorder="1" applyAlignment="1">
      <alignment horizontal="center" vertical="center"/>
    </xf>
    <xf numFmtId="0" fontId="97" fillId="0" borderId="10" xfId="0" applyFont="1" applyBorder="1" applyAlignment="1">
      <alignment horizontal="center" vertical="center"/>
    </xf>
    <xf numFmtId="1" fontId="35" fillId="0" borderId="11" xfId="0" applyNumberFormat="1" applyFont="1" applyBorder="1" applyAlignment="1">
      <alignment horizontal="center" vertical="center"/>
    </xf>
    <xf numFmtId="1" fontId="33" fillId="0" borderId="11" xfId="0" applyNumberFormat="1" applyFont="1" applyBorder="1" applyAlignment="1">
      <alignment horizontal="center" vertical="center"/>
    </xf>
    <xf numFmtId="1" fontId="99" fillId="0" borderId="11" xfId="0" applyNumberFormat="1" applyFont="1" applyBorder="1" applyAlignment="1">
      <alignment horizontal="center" vertical="center"/>
    </xf>
    <xf numFmtId="49" fontId="97" fillId="0" borderId="10" xfId="0" applyNumberFormat="1" applyFont="1" applyBorder="1" applyAlignment="1">
      <alignment horizontal="center" vertical="center"/>
    </xf>
    <xf numFmtId="169" fontId="95" fillId="63" borderId="20" xfId="0" applyNumberFormat="1" applyFont="1" applyFill="1" applyBorder="1" applyAlignment="1">
      <alignment horizontal="center" vertical="center"/>
    </xf>
    <xf numFmtId="49" fontId="97" fillId="0" borderId="13" xfId="0" applyNumberFormat="1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169" fontId="95" fillId="63" borderId="35" xfId="0" applyNumberFormat="1" applyFont="1" applyFill="1" applyBorder="1" applyAlignment="1">
      <alignment horizontal="center" vertical="center"/>
    </xf>
    <xf numFmtId="0" fontId="42" fillId="0" borderId="34" xfId="0" applyFont="1" applyBorder="1" applyAlignment="1">
      <alignment horizontal="center" vertical="center"/>
    </xf>
    <xf numFmtId="1" fontId="97" fillId="0" borderId="23" xfId="0" applyNumberFormat="1" applyFont="1" applyBorder="1" applyAlignment="1">
      <alignment horizontal="center" vertical="center"/>
    </xf>
    <xf numFmtId="176" fontId="97" fillId="0" borderId="23" xfId="0" applyNumberFormat="1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169" fontId="42" fillId="0" borderId="14" xfId="0" applyNumberFormat="1" applyFont="1" applyBorder="1" applyAlignment="1">
      <alignment horizontal="center" vertical="center"/>
    </xf>
    <xf numFmtId="1" fontId="35" fillId="0" borderId="23" xfId="0" applyNumberFormat="1" applyFont="1" applyBorder="1" applyAlignment="1">
      <alignment horizontal="center" vertical="center"/>
    </xf>
    <xf numFmtId="169" fontId="42" fillId="0" borderId="17" xfId="0" applyNumberFormat="1" applyFont="1" applyBorder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1" fontId="97" fillId="0" borderId="31" xfId="0" applyNumberFormat="1" applyFont="1" applyBorder="1" applyAlignment="1">
      <alignment horizontal="center" vertical="center"/>
    </xf>
    <xf numFmtId="169" fontId="42" fillId="0" borderId="20" xfId="0" applyNumberFormat="1" applyFont="1" applyBorder="1" applyAlignment="1">
      <alignment horizontal="center" vertical="center"/>
    </xf>
    <xf numFmtId="169" fontId="42" fillId="0" borderId="35" xfId="0" applyNumberFormat="1" applyFont="1" applyBorder="1" applyAlignment="1">
      <alignment horizontal="center" vertical="center"/>
    </xf>
    <xf numFmtId="0" fontId="40" fillId="57" borderId="34" xfId="0" applyFont="1" applyFill="1" applyBorder="1" applyAlignment="1">
      <alignment horizontal="center" vertical="center"/>
    </xf>
    <xf numFmtId="169" fontId="40" fillId="57" borderId="14" xfId="0" applyNumberFormat="1" applyFont="1" applyFill="1" applyBorder="1" applyAlignment="1">
      <alignment horizontal="center" vertical="center"/>
    </xf>
    <xf numFmtId="169" fontId="40" fillId="57" borderId="17" xfId="0" applyNumberFormat="1" applyFont="1" applyFill="1" applyBorder="1" applyAlignment="1">
      <alignment horizontal="center" vertical="center"/>
    </xf>
    <xf numFmtId="1" fontId="101" fillId="0" borderId="0" xfId="0" applyNumberFormat="1" applyFont="1"/>
    <xf numFmtId="1" fontId="101" fillId="0" borderId="0" xfId="0" applyNumberFormat="1" applyFont="1" applyAlignment="1">
      <alignment horizontal="center" vertical="center"/>
    </xf>
    <xf numFmtId="169" fontId="40" fillId="57" borderId="20" xfId="0" applyNumberFormat="1" applyFont="1" applyFill="1" applyBorder="1" applyAlignment="1">
      <alignment horizontal="center" vertical="center"/>
    </xf>
    <xf numFmtId="169" fontId="40" fillId="57" borderId="35" xfId="0" applyNumberFormat="1" applyFont="1" applyFill="1" applyBorder="1" applyAlignment="1">
      <alignment horizontal="center" vertical="center"/>
    </xf>
    <xf numFmtId="1" fontId="102" fillId="0" borderId="0" xfId="0" applyNumberFormat="1" applyFont="1" applyAlignment="1">
      <alignment horizontal="center" vertical="center"/>
    </xf>
    <xf numFmtId="0" fontId="95" fillId="53" borderId="34" xfId="0" applyFont="1" applyFill="1" applyBorder="1" applyAlignment="1">
      <alignment horizontal="center" vertical="center"/>
    </xf>
    <xf numFmtId="169" fontId="95" fillId="53" borderId="14" xfId="0" applyNumberFormat="1" applyFont="1" applyFill="1" applyBorder="1" applyAlignment="1">
      <alignment horizontal="center" vertical="center"/>
    </xf>
    <xf numFmtId="169" fontId="95" fillId="53" borderId="17" xfId="0" applyNumberFormat="1" applyFont="1" applyFill="1" applyBorder="1" applyAlignment="1">
      <alignment horizontal="center" vertical="center"/>
    </xf>
    <xf numFmtId="169" fontId="95" fillId="53" borderId="20" xfId="0" applyNumberFormat="1" applyFont="1" applyFill="1" applyBorder="1" applyAlignment="1">
      <alignment horizontal="center" vertical="center"/>
    </xf>
    <xf numFmtId="169" fontId="101" fillId="0" borderId="23" xfId="0" applyNumberFormat="1" applyFont="1" applyBorder="1" applyAlignment="1">
      <alignment horizontal="center" vertical="center"/>
    </xf>
    <xf numFmtId="169" fontId="97" fillId="0" borderId="23" xfId="0" applyNumberFormat="1" applyFont="1" applyBorder="1" applyAlignment="1">
      <alignment horizontal="center" vertical="center"/>
    </xf>
    <xf numFmtId="169" fontId="95" fillId="53" borderId="35" xfId="0" applyNumberFormat="1" applyFont="1" applyFill="1" applyBorder="1" applyAlignment="1">
      <alignment horizontal="center" vertical="center"/>
    </xf>
    <xf numFmtId="0" fontId="104" fillId="50" borderId="34" xfId="0" applyFont="1" applyFill="1" applyBorder="1" applyAlignment="1">
      <alignment horizontal="center" vertical="center"/>
    </xf>
    <xf numFmtId="169" fontId="104" fillId="50" borderId="14" xfId="0" applyNumberFormat="1" applyFont="1" applyFill="1" applyBorder="1" applyAlignment="1">
      <alignment horizontal="center" vertical="center"/>
    </xf>
    <xf numFmtId="169" fontId="104" fillId="50" borderId="17" xfId="0" applyNumberFormat="1" applyFont="1" applyFill="1" applyBorder="1" applyAlignment="1">
      <alignment horizontal="center" vertical="center"/>
    </xf>
    <xf numFmtId="169" fontId="104" fillId="50" borderId="20" xfId="0" applyNumberFormat="1" applyFont="1" applyFill="1" applyBorder="1" applyAlignment="1">
      <alignment horizontal="center" vertical="center"/>
    </xf>
    <xf numFmtId="169" fontId="104" fillId="50" borderId="35" xfId="0" applyNumberFormat="1" applyFont="1" applyFill="1" applyBorder="1" applyAlignment="1">
      <alignment horizontal="center" vertical="center"/>
    </xf>
    <xf numFmtId="0" fontId="95" fillId="35" borderId="10" xfId="0" applyFont="1" applyFill="1" applyBorder="1" applyAlignment="1">
      <alignment horizontal="center" vertical="center"/>
    </xf>
    <xf numFmtId="0" fontId="95" fillId="56" borderId="34" xfId="0" applyFont="1" applyFill="1" applyBorder="1" applyAlignment="1">
      <alignment horizontal="center" vertical="center"/>
    </xf>
    <xf numFmtId="169" fontId="95" fillId="56" borderId="14" xfId="0" applyNumberFormat="1" applyFont="1" applyFill="1" applyBorder="1" applyAlignment="1">
      <alignment horizontal="center" vertical="center"/>
    </xf>
    <xf numFmtId="169" fontId="95" fillId="56" borderId="17" xfId="0" applyNumberFormat="1" applyFont="1" applyFill="1" applyBorder="1" applyAlignment="1">
      <alignment horizontal="center" vertical="center"/>
    </xf>
    <xf numFmtId="169" fontId="95" fillId="56" borderId="20" xfId="0" applyNumberFormat="1" applyFont="1" applyFill="1" applyBorder="1" applyAlignment="1">
      <alignment horizontal="center" vertical="center"/>
    </xf>
    <xf numFmtId="169" fontId="95" fillId="56" borderId="35" xfId="0" applyNumberFormat="1" applyFont="1" applyFill="1" applyBorder="1" applyAlignment="1">
      <alignment horizontal="center" vertical="center"/>
    </xf>
    <xf numFmtId="0" fontId="42" fillId="58" borderId="34" xfId="0" applyFont="1" applyFill="1" applyBorder="1" applyAlignment="1">
      <alignment horizontal="center" vertical="center"/>
    </xf>
    <xf numFmtId="169" fontId="42" fillId="58" borderId="14" xfId="0" applyNumberFormat="1" applyFont="1" applyFill="1" applyBorder="1" applyAlignment="1">
      <alignment horizontal="center" vertical="center"/>
    </xf>
    <xf numFmtId="169" fontId="42" fillId="58" borderId="17" xfId="0" applyNumberFormat="1" applyFont="1" applyFill="1" applyBorder="1" applyAlignment="1">
      <alignment horizontal="center" vertical="center"/>
    </xf>
    <xf numFmtId="169" fontId="42" fillId="58" borderId="20" xfId="0" applyNumberFormat="1" applyFont="1" applyFill="1" applyBorder="1" applyAlignment="1">
      <alignment horizontal="center" vertical="center"/>
    </xf>
    <xf numFmtId="169" fontId="42" fillId="58" borderId="35" xfId="0" applyNumberFormat="1" applyFont="1" applyFill="1" applyBorder="1" applyAlignment="1">
      <alignment horizontal="center" vertical="center"/>
    </xf>
    <xf numFmtId="0" fontId="104" fillId="49" borderId="34" xfId="0" applyFont="1" applyFill="1" applyBorder="1" applyAlignment="1">
      <alignment horizontal="center" vertical="center"/>
    </xf>
    <xf numFmtId="169" fontId="104" fillId="49" borderId="14" xfId="0" applyNumberFormat="1" applyFont="1" applyFill="1" applyBorder="1" applyAlignment="1">
      <alignment horizontal="center" vertical="center"/>
    </xf>
    <xf numFmtId="169" fontId="104" fillId="49" borderId="17" xfId="0" applyNumberFormat="1" applyFont="1" applyFill="1" applyBorder="1" applyAlignment="1">
      <alignment horizontal="center" vertical="center"/>
    </xf>
    <xf numFmtId="169" fontId="104" fillId="49" borderId="20" xfId="0" applyNumberFormat="1" applyFont="1" applyFill="1" applyBorder="1" applyAlignment="1">
      <alignment horizontal="center" vertical="center"/>
    </xf>
    <xf numFmtId="169" fontId="104" fillId="49" borderId="35" xfId="0" applyNumberFormat="1" applyFont="1" applyFill="1" applyBorder="1" applyAlignment="1">
      <alignment horizontal="center" vertical="center"/>
    </xf>
    <xf numFmtId="0" fontId="104" fillId="64" borderId="34" xfId="0" applyFont="1" applyFill="1" applyBorder="1" applyAlignment="1">
      <alignment horizontal="center" vertical="center"/>
    </xf>
    <xf numFmtId="169" fontId="104" fillId="64" borderId="14" xfId="0" applyNumberFormat="1" applyFont="1" applyFill="1" applyBorder="1" applyAlignment="1">
      <alignment horizontal="center" vertical="center"/>
    </xf>
    <xf numFmtId="169" fontId="104" fillId="64" borderId="17" xfId="0" applyNumberFormat="1" applyFont="1" applyFill="1" applyBorder="1" applyAlignment="1">
      <alignment horizontal="center" vertical="center"/>
    </xf>
    <xf numFmtId="169" fontId="104" fillId="64" borderId="20" xfId="0" applyNumberFormat="1" applyFont="1" applyFill="1" applyBorder="1" applyAlignment="1">
      <alignment horizontal="center" vertical="center"/>
    </xf>
    <xf numFmtId="169" fontId="104" fillId="64" borderId="35" xfId="0" applyNumberFormat="1" applyFont="1" applyFill="1" applyBorder="1" applyAlignment="1">
      <alignment horizontal="center" vertical="center"/>
    </xf>
    <xf numFmtId="170" fontId="95" fillId="35" borderId="10" xfId="0" applyNumberFormat="1" applyFont="1" applyFill="1" applyBorder="1" applyAlignment="1">
      <alignment horizontal="center" vertical="center"/>
    </xf>
    <xf numFmtId="0" fontId="40" fillId="40" borderId="34" xfId="0" applyFont="1" applyFill="1" applyBorder="1" applyAlignment="1">
      <alignment horizontal="center" vertical="center"/>
    </xf>
    <xf numFmtId="169" fontId="40" fillId="40" borderId="14" xfId="0" applyNumberFormat="1" applyFont="1" applyFill="1" applyBorder="1" applyAlignment="1">
      <alignment horizontal="center" vertical="center"/>
    </xf>
    <xf numFmtId="169" fontId="40" fillId="40" borderId="17" xfId="0" applyNumberFormat="1" applyFont="1" applyFill="1" applyBorder="1" applyAlignment="1">
      <alignment horizontal="center" vertical="center"/>
    </xf>
    <xf numFmtId="49" fontId="105" fillId="0" borderId="10" xfId="0" applyNumberFormat="1" applyFont="1" applyBorder="1" applyAlignment="1">
      <alignment horizontal="center" vertical="center"/>
    </xf>
    <xf numFmtId="169" fontId="40" fillId="40" borderId="20" xfId="0" applyNumberFormat="1" applyFont="1" applyFill="1" applyBorder="1" applyAlignment="1">
      <alignment horizontal="center" vertical="center"/>
    </xf>
    <xf numFmtId="169" fontId="40" fillId="40" borderId="35" xfId="0" applyNumberFormat="1" applyFont="1" applyFill="1" applyBorder="1" applyAlignment="1">
      <alignment horizontal="center" vertical="center"/>
    </xf>
    <xf numFmtId="0" fontId="95" fillId="65" borderId="34" xfId="0" applyFont="1" applyFill="1" applyBorder="1" applyAlignment="1">
      <alignment horizontal="center" vertical="center"/>
    </xf>
    <xf numFmtId="169" fontId="95" fillId="65" borderId="14" xfId="0" applyNumberFormat="1" applyFont="1" applyFill="1" applyBorder="1" applyAlignment="1">
      <alignment horizontal="center" vertical="center"/>
    </xf>
    <xf numFmtId="1" fontId="95" fillId="35" borderId="39" xfId="0" applyNumberFormat="1" applyFont="1" applyFill="1" applyBorder="1" applyAlignment="1">
      <alignment horizontal="center" vertical="center"/>
    </xf>
    <xf numFmtId="169" fontId="95" fillId="65" borderId="17" xfId="0" applyNumberFormat="1" applyFont="1" applyFill="1" applyBorder="1" applyAlignment="1">
      <alignment horizontal="center" vertical="center"/>
    </xf>
    <xf numFmtId="1" fontId="100" fillId="35" borderId="39" xfId="0" applyNumberFormat="1" applyFont="1" applyFill="1" applyBorder="1" applyAlignment="1">
      <alignment horizontal="center" vertical="center"/>
    </xf>
    <xf numFmtId="1" fontId="99" fillId="0" borderId="39" xfId="0" applyNumberFormat="1" applyFont="1" applyBorder="1" applyAlignment="1">
      <alignment horizontal="center" vertical="center"/>
    </xf>
    <xf numFmtId="1" fontId="35" fillId="0" borderId="39" xfId="0" applyNumberFormat="1" applyFont="1" applyBorder="1" applyAlignment="1">
      <alignment horizontal="center" vertical="center"/>
    </xf>
    <xf numFmtId="169" fontId="95" fillId="65" borderId="20" xfId="0" applyNumberFormat="1" applyFont="1" applyFill="1" applyBorder="1" applyAlignment="1">
      <alignment horizontal="center" vertical="center"/>
    </xf>
    <xf numFmtId="169" fontId="95" fillId="65" borderId="35" xfId="0" applyNumberFormat="1" applyFont="1" applyFill="1" applyBorder="1" applyAlignment="1">
      <alignment horizontal="center" vertical="center"/>
    </xf>
    <xf numFmtId="0" fontId="106" fillId="66" borderId="34" xfId="0" applyFont="1" applyFill="1" applyBorder="1" applyAlignment="1">
      <alignment horizontal="center" vertical="center"/>
    </xf>
    <xf numFmtId="169" fontId="106" fillId="66" borderId="14" xfId="0" applyNumberFormat="1" applyFont="1" applyFill="1" applyBorder="1" applyAlignment="1">
      <alignment horizontal="center" vertical="center"/>
    </xf>
    <xf numFmtId="169" fontId="106" fillId="66" borderId="17" xfId="0" applyNumberFormat="1" applyFont="1" applyFill="1" applyBorder="1" applyAlignment="1">
      <alignment horizontal="center" vertical="center"/>
    </xf>
    <xf numFmtId="1" fontId="40" fillId="39" borderId="10" xfId="0" applyNumberFormat="1" applyFont="1" applyFill="1" applyBorder="1" applyAlignment="1">
      <alignment horizontal="center" vertical="center"/>
    </xf>
    <xf numFmtId="49" fontId="98" fillId="39" borderId="10" xfId="0" applyNumberFormat="1" applyFont="1" applyFill="1" applyBorder="1" applyAlignment="1">
      <alignment horizontal="center" vertical="center"/>
    </xf>
    <xf numFmtId="169" fontId="106" fillId="66" borderId="20" xfId="0" applyNumberFormat="1" applyFont="1" applyFill="1" applyBorder="1" applyAlignment="1">
      <alignment horizontal="center" vertical="center"/>
    </xf>
    <xf numFmtId="49" fontId="98" fillId="39" borderId="13" xfId="0" applyNumberFormat="1" applyFont="1" applyFill="1" applyBorder="1" applyAlignment="1">
      <alignment horizontal="center" vertical="center"/>
    </xf>
    <xf numFmtId="169" fontId="106" fillId="66" borderId="35" xfId="0" applyNumberFormat="1" applyFont="1" applyFill="1" applyBorder="1" applyAlignment="1">
      <alignment horizontal="center" vertical="center"/>
    </xf>
    <xf numFmtId="49" fontId="35" fillId="39" borderId="10" xfId="0" applyNumberFormat="1" applyFont="1" applyFill="1" applyBorder="1" applyAlignment="1">
      <alignment horizontal="center" vertical="center"/>
    </xf>
    <xf numFmtId="49" fontId="35" fillId="39" borderId="13" xfId="0" applyNumberFormat="1" applyFont="1" applyFill="1" applyBorder="1" applyAlignment="1">
      <alignment horizontal="center" vertical="center"/>
    </xf>
    <xf numFmtId="49" fontId="95" fillId="35" borderId="10" xfId="0" applyNumberFormat="1" applyFont="1" applyFill="1" applyBorder="1" applyAlignment="1">
      <alignment horizontal="center" vertical="center"/>
    </xf>
    <xf numFmtId="0" fontId="40" fillId="59" borderId="34" xfId="0" applyFont="1" applyFill="1" applyBorder="1" applyAlignment="1">
      <alignment horizontal="center" vertical="center"/>
    </xf>
    <xf numFmtId="169" fontId="40" fillId="59" borderId="14" xfId="0" applyNumberFormat="1" applyFont="1" applyFill="1" applyBorder="1" applyAlignment="1">
      <alignment horizontal="center" vertical="center"/>
    </xf>
    <xf numFmtId="169" fontId="40" fillId="59" borderId="17" xfId="0" applyNumberFormat="1" applyFont="1" applyFill="1" applyBorder="1" applyAlignment="1">
      <alignment horizontal="center" vertical="center"/>
    </xf>
    <xf numFmtId="169" fontId="40" fillId="59" borderId="20" xfId="0" applyNumberFormat="1" applyFont="1" applyFill="1" applyBorder="1" applyAlignment="1">
      <alignment horizontal="center" vertical="center"/>
    </xf>
    <xf numFmtId="169" fontId="40" fillId="59" borderId="35" xfId="0" applyNumberFormat="1" applyFont="1" applyFill="1" applyBorder="1" applyAlignment="1">
      <alignment horizontal="center" vertical="center"/>
    </xf>
    <xf numFmtId="0" fontId="57" fillId="36" borderId="34" xfId="0" applyFont="1" applyFill="1" applyBorder="1" applyAlignment="1">
      <alignment horizontal="center" vertical="center"/>
    </xf>
    <xf numFmtId="169" fontId="57" fillId="36" borderId="14" xfId="0" applyNumberFormat="1" applyFont="1" applyFill="1" applyBorder="1" applyAlignment="1">
      <alignment horizontal="center" vertical="center"/>
    </xf>
    <xf numFmtId="169" fontId="57" fillId="36" borderId="17" xfId="0" applyNumberFormat="1" applyFont="1" applyFill="1" applyBorder="1" applyAlignment="1">
      <alignment horizontal="center" vertical="center"/>
    </xf>
    <xf numFmtId="170" fontId="40" fillId="39" borderId="10" xfId="0" applyNumberFormat="1" applyFont="1" applyFill="1" applyBorder="1" applyAlignment="1">
      <alignment horizontal="center" vertical="center"/>
    </xf>
    <xf numFmtId="169" fontId="57" fillId="36" borderId="20" xfId="0" applyNumberFormat="1" applyFont="1" applyFill="1" applyBorder="1" applyAlignment="1">
      <alignment horizontal="center" vertical="center"/>
    </xf>
    <xf numFmtId="169" fontId="57" fillId="36" borderId="35" xfId="0" applyNumberFormat="1" applyFont="1" applyFill="1" applyBorder="1" applyAlignment="1">
      <alignment horizontal="center" vertical="center"/>
    </xf>
    <xf numFmtId="0" fontId="42" fillId="57" borderId="34" xfId="0" applyFont="1" applyFill="1" applyBorder="1" applyAlignment="1">
      <alignment horizontal="center" vertical="center"/>
    </xf>
    <xf numFmtId="169" fontId="42" fillId="57" borderId="14" xfId="0" applyNumberFormat="1" applyFont="1" applyFill="1" applyBorder="1" applyAlignment="1">
      <alignment horizontal="center" vertical="center"/>
    </xf>
    <xf numFmtId="169" fontId="42" fillId="57" borderId="17" xfId="0" applyNumberFormat="1" applyFont="1" applyFill="1" applyBorder="1" applyAlignment="1">
      <alignment horizontal="center" vertical="center"/>
    </xf>
    <xf numFmtId="169" fontId="42" fillId="57" borderId="20" xfId="0" applyNumberFormat="1" applyFont="1" applyFill="1" applyBorder="1" applyAlignment="1">
      <alignment horizontal="center" vertical="center"/>
    </xf>
    <xf numFmtId="169" fontId="42" fillId="57" borderId="35" xfId="0" applyNumberFormat="1" applyFont="1" applyFill="1" applyBorder="1" applyAlignment="1">
      <alignment horizontal="center" vertical="center"/>
    </xf>
    <xf numFmtId="0" fontId="42" fillId="41" borderId="34" xfId="0" applyFont="1" applyFill="1" applyBorder="1" applyAlignment="1">
      <alignment horizontal="center" vertical="center"/>
    </xf>
    <xf numFmtId="169" fontId="42" fillId="41" borderId="14" xfId="0" applyNumberFormat="1" applyFont="1" applyFill="1" applyBorder="1" applyAlignment="1">
      <alignment horizontal="center" vertical="center"/>
    </xf>
    <xf numFmtId="169" fontId="42" fillId="41" borderId="17" xfId="0" applyNumberFormat="1" applyFont="1" applyFill="1" applyBorder="1" applyAlignment="1">
      <alignment horizontal="center" vertical="center"/>
    </xf>
    <xf numFmtId="169" fontId="42" fillId="41" borderId="20" xfId="0" applyNumberFormat="1" applyFont="1" applyFill="1" applyBorder="1" applyAlignment="1">
      <alignment horizontal="center" vertical="center"/>
    </xf>
    <xf numFmtId="169" fontId="42" fillId="41" borderId="35" xfId="0" applyNumberFormat="1" applyFont="1" applyFill="1" applyBorder="1" applyAlignment="1">
      <alignment horizontal="center" vertical="center"/>
    </xf>
    <xf numFmtId="1" fontId="95" fillId="35" borderId="10" xfId="0" applyNumberFormat="1" applyFont="1" applyFill="1" applyBorder="1" applyAlignment="1">
      <alignment horizontal="center" vertical="center"/>
    </xf>
    <xf numFmtId="1" fontId="97" fillId="0" borderId="0" xfId="0" applyNumberFormat="1" applyFont="1" applyAlignment="1">
      <alignment horizontal="center" vertical="center"/>
    </xf>
    <xf numFmtId="0" fontId="42" fillId="52" borderId="34" xfId="0" applyFont="1" applyFill="1" applyBorder="1" applyAlignment="1">
      <alignment horizontal="center" vertical="center"/>
    </xf>
    <xf numFmtId="169" fontId="42" fillId="52" borderId="14" xfId="0" applyNumberFormat="1" applyFont="1" applyFill="1" applyBorder="1" applyAlignment="1">
      <alignment horizontal="center" vertical="center"/>
    </xf>
    <xf numFmtId="169" fontId="42" fillId="52" borderId="17" xfId="0" applyNumberFormat="1" applyFont="1" applyFill="1" applyBorder="1" applyAlignment="1">
      <alignment horizontal="center" vertical="center"/>
    </xf>
    <xf numFmtId="169" fontId="42" fillId="52" borderId="20" xfId="0" applyNumberFormat="1" applyFont="1" applyFill="1" applyBorder="1" applyAlignment="1">
      <alignment horizontal="center" vertical="center"/>
    </xf>
    <xf numFmtId="169" fontId="42" fillId="52" borderId="35" xfId="0" applyNumberFormat="1" applyFont="1" applyFill="1" applyBorder="1" applyAlignment="1">
      <alignment horizontal="center" vertical="center"/>
    </xf>
    <xf numFmtId="0" fontId="57" fillId="2" borderId="34" xfId="0" applyFont="1" applyFill="1" applyBorder="1" applyAlignment="1">
      <alignment horizontal="center" vertical="center"/>
    </xf>
    <xf numFmtId="169" fontId="57" fillId="2" borderId="14" xfId="0" applyNumberFormat="1" applyFont="1" applyFill="1" applyBorder="1" applyAlignment="1">
      <alignment horizontal="center" vertical="center"/>
    </xf>
    <xf numFmtId="169" fontId="57" fillId="2" borderId="17" xfId="0" applyNumberFormat="1" applyFont="1" applyFill="1" applyBorder="1" applyAlignment="1">
      <alignment horizontal="center" vertical="center"/>
    </xf>
    <xf numFmtId="169" fontId="57" fillId="2" borderId="20" xfId="0" applyNumberFormat="1" applyFont="1" applyFill="1" applyBorder="1" applyAlignment="1">
      <alignment horizontal="center" vertical="center"/>
    </xf>
    <xf numFmtId="169" fontId="57" fillId="2" borderId="35" xfId="0" applyNumberFormat="1" applyFont="1" applyFill="1" applyBorder="1" applyAlignment="1">
      <alignment horizontal="center" vertical="center"/>
    </xf>
    <xf numFmtId="0" fontId="95" fillId="45" borderId="34" xfId="0" applyFont="1" applyFill="1" applyBorder="1" applyAlignment="1">
      <alignment horizontal="center" vertical="center"/>
    </xf>
    <xf numFmtId="169" fontId="95" fillId="45" borderId="14" xfId="0" applyNumberFormat="1" applyFont="1" applyFill="1" applyBorder="1" applyAlignment="1">
      <alignment horizontal="center" vertical="center"/>
    </xf>
    <xf numFmtId="169" fontId="95" fillId="45" borderId="17" xfId="0" applyNumberFormat="1" applyFont="1" applyFill="1" applyBorder="1" applyAlignment="1">
      <alignment horizontal="center" vertical="center"/>
    </xf>
    <xf numFmtId="169" fontId="95" fillId="45" borderId="20" xfId="0" applyNumberFormat="1" applyFont="1" applyFill="1" applyBorder="1" applyAlignment="1">
      <alignment horizontal="center" vertical="center"/>
    </xf>
    <xf numFmtId="169" fontId="95" fillId="45" borderId="35" xfId="0" applyNumberFormat="1" applyFont="1" applyFill="1" applyBorder="1" applyAlignment="1">
      <alignment horizontal="center" vertical="center"/>
    </xf>
    <xf numFmtId="0" fontId="42" fillId="60" borderId="34" xfId="0" applyFont="1" applyFill="1" applyBorder="1" applyAlignment="1">
      <alignment horizontal="center" vertical="center"/>
    </xf>
    <xf numFmtId="169" fontId="42" fillId="60" borderId="14" xfId="0" applyNumberFormat="1" applyFont="1" applyFill="1" applyBorder="1" applyAlignment="1">
      <alignment horizontal="center" vertical="center"/>
    </xf>
    <xf numFmtId="169" fontId="42" fillId="60" borderId="17" xfId="0" applyNumberFormat="1" applyFont="1" applyFill="1" applyBorder="1" applyAlignment="1">
      <alignment horizontal="center" vertical="center"/>
    </xf>
    <xf numFmtId="169" fontId="42" fillId="60" borderId="20" xfId="0" applyNumberFormat="1" applyFont="1" applyFill="1" applyBorder="1" applyAlignment="1">
      <alignment horizontal="center" vertical="center"/>
    </xf>
    <xf numFmtId="169" fontId="42" fillId="60" borderId="35" xfId="0" applyNumberFormat="1" applyFont="1" applyFill="1" applyBorder="1" applyAlignment="1">
      <alignment horizontal="center" vertical="center"/>
    </xf>
    <xf numFmtId="16" fontId="107" fillId="0" borderId="0" xfId="0" applyNumberFormat="1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49" fontId="40" fillId="0" borderId="10" xfId="0" applyNumberFormat="1" applyFont="1" applyBorder="1" applyAlignment="1">
      <alignment horizontal="center" vertical="center"/>
    </xf>
    <xf numFmtId="1" fontId="0" fillId="0" borderId="0" xfId="0" applyNumberFormat="1"/>
    <xf numFmtId="49" fontId="56" fillId="0" borderId="10" xfId="0" applyNumberFormat="1" applyFont="1" applyBorder="1" applyAlignment="1">
      <alignment horizontal="center" vertical="center"/>
    </xf>
    <xf numFmtId="0" fontId="95" fillId="65" borderId="46" xfId="0" applyFont="1" applyFill="1" applyBorder="1" applyAlignment="1">
      <alignment horizontal="center" vertical="center"/>
    </xf>
    <xf numFmtId="169" fontId="95" fillId="65" borderId="68" xfId="0" applyNumberFormat="1" applyFont="1" applyFill="1" applyBorder="1" applyAlignment="1">
      <alignment horizontal="center" vertical="center"/>
    </xf>
    <xf numFmtId="0" fontId="99" fillId="0" borderId="69" xfId="0" applyFont="1" applyBorder="1" applyAlignment="1">
      <alignment horizontal="center" vertical="center"/>
    </xf>
    <xf numFmtId="169" fontId="95" fillId="65" borderId="70" xfId="0" applyNumberFormat="1" applyFont="1" applyFill="1" applyBorder="1" applyAlignment="1">
      <alignment horizontal="center" vertical="center"/>
    </xf>
    <xf numFmtId="169" fontId="99" fillId="40" borderId="71" xfId="0" applyNumberFormat="1" applyFont="1" applyFill="1" applyBorder="1" applyAlignment="1">
      <alignment horizontal="center" vertical="center"/>
    </xf>
    <xf numFmtId="169" fontId="41" fillId="0" borderId="71" xfId="0" applyNumberFormat="1" applyFont="1" applyBorder="1" applyAlignment="1">
      <alignment horizontal="center" vertical="center"/>
    </xf>
    <xf numFmtId="0" fontId="95" fillId="65" borderId="43" xfId="0" applyFont="1" applyFill="1" applyBorder="1" applyAlignment="1">
      <alignment horizontal="center" vertical="center"/>
    </xf>
    <xf numFmtId="0" fontId="35" fillId="0" borderId="77" xfId="0" applyFont="1" applyBorder="1" applyAlignment="1">
      <alignment horizontal="center" vertical="center"/>
    </xf>
    <xf numFmtId="169" fontId="95" fillId="65" borderId="78" xfId="0" applyNumberFormat="1" applyFont="1" applyFill="1" applyBorder="1" applyAlignment="1">
      <alignment horizontal="center" vertical="center"/>
    </xf>
    <xf numFmtId="170" fontId="34" fillId="0" borderId="79" xfId="0" applyNumberFormat="1" applyFont="1" applyBorder="1" applyAlignment="1">
      <alignment horizontal="center" vertical="center"/>
    </xf>
    <xf numFmtId="170" fontId="57" fillId="39" borderId="79" xfId="0" applyNumberFormat="1" applyFont="1" applyFill="1" applyBorder="1" applyAlignment="1">
      <alignment horizontal="center" vertical="center"/>
    </xf>
    <xf numFmtId="169" fontId="35" fillId="0" borderId="79" xfId="0" applyNumberFormat="1" applyFont="1" applyBorder="1" applyAlignment="1">
      <alignment horizontal="center" vertical="center"/>
    </xf>
    <xf numFmtId="49" fontId="97" fillId="0" borderId="79" xfId="0" applyNumberFormat="1" applyFont="1" applyBorder="1" applyAlignment="1">
      <alignment horizontal="center" vertical="center"/>
    </xf>
    <xf numFmtId="49" fontId="35" fillId="0" borderId="79" xfId="0" applyNumberFormat="1" applyFont="1" applyBorder="1" applyAlignment="1">
      <alignment horizontal="center" vertical="center"/>
    </xf>
    <xf numFmtId="169" fontId="41" fillId="0" borderId="79" xfId="0" applyNumberFormat="1" applyFont="1" applyBorder="1" applyAlignment="1">
      <alignment horizontal="center" vertical="center"/>
    </xf>
    <xf numFmtId="169" fontId="41" fillId="0" borderId="80" xfId="0" applyNumberFormat="1" applyFont="1" applyBorder="1" applyAlignment="1">
      <alignment horizontal="center" vertical="center"/>
    </xf>
    <xf numFmtId="169" fontId="67" fillId="0" borderId="59" xfId="0" applyNumberFormat="1" applyFont="1" applyBorder="1"/>
    <xf numFmtId="0" fontId="74" fillId="0" borderId="0" xfId="0" applyFont="1" applyAlignment="1">
      <alignment horizontal="center" vertical="center"/>
    </xf>
    <xf numFmtId="0" fontId="1" fillId="0" borderId="0" xfId="0" applyFont="1"/>
    <xf numFmtId="0" fontId="1" fillId="0" borderId="23" xfId="0" applyFont="1" applyBorder="1"/>
    <xf numFmtId="0" fontId="34" fillId="0" borderId="81" xfId="0" applyFont="1" applyBorder="1" applyAlignment="1">
      <alignment horizontal="center" vertical="center"/>
    </xf>
    <xf numFmtId="16" fontId="112" fillId="0" borderId="23" xfId="0" applyNumberFormat="1" applyFont="1" applyBorder="1"/>
    <xf numFmtId="0" fontId="0" fillId="0" borderId="23" xfId="0" applyBorder="1"/>
    <xf numFmtId="169" fontId="43" fillId="0" borderId="21" xfId="0" applyNumberFormat="1" applyFont="1" applyBorder="1" applyAlignment="1">
      <alignment horizontal="center" vertical="center"/>
    </xf>
    <xf numFmtId="1" fontId="42" fillId="0" borderId="13" xfId="0" applyNumberFormat="1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5" fillId="0" borderId="81" xfId="0" applyNumberFormat="1" applyFont="1" applyBorder="1" applyAlignment="1">
      <alignment horizontal="center" vertical="center"/>
    </xf>
    <xf numFmtId="0" fontId="35" fillId="0" borderId="81" xfId="0" applyFont="1" applyBorder="1" applyAlignment="1">
      <alignment horizontal="center" vertical="center"/>
    </xf>
    <xf numFmtId="49" fontId="97" fillId="0" borderId="23" xfId="0" applyNumberFormat="1" applyFont="1" applyBorder="1" applyAlignment="1">
      <alignment horizontal="center" vertical="center"/>
    </xf>
    <xf numFmtId="49" fontId="97" fillId="0" borderId="31" xfId="0" applyNumberFormat="1" applyFont="1" applyBorder="1" applyAlignment="1">
      <alignment horizontal="center" vertical="center"/>
    </xf>
    <xf numFmtId="1" fontId="33" fillId="0" borderId="13" xfId="0" applyNumberFormat="1" applyFont="1" applyBorder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17" fillId="45" borderId="0" xfId="0" applyFont="1" applyFill="1" applyAlignment="1">
      <alignment horizontal="center" vertical="center"/>
    </xf>
    <xf numFmtId="0" fontId="17" fillId="50" borderId="0" xfId="0" applyFont="1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17" fillId="47" borderId="0" xfId="0" applyFont="1" applyFill="1" applyAlignment="1">
      <alignment horizontal="center" vertical="center"/>
    </xf>
    <xf numFmtId="0" fontId="17" fillId="48" borderId="0" xfId="0" applyFont="1" applyFill="1" applyAlignment="1">
      <alignment horizontal="center" vertical="center"/>
    </xf>
    <xf numFmtId="0" fontId="17" fillId="49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17" fillId="52" borderId="0" xfId="0" applyFont="1" applyFill="1" applyAlignment="1">
      <alignment horizontal="center" vertical="center"/>
    </xf>
    <xf numFmtId="0" fontId="17" fillId="53" borderId="0" xfId="0" applyFont="1" applyFill="1" applyAlignment="1">
      <alignment horizontal="center" vertical="center"/>
    </xf>
    <xf numFmtId="0" fontId="63" fillId="54" borderId="0" xfId="0" applyFont="1" applyFill="1" applyAlignment="1">
      <alignment horizontal="center" vertical="center"/>
    </xf>
    <xf numFmtId="0" fontId="15" fillId="44" borderId="0" xfId="0" applyFont="1" applyFill="1" applyAlignment="1">
      <alignment horizontal="center" vertical="center"/>
    </xf>
    <xf numFmtId="0" fontId="95" fillId="67" borderId="34" xfId="0" applyFont="1" applyFill="1" applyBorder="1" applyAlignment="1">
      <alignment horizontal="center" vertical="center"/>
    </xf>
    <xf numFmtId="169" fontId="95" fillId="67" borderId="14" xfId="0" applyNumberFormat="1" applyFont="1" applyFill="1" applyBorder="1" applyAlignment="1">
      <alignment horizontal="center" vertical="center"/>
    </xf>
    <xf numFmtId="169" fontId="95" fillId="67" borderId="17" xfId="0" applyNumberFormat="1" applyFont="1" applyFill="1" applyBorder="1" applyAlignment="1">
      <alignment horizontal="center" vertical="center"/>
    </xf>
    <xf numFmtId="169" fontId="95" fillId="67" borderId="20" xfId="0" applyNumberFormat="1" applyFont="1" applyFill="1" applyBorder="1" applyAlignment="1">
      <alignment horizontal="center" vertical="center"/>
    </xf>
    <xf numFmtId="169" fontId="95" fillId="67" borderId="35" xfId="0" applyNumberFormat="1" applyFont="1" applyFill="1" applyBorder="1" applyAlignment="1">
      <alignment horizontal="center" vertical="center"/>
    </xf>
    <xf numFmtId="169" fontId="55" fillId="0" borderId="0" xfId="0" applyNumberFormat="1" applyFont="1" applyAlignment="1">
      <alignment horizontal="center" vertical="center"/>
    </xf>
    <xf numFmtId="0" fontId="101" fillId="0" borderId="0" xfId="0" applyFont="1"/>
    <xf numFmtId="0" fontId="101" fillId="0" borderId="0" xfId="0" applyFont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113" fillId="0" borderId="23" xfId="0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114" fillId="0" borderId="23" xfId="0" applyFont="1" applyBorder="1" applyAlignment="1">
      <alignment horizontal="center" vertical="center"/>
    </xf>
    <xf numFmtId="0" fontId="114" fillId="0" borderId="31" xfId="0" applyFont="1" applyBorder="1" applyAlignment="1">
      <alignment horizontal="center" vertical="center"/>
    </xf>
    <xf numFmtId="169" fontId="0" fillId="0" borderId="0" xfId="0" applyNumberFormat="1"/>
    <xf numFmtId="1" fontId="42" fillId="0" borderId="8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5" fillId="0" borderId="33" xfId="0" applyFont="1" applyBorder="1" applyAlignment="1">
      <alignment horizontal="center"/>
    </xf>
    <xf numFmtId="0" fontId="99" fillId="0" borderId="16" xfId="0" applyFont="1" applyBorder="1" applyAlignment="1">
      <alignment horizontal="center"/>
    </xf>
    <xf numFmtId="169" fontId="99" fillId="40" borderId="18" xfId="0" applyNumberFormat="1" applyFont="1" applyFill="1" applyBorder="1" applyAlignment="1">
      <alignment horizontal="center"/>
    </xf>
    <xf numFmtId="169" fontId="43" fillId="0" borderId="18" xfId="0" applyNumberFormat="1" applyFont="1" applyBorder="1" applyAlignment="1">
      <alignment horizontal="center"/>
    </xf>
    <xf numFmtId="169" fontId="41" fillId="0" borderId="18" xfId="0" applyNumberFormat="1" applyFont="1" applyBorder="1" applyAlignment="1">
      <alignment horizontal="center"/>
    </xf>
    <xf numFmtId="169" fontId="41" fillId="0" borderId="21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5" fillId="0" borderId="86" xfId="0" applyFont="1" applyBorder="1" applyAlignment="1">
      <alignment horizontal="center" vertical="center"/>
    </xf>
    <xf numFmtId="0" fontId="32" fillId="0" borderId="86" xfId="0" applyFont="1" applyBorder="1" applyAlignment="1">
      <alignment horizontal="center" vertical="center"/>
    </xf>
    <xf numFmtId="0" fontId="32" fillId="0" borderId="88" xfId="0" applyFont="1" applyBorder="1" applyAlignment="1">
      <alignment horizontal="center" vertical="center"/>
    </xf>
    <xf numFmtId="0" fontId="0" fillId="42" borderId="2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69" fontId="44" fillId="0" borderId="23" xfId="0" applyNumberFormat="1" applyFont="1" applyBorder="1" applyAlignment="1">
      <alignment horizontal="center" vertical="center"/>
    </xf>
    <xf numFmtId="169" fontId="111" fillId="0" borderId="23" xfId="0" applyNumberFormat="1" applyFont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43" borderId="23" xfId="0" applyFill="1" applyBorder="1" applyAlignment="1">
      <alignment horizontal="center" vertical="center"/>
    </xf>
    <xf numFmtId="0" fontId="0" fillId="44" borderId="23" xfId="0" applyFill="1" applyBorder="1" applyAlignment="1">
      <alignment horizontal="center" vertical="center"/>
    </xf>
    <xf numFmtId="0" fontId="0" fillId="41" borderId="23" xfId="0" applyFill="1" applyBorder="1" applyAlignment="1">
      <alignment horizontal="center" vertical="center"/>
    </xf>
    <xf numFmtId="0" fontId="17" fillId="45" borderId="23" xfId="0" applyFont="1" applyFill="1" applyBorder="1" applyAlignment="1">
      <alignment horizontal="center" vertical="center"/>
    </xf>
    <xf numFmtId="0" fontId="17" fillId="50" borderId="23" xfId="0" applyFont="1" applyFill="1" applyBorder="1" applyAlignment="1">
      <alignment horizontal="center" vertical="center"/>
    </xf>
    <xf numFmtId="0" fontId="0" fillId="46" borderId="23" xfId="0" applyFill="1" applyBorder="1" applyAlignment="1">
      <alignment horizontal="center" vertical="center"/>
    </xf>
    <xf numFmtId="0" fontId="17" fillId="47" borderId="23" xfId="0" applyFont="1" applyFill="1" applyBorder="1" applyAlignment="1">
      <alignment horizontal="center" vertical="center"/>
    </xf>
    <xf numFmtId="0" fontId="17" fillId="48" borderId="23" xfId="0" applyFont="1" applyFill="1" applyBorder="1" applyAlignment="1">
      <alignment horizontal="center" vertical="center"/>
    </xf>
    <xf numFmtId="0" fontId="17" fillId="49" borderId="23" xfId="0" applyFont="1" applyFill="1" applyBorder="1" applyAlignment="1">
      <alignment horizontal="center" vertical="center"/>
    </xf>
    <xf numFmtId="0" fontId="17" fillId="35" borderId="23" xfId="0" applyFont="1" applyFill="1" applyBorder="1" applyAlignment="1">
      <alignment horizontal="center" vertical="center"/>
    </xf>
    <xf numFmtId="0" fontId="0" fillId="51" borderId="23" xfId="0" applyFill="1" applyBorder="1" applyAlignment="1">
      <alignment horizontal="center" vertical="center"/>
    </xf>
    <xf numFmtId="0" fontId="17" fillId="52" borderId="23" xfId="0" applyFont="1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17" fillId="53" borderId="23" xfId="0" applyFont="1" applyFill="1" applyBorder="1" applyAlignment="1">
      <alignment horizontal="center" vertical="center"/>
    </xf>
    <xf numFmtId="0" fontId="63" fillId="54" borderId="23" xfId="0" applyFont="1" applyFill="1" applyBorder="1" applyAlignment="1">
      <alignment horizontal="center" vertical="center"/>
    </xf>
    <xf numFmtId="0" fontId="15" fillId="44" borderId="23" xfId="0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169" fontId="111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0" fillId="68" borderId="0" xfId="0" applyFill="1" applyAlignment="1">
      <alignment horizontal="center" vertical="center"/>
    </xf>
    <xf numFmtId="1" fontId="32" fillId="0" borderId="23" xfId="0" applyNumberFormat="1" applyFont="1" applyBorder="1" applyAlignment="1">
      <alignment horizontal="center" vertical="center"/>
    </xf>
    <xf numFmtId="1" fontId="107" fillId="0" borderId="23" xfId="0" applyNumberFormat="1" applyFont="1" applyBorder="1" applyAlignment="1">
      <alignment horizontal="center" vertical="center"/>
    </xf>
    <xf numFmtId="1" fontId="74" fillId="0" borderId="23" xfId="0" applyNumberFormat="1" applyFont="1" applyBorder="1" applyAlignment="1">
      <alignment horizontal="center" vertical="center"/>
    </xf>
    <xf numFmtId="0" fontId="75" fillId="0" borderId="33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169" fontId="37" fillId="40" borderId="18" xfId="0" applyNumberFormat="1" applyFont="1" applyFill="1" applyBorder="1" applyAlignment="1">
      <alignment horizontal="center" vertical="center"/>
    </xf>
    <xf numFmtId="0" fontId="116" fillId="0" borderId="0" xfId="0" applyFont="1"/>
    <xf numFmtId="170" fontId="52" fillId="0" borderId="10" xfId="0" applyNumberFormat="1" applyFont="1" applyBorder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169" fontId="31" fillId="0" borderId="0" xfId="0" applyNumberFormat="1" applyFont="1" applyAlignment="1">
      <alignment horizontal="center" vertical="center"/>
    </xf>
    <xf numFmtId="169" fontId="42" fillId="0" borderId="0" xfId="0" applyNumberFormat="1" applyFont="1" applyAlignment="1">
      <alignment horizontal="center" vertical="center"/>
    </xf>
    <xf numFmtId="169" fontId="32" fillId="0" borderId="0" xfId="0" applyNumberFormat="1" applyFont="1" applyAlignment="1">
      <alignment horizontal="center" vertical="center"/>
    </xf>
    <xf numFmtId="169" fontId="34" fillId="40" borderId="90" xfId="0" applyNumberFormat="1" applyFont="1" applyFill="1" applyBorder="1" applyAlignment="1">
      <alignment horizontal="center" vertical="center"/>
    </xf>
    <xf numFmtId="169" fontId="40" fillId="40" borderId="90" xfId="0" applyNumberFormat="1" applyFont="1" applyFill="1" applyBorder="1" applyAlignment="1">
      <alignment horizontal="center" vertical="center"/>
    </xf>
    <xf numFmtId="49" fontId="98" fillId="40" borderId="90" xfId="0" applyNumberFormat="1" applyFont="1" applyFill="1" applyBorder="1" applyAlignment="1">
      <alignment horizontal="center" vertical="center"/>
    </xf>
    <xf numFmtId="169" fontId="99" fillId="40" borderId="90" xfId="0" applyNumberFormat="1" applyFont="1" applyFill="1" applyBorder="1" applyAlignment="1">
      <alignment horizontal="center" vertical="center"/>
    </xf>
    <xf numFmtId="0" fontId="31" fillId="0" borderId="85" xfId="0" applyFont="1" applyBorder="1" applyAlignment="1">
      <alignment horizontal="center" vertical="center"/>
    </xf>
    <xf numFmtId="170" fontId="34" fillId="2" borderId="93" xfId="0" applyNumberFormat="1" applyFont="1" applyFill="1" applyBorder="1" applyAlignment="1">
      <alignment horizontal="center" vertical="center"/>
    </xf>
    <xf numFmtId="169" fontId="44" fillId="2" borderId="93" xfId="0" applyNumberFormat="1" applyFont="1" applyFill="1" applyBorder="1" applyAlignment="1">
      <alignment horizontal="center" vertical="center"/>
    </xf>
    <xf numFmtId="49" fontId="44" fillId="2" borderId="93" xfId="0" applyNumberFormat="1" applyFont="1" applyFill="1" applyBorder="1" applyAlignment="1">
      <alignment horizontal="center" vertical="center"/>
    </xf>
    <xf numFmtId="169" fontId="32" fillId="0" borderId="85" xfId="0" applyNumberFormat="1" applyFont="1" applyBorder="1" applyAlignment="1">
      <alignment horizontal="center" vertical="center"/>
    </xf>
    <xf numFmtId="0" fontId="115" fillId="0" borderId="85" xfId="0" applyFont="1" applyBorder="1" applyAlignment="1">
      <alignment horizontal="center" vertical="center"/>
    </xf>
    <xf numFmtId="169" fontId="32" fillId="0" borderId="63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35" fillId="0" borderId="85" xfId="0" applyFont="1" applyBorder="1" applyAlignment="1">
      <alignment horizontal="center" vertical="center"/>
    </xf>
    <xf numFmtId="0" fontId="74" fillId="0" borderId="85" xfId="0" applyFont="1" applyBorder="1" applyAlignment="1">
      <alignment horizontal="center" vertical="center"/>
    </xf>
    <xf numFmtId="169" fontId="34" fillId="0" borderId="10" xfId="0" applyNumberFormat="1" applyFont="1" applyBorder="1" applyAlignment="1">
      <alignment horizontal="center" vertical="center"/>
    </xf>
    <xf numFmtId="49" fontId="119" fillId="40" borderId="90" xfId="0" applyNumberFormat="1" applyFont="1" applyFill="1" applyBorder="1" applyAlignment="1">
      <alignment horizontal="center" vertical="center"/>
    </xf>
    <xf numFmtId="49" fontId="119" fillId="40" borderId="10" xfId="0" applyNumberFormat="1" applyFont="1" applyFill="1" applyBorder="1" applyAlignment="1">
      <alignment horizontal="center" vertical="center"/>
    </xf>
    <xf numFmtId="0" fontId="120" fillId="0" borderId="85" xfId="0" applyFont="1" applyBorder="1" applyAlignment="1">
      <alignment horizontal="center" vertical="center"/>
    </xf>
    <xf numFmtId="0" fontId="120" fillId="0" borderId="63" xfId="0" applyFont="1" applyBorder="1" applyAlignment="1">
      <alignment horizontal="center" vertical="center"/>
    </xf>
    <xf numFmtId="0" fontId="120" fillId="37" borderId="63" xfId="0" applyFont="1" applyFill="1" applyBorder="1" applyAlignment="1">
      <alignment horizontal="center" vertical="center"/>
    </xf>
    <xf numFmtId="169" fontId="119" fillId="37" borderId="63" xfId="0" applyNumberFormat="1" applyFont="1" applyFill="1" applyBorder="1" applyAlignment="1">
      <alignment horizontal="center" vertical="center"/>
    </xf>
    <xf numFmtId="0" fontId="119" fillId="37" borderId="63" xfId="0" applyFont="1" applyFill="1" applyBorder="1" applyAlignment="1">
      <alignment horizontal="center" vertical="center"/>
    </xf>
    <xf numFmtId="169" fontId="121" fillId="63" borderId="89" xfId="0" applyNumberFormat="1" applyFont="1" applyFill="1" applyBorder="1" applyAlignment="1">
      <alignment horizontal="center" vertical="center"/>
    </xf>
    <xf numFmtId="169" fontId="121" fillId="63" borderId="17" xfId="0" applyNumberFormat="1" applyFont="1" applyFill="1" applyBorder="1" applyAlignment="1">
      <alignment horizontal="center" vertical="center"/>
    </xf>
    <xf numFmtId="169" fontId="121" fillId="63" borderId="35" xfId="0" applyNumberFormat="1" applyFont="1" applyFill="1" applyBorder="1" applyAlignment="1">
      <alignment horizontal="center" vertical="center"/>
    </xf>
    <xf numFmtId="169" fontId="121" fillId="63" borderId="93" xfId="0" applyNumberFormat="1" applyFont="1" applyFill="1" applyBorder="1" applyAlignment="1">
      <alignment horizontal="center" vertical="center"/>
    </xf>
    <xf numFmtId="169" fontId="121" fillId="65" borderId="89" xfId="0" applyNumberFormat="1" applyFont="1" applyFill="1" applyBorder="1" applyAlignment="1">
      <alignment horizontal="center" vertical="center"/>
    </xf>
    <xf numFmtId="169" fontId="121" fillId="65" borderId="17" xfId="0" applyNumberFormat="1" applyFont="1" applyFill="1" applyBorder="1" applyAlignment="1">
      <alignment horizontal="center" vertical="center"/>
    </xf>
    <xf numFmtId="169" fontId="121" fillId="65" borderId="35" xfId="0" applyNumberFormat="1" applyFont="1" applyFill="1" applyBorder="1" applyAlignment="1">
      <alignment horizontal="center" vertical="center"/>
    </xf>
    <xf numFmtId="169" fontId="121" fillId="65" borderId="93" xfId="0" applyNumberFormat="1" applyFont="1" applyFill="1" applyBorder="1" applyAlignment="1">
      <alignment horizontal="center" vertical="center"/>
    </xf>
    <xf numFmtId="169" fontId="118" fillId="40" borderId="89" xfId="0" applyNumberFormat="1" applyFont="1" applyFill="1" applyBorder="1" applyAlignment="1">
      <alignment horizontal="center" vertical="center"/>
    </xf>
    <xf numFmtId="169" fontId="118" fillId="40" borderId="17" xfId="0" applyNumberFormat="1" applyFont="1" applyFill="1" applyBorder="1" applyAlignment="1">
      <alignment horizontal="center" vertical="center"/>
    </xf>
    <xf numFmtId="169" fontId="118" fillId="40" borderId="35" xfId="0" applyNumberFormat="1" applyFont="1" applyFill="1" applyBorder="1" applyAlignment="1">
      <alignment horizontal="center" vertical="center"/>
    </xf>
    <xf numFmtId="169" fontId="118" fillId="40" borderId="93" xfId="0" applyNumberFormat="1" applyFont="1" applyFill="1" applyBorder="1" applyAlignment="1">
      <alignment horizontal="center" vertical="center"/>
    </xf>
    <xf numFmtId="169" fontId="122" fillId="41" borderId="89" xfId="0" applyNumberFormat="1" applyFont="1" applyFill="1" applyBorder="1" applyAlignment="1">
      <alignment horizontal="center" vertical="center"/>
    </xf>
    <xf numFmtId="169" fontId="122" fillId="41" borderId="17" xfId="0" applyNumberFormat="1" applyFont="1" applyFill="1" applyBorder="1" applyAlignment="1">
      <alignment horizontal="center" vertical="center"/>
    </xf>
    <xf numFmtId="169" fontId="108" fillId="0" borderId="0" xfId="0" applyNumberFormat="1" applyFont="1" applyAlignment="1">
      <alignment horizontal="center" vertical="center"/>
    </xf>
    <xf numFmtId="169" fontId="122" fillId="41" borderId="35" xfId="0" applyNumberFormat="1" applyFont="1" applyFill="1" applyBorder="1" applyAlignment="1">
      <alignment horizontal="center" vertical="center"/>
    </xf>
    <xf numFmtId="169" fontId="122" fillId="41" borderId="93" xfId="0" applyNumberFormat="1" applyFont="1" applyFill="1" applyBorder="1" applyAlignment="1">
      <alignment horizontal="center" vertical="center"/>
    </xf>
    <xf numFmtId="169" fontId="123" fillId="50" borderId="89" xfId="0" applyNumberFormat="1" applyFont="1" applyFill="1" applyBorder="1" applyAlignment="1">
      <alignment horizontal="center" vertical="center"/>
    </xf>
    <xf numFmtId="169" fontId="123" fillId="50" borderId="17" xfId="0" applyNumberFormat="1" applyFont="1" applyFill="1" applyBorder="1" applyAlignment="1">
      <alignment horizontal="center" vertical="center"/>
    </xf>
    <xf numFmtId="169" fontId="123" fillId="50" borderId="35" xfId="0" applyNumberFormat="1" applyFont="1" applyFill="1" applyBorder="1" applyAlignment="1">
      <alignment horizontal="center" vertical="center"/>
    </xf>
    <xf numFmtId="169" fontId="123" fillId="50" borderId="93" xfId="0" applyNumberFormat="1" applyFont="1" applyFill="1" applyBorder="1" applyAlignment="1">
      <alignment horizontal="center" vertical="center"/>
    </xf>
    <xf numFmtId="169" fontId="122" fillId="52" borderId="89" xfId="0" applyNumberFormat="1" applyFont="1" applyFill="1" applyBorder="1" applyAlignment="1">
      <alignment horizontal="center" vertical="center"/>
    </xf>
    <xf numFmtId="169" fontId="122" fillId="52" borderId="17" xfId="0" applyNumberFormat="1" applyFont="1" applyFill="1" applyBorder="1" applyAlignment="1">
      <alignment horizontal="center" vertical="center"/>
    </xf>
    <xf numFmtId="169" fontId="122" fillId="52" borderId="35" xfId="0" applyNumberFormat="1" applyFont="1" applyFill="1" applyBorder="1" applyAlignment="1">
      <alignment horizontal="center" vertical="center"/>
    </xf>
    <xf numFmtId="169" fontId="122" fillId="52" borderId="93" xfId="0" applyNumberFormat="1" applyFont="1" applyFill="1" applyBorder="1" applyAlignment="1">
      <alignment horizontal="center" vertical="center"/>
    </xf>
    <xf numFmtId="169" fontId="122" fillId="0" borderId="89" xfId="0" applyNumberFormat="1" applyFont="1" applyBorder="1" applyAlignment="1">
      <alignment horizontal="center" vertical="center"/>
    </xf>
    <xf numFmtId="169" fontId="122" fillId="0" borderId="93" xfId="0" applyNumberFormat="1" applyFont="1" applyBorder="1" applyAlignment="1">
      <alignment horizontal="center" vertical="center"/>
    </xf>
    <xf numFmtId="169" fontId="122" fillId="0" borderId="0" xfId="0" applyNumberFormat="1" applyFont="1" applyAlignment="1">
      <alignment horizontal="center" vertical="center"/>
    </xf>
    <xf numFmtId="169" fontId="124" fillId="2" borderId="89" xfId="0" applyNumberFormat="1" applyFont="1" applyFill="1" applyBorder="1" applyAlignment="1">
      <alignment horizontal="center" vertical="center"/>
    </xf>
    <xf numFmtId="169" fontId="124" fillId="2" borderId="17" xfId="0" applyNumberFormat="1" applyFont="1" applyFill="1" applyBorder="1" applyAlignment="1">
      <alignment horizontal="center" vertical="center"/>
    </xf>
    <xf numFmtId="169" fontId="124" fillId="2" borderId="35" xfId="0" applyNumberFormat="1" applyFont="1" applyFill="1" applyBorder="1" applyAlignment="1">
      <alignment horizontal="center" vertical="center"/>
    </xf>
    <xf numFmtId="169" fontId="124" fillId="2" borderId="93" xfId="0" applyNumberFormat="1" applyFont="1" applyFill="1" applyBorder="1" applyAlignment="1">
      <alignment horizontal="center" vertical="center"/>
    </xf>
    <xf numFmtId="169" fontId="122" fillId="57" borderId="89" xfId="0" applyNumberFormat="1" applyFont="1" applyFill="1" applyBorder="1" applyAlignment="1">
      <alignment horizontal="center" vertical="center"/>
    </xf>
    <xf numFmtId="169" fontId="122" fillId="57" borderId="17" xfId="0" applyNumberFormat="1" applyFont="1" applyFill="1" applyBorder="1" applyAlignment="1">
      <alignment horizontal="center" vertical="center"/>
    </xf>
    <xf numFmtId="169" fontId="122" fillId="57" borderId="35" xfId="0" applyNumberFormat="1" applyFont="1" applyFill="1" applyBorder="1" applyAlignment="1">
      <alignment horizontal="center" vertical="center"/>
    </xf>
    <xf numFmtId="169" fontId="122" fillId="57" borderId="93" xfId="0" applyNumberFormat="1" applyFont="1" applyFill="1" applyBorder="1" applyAlignment="1">
      <alignment horizontal="center" vertical="center"/>
    </xf>
    <xf numFmtId="169" fontId="121" fillId="53" borderId="89" xfId="0" applyNumberFormat="1" applyFont="1" applyFill="1" applyBorder="1" applyAlignment="1">
      <alignment horizontal="center" vertical="center"/>
    </xf>
    <xf numFmtId="169" fontId="121" fillId="53" borderId="17" xfId="0" applyNumberFormat="1" applyFont="1" applyFill="1" applyBorder="1" applyAlignment="1">
      <alignment horizontal="center" vertical="center"/>
    </xf>
    <xf numFmtId="169" fontId="121" fillId="53" borderId="35" xfId="0" applyNumberFormat="1" applyFont="1" applyFill="1" applyBorder="1" applyAlignment="1">
      <alignment horizontal="center" vertical="center"/>
    </xf>
    <xf numFmtId="169" fontId="121" fillId="53" borderId="93" xfId="0" applyNumberFormat="1" applyFont="1" applyFill="1" applyBorder="1" applyAlignment="1">
      <alignment horizontal="center" vertical="center"/>
    </xf>
    <xf numFmtId="169" fontId="121" fillId="67" borderId="89" xfId="0" applyNumberFormat="1" applyFont="1" applyFill="1" applyBorder="1" applyAlignment="1">
      <alignment horizontal="center" vertical="center"/>
    </xf>
    <xf numFmtId="169" fontId="121" fillId="67" borderId="17" xfId="0" applyNumberFormat="1" applyFont="1" applyFill="1" applyBorder="1" applyAlignment="1">
      <alignment horizontal="center" vertical="center"/>
    </xf>
    <xf numFmtId="169" fontId="121" fillId="67" borderId="35" xfId="0" applyNumberFormat="1" applyFont="1" applyFill="1" applyBorder="1" applyAlignment="1">
      <alignment horizontal="center" vertical="center"/>
    </xf>
    <xf numFmtId="169" fontId="121" fillId="67" borderId="93" xfId="0" applyNumberFormat="1" applyFont="1" applyFill="1" applyBorder="1" applyAlignment="1">
      <alignment horizontal="center" vertical="center"/>
    </xf>
    <xf numFmtId="169" fontId="123" fillId="64" borderId="89" xfId="0" applyNumberFormat="1" applyFont="1" applyFill="1" applyBorder="1" applyAlignment="1">
      <alignment horizontal="center" vertical="center"/>
    </xf>
    <xf numFmtId="169" fontId="123" fillId="64" borderId="17" xfId="0" applyNumberFormat="1" applyFont="1" applyFill="1" applyBorder="1" applyAlignment="1">
      <alignment horizontal="center" vertical="center"/>
    </xf>
    <xf numFmtId="169" fontId="123" fillId="64" borderId="35" xfId="0" applyNumberFormat="1" applyFont="1" applyFill="1" applyBorder="1" applyAlignment="1">
      <alignment horizontal="center" vertical="center"/>
    </xf>
    <xf numFmtId="169" fontId="123" fillId="64" borderId="93" xfId="0" applyNumberFormat="1" applyFont="1" applyFill="1" applyBorder="1" applyAlignment="1">
      <alignment horizontal="center" vertical="center"/>
    </xf>
    <xf numFmtId="169" fontId="121" fillId="45" borderId="89" xfId="0" applyNumberFormat="1" applyFont="1" applyFill="1" applyBorder="1" applyAlignment="1">
      <alignment horizontal="center" vertical="center"/>
    </xf>
    <xf numFmtId="169" fontId="121" fillId="45" borderId="17" xfId="0" applyNumberFormat="1" applyFont="1" applyFill="1" applyBorder="1" applyAlignment="1">
      <alignment horizontal="center" vertical="center"/>
    </xf>
    <xf numFmtId="169" fontId="121" fillId="45" borderId="35" xfId="0" applyNumberFormat="1" applyFont="1" applyFill="1" applyBorder="1" applyAlignment="1">
      <alignment horizontal="center" vertical="center"/>
    </xf>
    <xf numFmtId="169" fontId="121" fillId="45" borderId="93" xfId="0" applyNumberFormat="1" applyFont="1" applyFill="1" applyBorder="1" applyAlignment="1">
      <alignment horizontal="center" vertical="center"/>
    </xf>
    <xf numFmtId="169" fontId="124" fillId="36" borderId="89" xfId="0" applyNumberFormat="1" applyFont="1" applyFill="1" applyBorder="1" applyAlignment="1">
      <alignment horizontal="center" vertical="center"/>
    </xf>
    <xf numFmtId="169" fontId="124" fillId="36" borderId="17" xfId="0" applyNumberFormat="1" applyFont="1" applyFill="1" applyBorder="1" applyAlignment="1">
      <alignment horizontal="center" vertical="center"/>
    </xf>
    <xf numFmtId="169" fontId="124" fillId="36" borderId="35" xfId="0" applyNumberFormat="1" applyFont="1" applyFill="1" applyBorder="1" applyAlignment="1">
      <alignment horizontal="center" vertical="center"/>
    </xf>
    <xf numFmtId="169" fontId="124" fillId="36" borderId="93" xfId="0" applyNumberFormat="1" applyFont="1" applyFill="1" applyBorder="1" applyAlignment="1">
      <alignment horizontal="center" vertical="center"/>
    </xf>
    <xf numFmtId="169" fontId="118" fillId="57" borderId="17" xfId="0" applyNumberFormat="1" applyFont="1" applyFill="1" applyBorder="1" applyAlignment="1">
      <alignment horizontal="center" vertical="center"/>
    </xf>
    <xf numFmtId="169" fontId="122" fillId="0" borderId="17" xfId="0" applyNumberFormat="1" applyFont="1" applyBorder="1" applyAlignment="1">
      <alignment horizontal="center" vertical="center"/>
    </xf>
    <xf numFmtId="169" fontId="121" fillId="56" borderId="17" xfId="0" applyNumberFormat="1" applyFont="1" applyFill="1" applyBorder="1" applyAlignment="1">
      <alignment horizontal="center" vertical="center"/>
    </xf>
    <xf numFmtId="169" fontId="122" fillId="58" borderId="17" xfId="0" applyNumberFormat="1" applyFont="1" applyFill="1" applyBorder="1" applyAlignment="1">
      <alignment horizontal="center" vertical="center"/>
    </xf>
    <xf numFmtId="169" fontId="123" fillId="49" borderId="17" xfId="0" applyNumberFormat="1" applyFont="1" applyFill="1" applyBorder="1" applyAlignment="1">
      <alignment horizontal="center" vertical="center"/>
    </xf>
    <xf numFmtId="169" fontId="125" fillId="66" borderId="17" xfId="0" applyNumberFormat="1" applyFont="1" applyFill="1" applyBorder="1" applyAlignment="1">
      <alignment horizontal="center" vertical="center"/>
    </xf>
    <xf numFmtId="169" fontId="118" fillId="59" borderId="17" xfId="0" applyNumberFormat="1" applyFont="1" applyFill="1" applyBorder="1" applyAlignment="1">
      <alignment horizontal="center" vertical="center"/>
    </xf>
    <xf numFmtId="169" fontId="122" fillId="60" borderId="17" xfId="0" applyNumberFormat="1" applyFont="1" applyFill="1" applyBorder="1" applyAlignment="1">
      <alignment horizontal="center" vertical="center"/>
    </xf>
    <xf numFmtId="0" fontId="115" fillId="0" borderId="23" xfId="0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0" fontId="83" fillId="39" borderId="40" xfId="0" applyFont="1" applyFill="1" applyBorder="1" applyAlignment="1">
      <alignment horizontal="center" vertical="center"/>
    </xf>
    <xf numFmtId="0" fontId="83" fillId="39" borderId="41" xfId="0" applyFont="1" applyFill="1" applyBorder="1" applyAlignment="1">
      <alignment horizontal="center" vertical="center"/>
    </xf>
    <xf numFmtId="0" fontId="83" fillId="39" borderId="42" xfId="0" applyFont="1" applyFill="1" applyBorder="1" applyAlignment="1">
      <alignment horizontal="center" vertical="center"/>
    </xf>
    <xf numFmtId="0" fontId="108" fillId="0" borderId="61" xfId="0" applyFont="1" applyBorder="1" applyAlignment="1">
      <alignment horizontal="center" vertical="center"/>
    </xf>
    <xf numFmtId="0" fontId="48" fillId="0" borderId="61" xfId="0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0" fontId="47" fillId="0" borderId="62" xfId="0" applyFont="1" applyBorder="1" applyAlignment="1">
      <alignment horizontal="center" vertical="center"/>
    </xf>
    <xf numFmtId="0" fontId="117" fillId="0" borderId="92" xfId="0" applyFont="1" applyBorder="1" applyAlignment="1">
      <alignment horizontal="center" vertical="center"/>
    </xf>
    <xf numFmtId="0" fontId="47" fillId="0" borderId="94" xfId="0" applyFont="1" applyBorder="1" applyAlignment="1">
      <alignment horizontal="center" vertical="center"/>
    </xf>
    <xf numFmtId="0" fontId="47" fillId="0" borderId="92" xfId="0" applyFont="1" applyBorder="1" applyAlignment="1">
      <alignment horizontal="center" vertical="center"/>
    </xf>
    <xf numFmtId="169" fontId="48" fillId="0" borderId="40" xfId="0" applyNumberFormat="1" applyFont="1" applyBorder="1" applyAlignment="1">
      <alignment horizontal="center" vertical="center"/>
    </xf>
    <xf numFmtId="169" fontId="47" fillId="0" borderId="0" xfId="0" applyNumberFormat="1" applyFont="1" applyAlignment="1">
      <alignment horizontal="center" vertical="center"/>
    </xf>
    <xf numFmtId="0" fontId="48" fillId="0" borderId="85" xfId="0" applyFont="1" applyBorder="1" applyAlignment="1">
      <alignment horizontal="center" vertical="center"/>
    </xf>
    <xf numFmtId="0" fontId="47" fillId="0" borderId="64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47" fillId="0" borderId="65" xfId="0" applyFont="1" applyBorder="1" applyAlignment="1">
      <alignment horizontal="center" vertical="center"/>
    </xf>
    <xf numFmtId="169" fontId="48" fillId="0" borderId="62" xfId="0" applyNumberFormat="1" applyFont="1" applyBorder="1" applyAlignment="1">
      <alignment horizontal="center" vertical="center"/>
    </xf>
    <xf numFmtId="169" fontId="48" fillId="0" borderId="92" xfId="0" applyNumberFormat="1" applyFont="1" applyBorder="1" applyAlignment="1">
      <alignment horizontal="center" vertical="center"/>
    </xf>
    <xf numFmtId="169" fontId="48" fillId="0" borderId="23" xfId="0" applyNumberFormat="1" applyFont="1" applyBorder="1" applyAlignment="1">
      <alignment horizontal="center" vertical="center"/>
    </xf>
    <xf numFmtId="169" fontId="113" fillId="0" borderId="94" xfId="0" applyNumberFormat="1" applyFont="1" applyBorder="1" applyAlignment="1">
      <alignment horizontal="center" vertical="center"/>
    </xf>
    <xf numFmtId="169" fontId="48" fillId="0" borderId="65" xfId="0" applyNumberFormat="1" applyFont="1" applyBorder="1" applyAlignment="1">
      <alignment horizontal="center" vertical="center"/>
    </xf>
    <xf numFmtId="169" fontId="113" fillId="0" borderId="0" xfId="0" applyNumberFormat="1" applyFont="1" applyAlignment="1">
      <alignment horizontal="center" vertical="center"/>
    </xf>
    <xf numFmtId="169" fontId="48" fillId="0" borderId="0" xfId="0" applyNumberFormat="1" applyFont="1" applyAlignment="1">
      <alignment horizontal="center" vertical="center"/>
    </xf>
    <xf numFmtId="169" fontId="47" fillId="0" borderId="26" xfId="0" applyNumberFormat="1" applyFont="1" applyBorder="1" applyAlignment="1">
      <alignment horizontal="center" vertical="center"/>
    </xf>
    <xf numFmtId="0" fontId="48" fillId="0" borderId="63" xfId="0" applyFont="1" applyBorder="1" applyAlignment="1">
      <alignment horizontal="center" vertical="center"/>
    </xf>
    <xf numFmtId="169" fontId="84" fillId="40" borderId="91" xfId="0" applyNumberFormat="1" applyFont="1" applyFill="1" applyBorder="1" applyAlignment="1">
      <alignment horizontal="center" vertical="center"/>
    </xf>
    <xf numFmtId="169" fontId="84" fillId="40" borderId="60" xfId="0" applyNumberFormat="1" applyFont="1" applyFill="1" applyBorder="1" applyAlignment="1">
      <alignment horizontal="center" vertical="center"/>
    </xf>
    <xf numFmtId="169" fontId="126" fillId="2" borderId="35" xfId="0" applyNumberFormat="1" applyFont="1" applyFill="1" applyBorder="1" applyAlignment="1">
      <alignment horizontal="center" vertical="center"/>
    </xf>
    <xf numFmtId="169" fontId="126" fillId="2" borderId="93" xfId="0" applyNumberFormat="1" applyFont="1" applyFill="1" applyBorder="1" applyAlignment="1">
      <alignment horizontal="center" vertical="center"/>
    </xf>
    <xf numFmtId="169" fontId="107" fillId="0" borderId="0" xfId="0" applyNumberFormat="1" applyFont="1" applyAlignment="1">
      <alignment horizontal="center" vertical="center"/>
    </xf>
    <xf numFmtId="169" fontId="127" fillId="0" borderId="0" xfId="0" applyNumberFormat="1" applyFont="1" applyAlignment="1">
      <alignment horizontal="center" vertical="center"/>
    </xf>
    <xf numFmtId="1" fontId="74" fillId="0" borderId="85" xfId="0" applyNumberFormat="1" applyFont="1" applyBorder="1" applyAlignment="1">
      <alignment horizontal="center" vertical="center" wrapText="1"/>
    </xf>
    <xf numFmtId="1" fontId="74" fillId="0" borderId="0" xfId="0" applyNumberFormat="1" applyFont="1" applyAlignment="1">
      <alignment horizontal="center" vertical="center" wrapText="1"/>
    </xf>
    <xf numFmtId="1" fontId="75" fillId="0" borderId="85" xfId="0" applyNumberFormat="1" applyFont="1" applyBorder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95" fillId="36" borderId="26" xfId="0" applyFont="1" applyFill="1" applyBorder="1" applyAlignment="1">
      <alignment horizontal="center" vertical="center"/>
    </xf>
    <xf numFmtId="0" fontId="95" fillId="36" borderId="0" xfId="0" applyFont="1" applyFill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1" fontId="103" fillId="0" borderId="0" xfId="0" applyNumberFormat="1" applyFont="1" applyAlignment="1">
      <alignment horizontal="center" vertical="center"/>
    </xf>
    <xf numFmtId="1" fontId="107" fillId="0" borderId="85" xfId="0" applyNumberFormat="1" applyFont="1" applyBorder="1" applyAlignment="1">
      <alignment horizontal="center" vertical="center"/>
    </xf>
    <xf numFmtId="1" fontId="107" fillId="0" borderId="0" xfId="0" applyNumberFormat="1" applyFont="1" applyAlignment="1">
      <alignment horizontal="center" vertical="center"/>
    </xf>
    <xf numFmtId="1" fontId="48" fillId="0" borderId="85" xfId="0" applyNumberFormat="1" applyFont="1" applyBorder="1" applyAlignment="1">
      <alignment horizontal="center" vertical="center" wrapText="1"/>
    </xf>
    <xf numFmtId="1" fontId="48" fillId="0" borderId="0" xfId="0" applyNumberFormat="1" applyFont="1" applyAlignment="1">
      <alignment horizontal="center" vertical="center" wrapText="1"/>
    </xf>
    <xf numFmtId="0" fontId="65" fillId="61" borderId="46" xfId="0" applyFont="1" applyFill="1" applyBorder="1" applyAlignment="1">
      <alignment horizontal="center" vertical="center" wrapText="1"/>
    </xf>
    <xf numFmtId="0" fontId="65" fillId="61" borderId="47" xfId="0" applyFont="1" applyFill="1" applyBorder="1" applyAlignment="1">
      <alignment horizontal="center" vertical="center" wrapText="1"/>
    </xf>
    <xf numFmtId="0" fontId="65" fillId="61" borderId="48" xfId="0" applyFont="1" applyFill="1" applyBorder="1" applyAlignment="1">
      <alignment horizontal="center" vertical="center" wrapText="1"/>
    </xf>
    <xf numFmtId="0" fontId="65" fillId="61" borderId="43" xfId="0" applyFont="1" applyFill="1" applyBorder="1" applyAlignment="1">
      <alignment horizontal="center" vertical="center" wrapText="1"/>
    </xf>
    <xf numFmtId="0" fontId="65" fillId="61" borderId="0" xfId="0" applyFont="1" applyFill="1" applyAlignment="1">
      <alignment horizontal="center" vertical="center" wrapText="1"/>
    </xf>
    <xf numFmtId="0" fontId="65" fillId="61" borderId="49" xfId="0" applyFont="1" applyFill="1" applyBorder="1" applyAlignment="1">
      <alignment horizontal="center" vertical="center" wrapText="1"/>
    </xf>
    <xf numFmtId="0" fontId="65" fillId="61" borderId="50" xfId="0" applyFont="1" applyFill="1" applyBorder="1" applyAlignment="1">
      <alignment horizontal="center" vertical="center" wrapText="1"/>
    </xf>
    <xf numFmtId="0" fontId="65" fillId="61" borderId="51" xfId="0" applyFont="1" applyFill="1" applyBorder="1" applyAlignment="1">
      <alignment horizontal="center" vertical="center" wrapText="1"/>
    </xf>
    <xf numFmtId="0" fontId="65" fillId="61" borderId="5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170" fontId="40" fillId="37" borderId="82" xfId="0" applyNumberFormat="1" applyFont="1" applyFill="1" applyBorder="1" applyAlignment="1">
      <alignment horizontal="center" vertical="center"/>
    </xf>
    <xf numFmtId="170" fontId="40" fillId="37" borderId="83" xfId="0" applyNumberFormat="1" applyFont="1" applyFill="1" applyBorder="1" applyAlignment="1">
      <alignment horizontal="center" vertical="center"/>
    </xf>
    <xf numFmtId="170" fontId="40" fillId="37" borderId="84" xfId="0" applyNumberFormat="1" applyFont="1" applyFill="1" applyBorder="1" applyAlignment="1">
      <alignment horizontal="center" vertical="center"/>
    </xf>
    <xf numFmtId="0" fontId="59" fillId="0" borderId="38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0" borderId="36" xfId="0" applyFont="1" applyBorder="1" applyAlignment="1">
      <alignment horizontal="center" vertical="center"/>
    </xf>
  </cellXfs>
  <cellStyles count="2455">
    <cellStyle name="20% - Énfasis1" xfId="19" builtinId="30" customBuiltin="1"/>
    <cellStyle name="20% - Énfasis1 10" xfId="694" xr:uid="{00000000-0005-0000-0000-000001000000}"/>
    <cellStyle name="20% - Énfasis1 10 2" xfId="1785" xr:uid="{00000000-0005-0000-0000-000002000000}"/>
    <cellStyle name="20% - Énfasis1 11" xfId="1243" xr:uid="{00000000-0005-0000-0000-000003000000}"/>
    <cellStyle name="20% - Énfasis1 12" xfId="2329" xr:uid="{00000000-0005-0000-0000-000004000000}"/>
    <cellStyle name="20% - Énfasis1 13" xfId="2392" xr:uid="{00000000-0005-0000-0000-000005000000}"/>
    <cellStyle name="20% - Énfasis1 2" xfId="49" xr:uid="{00000000-0005-0000-0000-000006000000}"/>
    <cellStyle name="20% - Énfasis1 2 2" xfId="127" xr:uid="{00000000-0005-0000-0000-000007000000}"/>
    <cellStyle name="20% - Énfasis1 2 2 2" xfId="504" xr:uid="{00000000-0005-0000-0000-000008000000}"/>
    <cellStyle name="20% - Énfasis1 2 2 2 2" xfId="1046" xr:uid="{00000000-0005-0000-0000-000009000000}"/>
    <cellStyle name="20% - Énfasis1 2 2 2 2 2" xfId="2137" xr:uid="{00000000-0005-0000-0000-00000A000000}"/>
    <cellStyle name="20% - Énfasis1 2 2 2 3" xfId="1595" xr:uid="{00000000-0005-0000-0000-00000B000000}"/>
    <cellStyle name="20% - Énfasis1 2 2 3" xfId="775" xr:uid="{00000000-0005-0000-0000-00000C000000}"/>
    <cellStyle name="20% - Énfasis1 2 2 3 2" xfId="1866" xr:uid="{00000000-0005-0000-0000-00000D000000}"/>
    <cellStyle name="20% - Énfasis1 2 2 4" xfId="1324" xr:uid="{00000000-0005-0000-0000-00000E000000}"/>
    <cellStyle name="20% - Énfasis1 2 3" xfId="192" xr:uid="{00000000-0005-0000-0000-00000F000000}"/>
    <cellStyle name="20% - Énfasis1 2 3 2" xfId="567" xr:uid="{00000000-0005-0000-0000-000010000000}"/>
    <cellStyle name="20% - Énfasis1 2 3 2 2" xfId="1109" xr:uid="{00000000-0005-0000-0000-000011000000}"/>
    <cellStyle name="20% - Énfasis1 2 3 2 2 2" xfId="2200" xr:uid="{00000000-0005-0000-0000-000012000000}"/>
    <cellStyle name="20% - Énfasis1 2 3 2 3" xfId="1658" xr:uid="{00000000-0005-0000-0000-000013000000}"/>
    <cellStyle name="20% - Énfasis1 2 3 3" xfId="838" xr:uid="{00000000-0005-0000-0000-000014000000}"/>
    <cellStyle name="20% - Énfasis1 2 3 3 2" xfId="1929" xr:uid="{00000000-0005-0000-0000-000015000000}"/>
    <cellStyle name="20% - Énfasis1 2 3 4" xfId="1387" xr:uid="{00000000-0005-0000-0000-000016000000}"/>
    <cellStyle name="20% - Énfasis1 2 4" xfId="243" xr:uid="{00000000-0005-0000-0000-000017000000}"/>
    <cellStyle name="20% - Énfasis1 2 4 2" xfId="613" xr:uid="{00000000-0005-0000-0000-000018000000}"/>
    <cellStyle name="20% - Énfasis1 2 4 2 2" xfId="1155" xr:uid="{00000000-0005-0000-0000-000019000000}"/>
    <cellStyle name="20% - Énfasis1 2 4 2 2 2" xfId="2246" xr:uid="{00000000-0005-0000-0000-00001A000000}"/>
    <cellStyle name="20% - Énfasis1 2 4 2 3" xfId="1704" xr:uid="{00000000-0005-0000-0000-00001B000000}"/>
    <cellStyle name="20% - Énfasis1 2 4 3" xfId="884" xr:uid="{00000000-0005-0000-0000-00001C000000}"/>
    <cellStyle name="20% - Énfasis1 2 4 3 2" xfId="1975" xr:uid="{00000000-0005-0000-0000-00001D000000}"/>
    <cellStyle name="20% - Énfasis1 2 4 4" xfId="1433" xr:uid="{00000000-0005-0000-0000-00001E000000}"/>
    <cellStyle name="20% - Énfasis1 2 5" xfId="438" xr:uid="{00000000-0005-0000-0000-00001F000000}"/>
    <cellStyle name="20% - Énfasis1 2 5 2" xfId="981" xr:uid="{00000000-0005-0000-0000-000020000000}"/>
    <cellStyle name="20% - Énfasis1 2 5 2 2" xfId="2072" xr:uid="{00000000-0005-0000-0000-000021000000}"/>
    <cellStyle name="20% - Énfasis1 2 5 3" xfId="1530" xr:uid="{00000000-0005-0000-0000-000022000000}"/>
    <cellStyle name="20% - Énfasis1 2 6" xfId="710" xr:uid="{00000000-0005-0000-0000-000023000000}"/>
    <cellStyle name="20% - Énfasis1 2 6 2" xfId="1801" xr:uid="{00000000-0005-0000-0000-000024000000}"/>
    <cellStyle name="20% - Énfasis1 2 7" xfId="1259" xr:uid="{00000000-0005-0000-0000-000025000000}"/>
    <cellStyle name="20% - Énfasis1 2 8" xfId="2330" xr:uid="{00000000-0005-0000-0000-000026000000}"/>
    <cellStyle name="20% - Énfasis1 2 9" xfId="2393" xr:uid="{00000000-0005-0000-0000-000027000000}"/>
    <cellStyle name="20% - Énfasis1 2_Cuadro Talleres" xfId="244" xr:uid="{00000000-0005-0000-0000-000028000000}"/>
    <cellStyle name="20% - Énfasis1 3" xfId="65" xr:uid="{00000000-0005-0000-0000-000029000000}"/>
    <cellStyle name="20% - Énfasis1 3 2" xfId="144" xr:uid="{00000000-0005-0000-0000-00002A000000}"/>
    <cellStyle name="20% - Énfasis1 3 2 2" xfId="520" xr:uid="{00000000-0005-0000-0000-00002B000000}"/>
    <cellStyle name="20% - Énfasis1 3 2 2 2" xfId="1062" xr:uid="{00000000-0005-0000-0000-00002C000000}"/>
    <cellStyle name="20% - Énfasis1 3 2 2 2 2" xfId="2153" xr:uid="{00000000-0005-0000-0000-00002D000000}"/>
    <cellStyle name="20% - Énfasis1 3 2 2 3" xfId="1611" xr:uid="{00000000-0005-0000-0000-00002E000000}"/>
    <cellStyle name="20% - Énfasis1 3 2 3" xfId="791" xr:uid="{00000000-0005-0000-0000-00002F000000}"/>
    <cellStyle name="20% - Énfasis1 3 2 3 2" xfId="1882" xr:uid="{00000000-0005-0000-0000-000030000000}"/>
    <cellStyle name="20% - Énfasis1 3 2 4" xfId="1340" xr:uid="{00000000-0005-0000-0000-000031000000}"/>
    <cellStyle name="20% - Énfasis1 3 3" xfId="208" xr:uid="{00000000-0005-0000-0000-000032000000}"/>
    <cellStyle name="20% - Énfasis1 3 3 2" xfId="583" xr:uid="{00000000-0005-0000-0000-000033000000}"/>
    <cellStyle name="20% - Énfasis1 3 3 2 2" xfId="1125" xr:uid="{00000000-0005-0000-0000-000034000000}"/>
    <cellStyle name="20% - Énfasis1 3 3 2 2 2" xfId="2216" xr:uid="{00000000-0005-0000-0000-000035000000}"/>
    <cellStyle name="20% - Énfasis1 3 3 2 3" xfId="1674" xr:uid="{00000000-0005-0000-0000-000036000000}"/>
    <cellStyle name="20% - Énfasis1 3 3 3" xfId="854" xr:uid="{00000000-0005-0000-0000-000037000000}"/>
    <cellStyle name="20% - Énfasis1 3 3 3 2" xfId="1945" xr:uid="{00000000-0005-0000-0000-000038000000}"/>
    <cellStyle name="20% - Énfasis1 3 3 4" xfId="1403" xr:uid="{00000000-0005-0000-0000-000039000000}"/>
    <cellStyle name="20% - Énfasis1 3 4" xfId="245" xr:uid="{00000000-0005-0000-0000-00003A000000}"/>
    <cellStyle name="20% - Énfasis1 3 4 2" xfId="614" xr:uid="{00000000-0005-0000-0000-00003B000000}"/>
    <cellStyle name="20% - Énfasis1 3 4 2 2" xfId="1156" xr:uid="{00000000-0005-0000-0000-00003C000000}"/>
    <cellStyle name="20% - Énfasis1 3 4 2 2 2" xfId="2247" xr:uid="{00000000-0005-0000-0000-00003D000000}"/>
    <cellStyle name="20% - Énfasis1 3 4 2 3" xfId="1705" xr:uid="{00000000-0005-0000-0000-00003E000000}"/>
    <cellStyle name="20% - Énfasis1 3 4 3" xfId="885" xr:uid="{00000000-0005-0000-0000-00003F000000}"/>
    <cellStyle name="20% - Énfasis1 3 4 3 2" xfId="1976" xr:uid="{00000000-0005-0000-0000-000040000000}"/>
    <cellStyle name="20% - Énfasis1 3 4 4" xfId="1434" xr:uid="{00000000-0005-0000-0000-000041000000}"/>
    <cellStyle name="20% - Énfasis1 3 5" xfId="454" xr:uid="{00000000-0005-0000-0000-000042000000}"/>
    <cellStyle name="20% - Énfasis1 3 5 2" xfId="997" xr:uid="{00000000-0005-0000-0000-000043000000}"/>
    <cellStyle name="20% - Énfasis1 3 5 2 2" xfId="2088" xr:uid="{00000000-0005-0000-0000-000044000000}"/>
    <cellStyle name="20% - Énfasis1 3 5 3" xfId="1546" xr:uid="{00000000-0005-0000-0000-000045000000}"/>
    <cellStyle name="20% - Énfasis1 3 6" xfId="726" xr:uid="{00000000-0005-0000-0000-000046000000}"/>
    <cellStyle name="20% - Énfasis1 3 6 2" xfId="1817" xr:uid="{00000000-0005-0000-0000-000047000000}"/>
    <cellStyle name="20% - Énfasis1 3 7" xfId="1275" xr:uid="{00000000-0005-0000-0000-000048000000}"/>
    <cellStyle name="20% - Énfasis1 3 8" xfId="2331" xr:uid="{00000000-0005-0000-0000-000049000000}"/>
    <cellStyle name="20% - Énfasis1 3 9" xfId="2394" xr:uid="{00000000-0005-0000-0000-00004A000000}"/>
    <cellStyle name="20% - Énfasis1 3_Cuadro Talleres" xfId="246" xr:uid="{00000000-0005-0000-0000-00004B000000}"/>
    <cellStyle name="20% - Énfasis1 4" xfId="81" xr:uid="{00000000-0005-0000-0000-00004C000000}"/>
    <cellStyle name="20% - Énfasis1 4 2" xfId="159" xr:uid="{00000000-0005-0000-0000-00004D000000}"/>
    <cellStyle name="20% - Énfasis1 4 2 2" xfId="535" xr:uid="{00000000-0005-0000-0000-00004E000000}"/>
    <cellStyle name="20% - Énfasis1 4 2 2 2" xfId="1077" xr:uid="{00000000-0005-0000-0000-00004F000000}"/>
    <cellStyle name="20% - Énfasis1 4 2 2 2 2" xfId="2168" xr:uid="{00000000-0005-0000-0000-000050000000}"/>
    <cellStyle name="20% - Énfasis1 4 2 2 3" xfId="1626" xr:uid="{00000000-0005-0000-0000-000051000000}"/>
    <cellStyle name="20% - Énfasis1 4 2 3" xfId="806" xr:uid="{00000000-0005-0000-0000-000052000000}"/>
    <cellStyle name="20% - Énfasis1 4 2 3 2" xfId="1897" xr:uid="{00000000-0005-0000-0000-000053000000}"/>
    <cellStyle name="20% - Énfasis1 4 2 4" xfId="1355" xr:uid="{00000000-0005-0000-0000-000054000000}"/>
    <cellStyle name="20% - Énfasis1 4 3" xfId="224" xr:uid="{00000000-0005-0000-0000-000055000000}"/>
    <cellStyle name="20% - Énfasis1 4 3 2" xfId="599" xr:uid="{00000000-0005-0000-0000-000056000000}"/>
    <cellStyle name="20% - Énfasis1 4 3 2 2" xfId="1141" xr:uid="{00000000-0005-0000-0000-000057000000}"/>
    <cellStyle name="20% - Énfasis1 4 3 2 2 2" xfId="2232" xr:uid="{00000000-0005-0000-0000-000058000000}"/>
    <cellStyle name="20% - Énfasis1 4 3 2 3" xfId="1690" xr:uid="{00000000-0005-0000-0000-000059000000}"/>
    <cellStyle name="20% - Énfasis1 4 3 3" xfId="870" xr:uid="{00000000-0005-0000-0000-00005A000000}"/>
    <cellStyle name="20% - Énfasis1 4 3 3 2" xfId="1961" xr:uid="{00000000-0005-0000-0000-00005B000000}"/>
    <cellStyle name="20% - Énfasis1 4 3 4" xfId="1419" xr:uid="{00000000-0005-0000-0000-00005C000000}"/>
    <cellStyle name="20% - Énfasis1 4 4" xfId="247" xr:uid="{00000000-0005-0000-0000-00005D000000}"/>
    <cellStyle name="20% - Énfasis1 4 4 2" xfId="615" xr:uid="{00000000-0005-0000-0000-00005E000000}"/>
    <cellStyle name="20% - Énfasis1 4 4 2 2" xfId="1157" xr:uid="{00000000-0005-0000-0000-00005F000000}"/>
    <cellStyle name="20% - Énfasis1 4 4 2 2 2" xfId="2248" xr:uid="{00000000-0005-0000-0000-000060000000}"/>
    <cellStyle name="20% - Énfasis1 4 4 2 3" xfId="1706" xr:uid="{00000000-0005-0000-0000-000061000000}"/>
    <cellStyle name="20% - Énfasis1 4 4 3" xfId="886" xr:uid="{00000000-0005-0000-0000-000062000000}"/>
    <cellStyle name="20% - Énfasis1 4 4 3 2" xfId="1977" xr:uid="{00000000-0005-0000-0000-000063000000}"/>
    <cellStyle name="20% - Énfasis1 4 4 4" xfId="1435" xr:uid="{00000000-0005-0000-0000-000064000000}"/>
    <cellStyle name="20% - Énfasis1 4 5" xfId="470" xr:uid="{00000000-0005-0000-0000-000065000000}"/>
    <cellStyle name="20% - Énfasis1 4 5 2" xfId="1013" xr:uid="{00000000-0005-0000-0000-000066000000}"/>
    <cellStyle name="20% - Énfasis1 4 5 2 2" xfId="2104" xr:uid="{00000000-0005-0000-0000-000067000000}"/>
    <cellStyle name="20% - Énfasis1 4 5 3" xfId="1562" xr:uid="{00000000-0005-0000-0000-000068000000}"/>
    <cellStyle name="20% - Énfasis1 4 6" xfId="742" xr:uid="{00000000-0005-0000-0000-000069000000}"/>
    <cellStyle name="20% - Énfasis1 4 6 2" xfId="1833" xr:uid="{00000000-0005-0000-0000-00006A000000}"/>
    <cellStyle name="20% - Énfasis1 4 7" xfId="1291" xr:uid="{00000000-0005-0000-0000-00006B000000}"/>
    <cellStyle name="20% - Énfasis1 4_Cuadro Talleres" xfId="248" xr:uid="{00000000-0005-0000-0000-00006C000000}"/>
    <cellStyle name="20% - Énfasis1 5" xfId="111" xr:uid="{00000000-0005-0000-0000-00006D000000}"/>
    <cellStyle name="20% - Énfasis1 5 2" xfId="488" xr:uid="{00000000-0005-0000-0000-00006E000000}"/>
    <cellStyle name="20% - Énfasis1 5 2 2" xfId="1031" xr:uid="{00000000-0005-0000-0000-00006F000000}"/>
    <cellStyle name="20% - Énfasis1 5 2 2 2" xfId="2122" xr:uid="{00000000-0005-0000-0000-000070000000}"/>
    <cellStyle name="20% - Énfasis1 5 2 3" xfId="1580" xr:uid="{00000000-0005-0000-0000-000071000000}"/>
    <cellStyle name="20% - Énfasis1 5 3" xfId="760" xr:uid="{00000000-0005-0000-0000-000072000000}"/>
    <cellStyle name="20% - Énfasis1 5 3 2" xfId="1851" xr:uid="{00000000-0005-0000-0000-000073000000}"/>
    <cellStyle name="20% - Énfasis1 5 4" xfId="1309" xr:uid="{00000000-0005-0000-0000-000074000000}"/>
    <cellStyle name="20% - Énfasis1 6" xfId="175" xr:uid="{00000000-0005-0000-0000-000075000000}"/>
    <cellStyle name="20% - Énfasis1 6 2" xfId="551" xr:uid="{00000000-0005-0000-0000-000076000000}"/>
    <cellStyle name="20% - Énfasis1 6 2 2" xfId="1093" xr:uid="{00000000-0005-0000-0000-000077000000}"/>
    <cellStyle name="20% - Énfasis1 6 2 2 2" xfId="2184" xr:uid="{00000000-0005-0000-0000-000078000000}"/>
    <cellStyle name="20% - Énfasis1 6 2 3" xfId="1642" xr:uid="{00000000-0005-0000-0000-000079000000}"/>
    <cellStyle name="20% - Énfasis1 6 3" xfId="822" xr:uid="{00000000-0005-0000-0000-00007A000000}"/>
    <cellStyle name="20% - Énfasis1 6 3 2" xfId="1913" xr:uid="{00000000-0005-0000-0000-00007B000000}"/>
    <cellStyle name="20% - Énfasis1 6 4" xfId="1371" xr:uid="{00000000-0005-0000-0000-00007C000000}"/>
    <cellStyle name="20% - Énfasis1 7" xfId="249" xr:uid="{00000000-0005-0000-0000-00007D000000}"/>
    <cellStyle name="20% - Énfasis1 7 2" xfId="616" xr:uid="{00000000-0005-0000-0000-00007E000000}"/>
    <cellStyle name="20% - Énfasis1 7 2 2" xfId="1158" xr:uid="{00000000-0005-0000-0000-00007F000000}"/>
    <cellStyle name="20% - Énfasis1 7 2 2 2" xfId="2249" xr:uid="{00000000-0005-0000-0000-000080000000}"/>
    <cellStyle name="20% - Énfasis1 7 2 3" xfId="1707" xr:uid="{00000000-0005-0000-0000-000081000000}"/>
    <cellStyle name="20% - Énfasis1 7 3" xfId="887" xr:uid="{00000000-0005-0000-0000-000082000000}"/>
    <cellStyle name="20% - Énfasis1 7 3 2" xfId="1978" xr:uid="{00000000-0005-0000-0000-000083000000}"/>
    <cellStyle name="20% - Énfasis1 7 4" xfId="1436" xr:uid="{00000000-0005-0000-0000-000084000000}"/>
    <cellStyle name="20% - Énfasis1 8" xfId="250" xr:uid="{00000000-0005-0000-0000-000085000000}"/>
    <cellStyle name="20% - Énfasis1 8 2" xfId="617" xr:uid="{00000000-0005-0000-0000-000086000000}"/>
    <cellStyle name="20% - Énfasis1 8 2 2" xfId="1159" xr:uid="{00000000-0005-0000-0000-000087000000}"/>
    <cellStyle name="20% - Énfasis1 8 2 2 2" xfId="2250" xr:uid="{00000000-0005-0000-0000-000088000000}"/>
    <cellStyle name="20% - Énfasis1 8 2 3" xfId="1708" xr:uid="{00000000-0005-0000-0000-000089000000}"/>
    <cellStyle name="20% - Énfasis1 8 3" xfId="888" xr:uid="{00000000-0005-0000-0000-00008A000000}"/>
    <cellStyle name="20% - Énfasis1 8 3 2" xfId="1979" xr:uid="{00000000-0005-0000-0000-00008B000000}"/>
    <cellStyle name="20% - Énfasis1 8 4" xfId="1437" xr:uid="{00000000-0005-0000-0000-00008C000000}"/>
    <cellStyle name="20% - Énfasis1 9" xfId="422" xr:uid="{00000000-0005-0000-0000-00008D000000}"/>
    <cellStyle name="20% - Énfasis1 9 2" xfId="965" xr:uid="{00000000-0005-0000-0000-00008E000000}"/>
    <cellStyle name="20% - Énfasis1 9 2 2" xfId="2056" xr:uid="{00000000-0005-0000-0000-00008F000000}"/>
    <cellStyle name="20% - Énfasis1 9 3" xfId="1514" xr:uid="{00000000-0005-0000-0000-000090000000}"/>
    <cellStyle name="20% - Énfasis2" xfId="23" builtinId="34" customBuiltin="1"/>
    <cellStyle name="20% - Énfasis2 10" xfId="696" xr:uid="{00000000-0005-0000-0000-000092000000}"/>
    <cellStyle name="20% - Énfasis2 10 2" xfId="1787" xr:uid="{00000000-0005-0000-0000-000093000000}"/>
    <cellStyle name="20% - Énfasis2 11" xfId="1245" xr:uid="{00000000-0005-0000-0000-000094000000}"/>
    <cellStyle name="20% - Énfasis2 12" xfId="2332" xr:uid="{00000000-0005-0000-0000-000095000000}"/>
    <cellStyle name="20% - Énfasis2 13" xfId="2395" xr:uid="{00000000-0005-0000-0000-000096000000}"/>
    <cellStyle name="20% - Énfasis2 2" xfId="51" xr:uid="{00000000-0005-0000-0000-000097000000}"/>
    <cellStyle name="20% - Énfasis2 2 2" xfId="129" xr:uid="{00000000-0005-0000-0000-000098000000}"/>
    <cellStyle name="20% - Énfasis2 2 2 2" xfId="506" xr:uid="{00000000-0005-0000-0000-000099000000}"/>
    <cellStyle name="20% - Énfasis2 2 2 2 2" xfId="1048" xr:uid="{00000000-0005-0000-0000-00009A000000}"/>
    <cellStyle name="20% - Énfasis2 2 2 2 2 2" xfId="2139" xr:uid="{00000000-0005-0000-0000-00009B000000}"/>
    <cellStyle name="20% - Énfasis2 2 2 2 3" xfId="1597" xr:uid="{00000000-0005-0000-0000-00009C000000}"/>
    <cellStyle name="20% - Énfasis2 2 2 3" xfId="777" xr:uid="{00000000-0005-0000-0000-00009D000000}"/>
    <cellStyle name="20% - Énfasis2 2 2 3 2" xfId="1868" xr:uid="{00000000-0005-0000-0000-00009E000000}"/>
    <cellStyle name="20% - Énfasis2 2 2 4" xfId="1326" xr:uid="{00000000-0005-0000-0000-00009F000000}"/>
    <cellStyle name="20% - Énfasis2 2 3" xfId="194" xr:uid="{00000000-0005-0000-0000-0000A0000000}"/>
    <cellStyle name="20% - Énfasis2 2 3 2" xfId="569" xr:uid="{00000000-0005-0000-0000-0000A1000000}"/>
    <cellStyle name="20% - Énfasis2 2 3 2 2" xfId="1111" xr:uid="{00000000-0005-0000-0000-0000A2000000}"/>
    <cellStyle name="20% - Énfasis2 2 3 2 2 2" xfId="2202" xr:uid="{00000000-0005-0000-0000-0000A3000000}"/>
    <cellStyle name="20% - Énfasis2 2 3 2 3" xfId="1660" xr:uid="{00000000-0005-0000-0000-0000A4000000}"/>
    <cellStyle name="20% - Énfasis2 2 3 3" xfId="840" xr:uid="{00000000-0005-0000-0000-0000A5000000}"/>
    <cellStyle name="20% - Énfasis2 2 3 3 2" xfId="1931" xr:uid="{00000000-0005-0000-0000-0000A6000000}"/>
    <cellStyle name="20% - Énfasis2 2 3 4" xfId="1389" xr:uid="{00000000-0005-0000-0000-0000A7000000}"/>
    <cellStyle name="20% - Énfasis2 2 4" xfId="251" xr:uid="{00000000-0005-0000-0000-0000A8000000}"/>
    <cellStyle name="20% - Énfasis2 2 4 2" xfId="618" xr:uid="{00000000-0005-0000-0000-0000A9000000}"/>
    <cellStyle name="20% - Énfasis2 2 4 2 2" xfId="1160" xr:uid="{00000000-0005-0000-0000-0000AA000000}"/>
    <cellStyle name="20% - Énfasis2 2 4 2 2 2" xfId="2251" xr:uid="{00000000-0005-0000-0000-0000AB000000}"/>
    <cellStyle name="20% - Énfasis2 2 4 2 3" xfId="1709" xr:uid="{00000000-0005-0000-0000-0000AC000000}"/>
    <cellStyle name="20% - Énfasis2 2 4 3" xfId="889" xr:uid="{00000000-0005-0000-0000-0000AD000000}"/>
    <cellStyle name="20% - Énfasis2 2 4 3 2" xfId="1980" xr:uid="{00000000-0005-0000-0000-0000AE000000}"/>
    <cellStyle name="20% - Énfasis2 2 4 4" xfId="1438" xr:uid="{00000000-0005-0000-0000-0000AF000000}"/>
    <cellStyle name="20% - Énfasis2 2 5" xfId="440" xr:uid="{00000000-0005-0000-0000-0000B0000000}"/>
    <cellStyle name="20% - Énfasis2 2 5 2" xfId="983" xr:uid="{00000000-0005-0000-0000-0000B1000000}"/>
    <cellStyle name="20% - Énfasis2 2 5 2 2" xfId="2074" xr:uid="{00000000-0005-0000-0000-0000B2000000}"/>
    <cellStyle name="20% - Énfasis2 2 5 3" xfId="1532" xr:uid="{00000000-0005-0000-0000-0000B3000000}"/>
    <cellStyle name="20% - Énfasis2 2 6" xfId="712" xr:uid="{00000000-0005-0000-0000-0000B4000000}"/>
    <cellStyle name="20% - Énfasis2 2 6 2" xfId="1803" xr:uid="{00000000-0005-0000-0000-0000B5000000}"/>
    <cellStyle name="20% - Énfasis2 2 7" xfId="1261" xr:uid="{00000000-0005-0000-0000-0000B6000000}"/>
    <cellStyle name="20% - Énfasis2 2 8" xfId="2333" xr:uid="{00000000-0005-0000-0000-0000B7000000}"/>
    <cellStyle name="20% - Énfasis2 2 9" xfId="2396" xr:uid="{00000000-0005-0000-0000-0000B8000000}"/>
    <cellStyle name="20% - Énfasis2 2_Cuadro Talleres" xfId="252" xr:uid="{00000000-0005-0000-0000-0000B9000000}"/>
    <cellStyle name="20% - Énfasis2 3" xfId="67" xr:uid="{00000000-0005-0000-0000-0000BA000000}"/>
    <cellStyle name="20% - Énfasis2 3 2" xfId="146" xr:uid="{00000000-0005-0000-0000-0000BB000000}"/>
    <cellStyle name="20% - Énfasis2 3 2 2" xfId="522" xr:uid="{00000000-0005-0000-0000-0000BC000000}"/>
    <cellStyle name="20% - Énfasis2 3 2 2 2" xfId="1064" xr:uid="{00000000-0005-0000-0000-0000BD000000}"/>
    <cellStyle name="20% - Énfasis2 3 2 2 2 2" xfId="2155" xr:uid="{00000000-0005-0000-0000-0000BE000000}"/>
    <cellStyle name="20% - Énfasis2 3 2 2 3" xfId="1613" xr:uid="{00000000-0005-0000-0000-0000BF000000}"/>
    <cellStyle name="20% - Énfasis2 3 2 3" xfId="793" xr:uid="{00000000-0005-0000-0000-0000C0000000}"/>
    <cellStyle name="20% - Énfasis2 3 2 3 2" xfId="1884" xr:uid="{00000000-0005-0000-0000-0000C1000000}"/>
    <cellStyle name="20% - Énfasis2 3 2 4" xfId="1342" xr:uid="{00000000-0005-0000-0000-0000C2000000}"/>
    <cellStyle name="20% - Énfasis2 3 3" xfId="210" xr:uid="{00000000-0005-0000-0000-0000C3000000}"/>
    <cellStyle name="20% - Énfasis2 3 3 2" xfId="585" xr:uid="{00000000-0005-0000-0000-0000C4000000}"/>
    <cellStyle name="20% - Énfasis2 3 3 2 2" xfId="1127" xr:uid="{00000000-0005-0000-0000-0000C5000000}"/>
    <cellStyle name="20% - Énfasis2 3 3 2 2 2" xfId="2218" xr:uid="{00000000-0005-0000-0000-0000C6000000}"/>
    <cellStyle name="20% - Énfasis2 3 3 2 3" xfId="1676" xr:uid="{00000000-0005-0000-0000-0000C7000000}"/>
    <cellStyle name="20% - Énfasis2 3 3 3" xfId="856" xr:uid="{00000000-0005-0000-0000-0000C8000000}"/>
    <cellStyle name="20% - Énfasis2 3 3 3 2" xfId="1947" xr:uid="{00000000-0005-0000-0000-0000C9000000}"/>
    <cellStyle name="20% - Énfasis2 3 3 4" xfId="1405" xr:uid="{00000000-0005-0000-0000-0000CA000000}"/>
    <cellStyle name="20% - Énfasis2 3 4" xfId="253" xr:uid="{00000000-0005-0000-0000-0000CB000000}"/>
    <cellStyle name="20% - Énfasis2 3 4 2" xfId="619" xr:uid="{00000000-0005-0000-0000-0000CC000000}"/>
    <cellStyle name="20% - Énfasis2 3 4 2 2" xfId="1161" xr:uid="{00000000-0005-0000-0000-0000CD000000}"/>
    <cellStyle name="20% - Énfasis2 3 4 2 2 2" xfId="2252" xr:uid="{00000000-0005-0000-0000-0000CE000000}"/>
    <cellStyle name="20% - Énfasis2 3 4 2 3" xfId="1710" xr:uid="{00000000-0005-0000-0000-0000CF000000}"/>
    <cellStyle name="20% - Énfasis2 3 4 3" xfId="890" xr:uid="{00000000-0005-0000-0000-0000D0000000}"/>
    <cellStyle name="20% - Énfasis2 3 4 3 2" xfId="1981" xr:uid="{00000000-0005-0000-0000-0000D1000000}"/>
    <cellStyle name="20% - Énfasis2 3 4 4" xfId="1439" xr:uid="{00000000-0005-0000-0000-0000D2000000}"/>
    <cellStyle name="20% - Énfasis2 3 5" xfId="456" xr:uid="{00000000-0005-0000-0000-0000D3000000}"/>
    <cellStyle name="20% - Énfasis2 3 5 2" xfId="999" xr:uid="{00000000-0005-0000-0000-0000D4000000}"/>
    <cellStyle name="20% - Énfasis2 3 5 2 2" xfId="2090" xr:uid="{00000000-0005-0000-0000-0000D5000000}"/>
    <cellStyle name="20% - Énfasis2 3 5 3" xfId="1548" xr:uid="{00000000-0005-0000-0000-0000D6000000}"/>
    <cellStyle name="20% - Énfasis2 3 6" xfId="728" xr:uid="{00000000-0005-0000-0000-0000D7000000}"/>
    <cellStyle name="20% - Énfasis2 3 6 2" xfId="1819" xr:uid="{00000000-0005-0000-0000-0000D8000000}"/>
    <cellStyle name="20% - Énfasis2 3 7" xfId="1277" xr:uid="{00000000-0005-0000-0000-0000D9000000}"/>
    <cellStyle name="20% - Énfasis2 3 8" xfId="2334" xr:uid="{00000000-0005-0000-0000-0000DA000000}"/>
    <cellStyle name="20% - Énfasis2 3 9" xfId="2397" xr:uid="{00000000-0005-0000-0000-0000DB000000}"/>
    <cellStyle name="20% - Énfasis2 3_Cuadro Talleres" xfId="254" xr:uid="{00000000-0005-0000-0000-0000DC000000}"/>
    <cellStyle name="20% - Énfasis2 4" xfId="83" xr:uid="{00000000-0005-0000-0000-0000DD000000}"/>
    <cellStyle name="20% - Énfasis2 4 2" xfId="161" xr:uid="{00000000-0005-0000-0000-0000DE000000}"/>
    <cellStyle name="20% - Énfasis2 4 2 2" xfId="537" xr:uid="{00000000-0005-0000-0000-0000DF000000}"/>
    <cellStyle name="20% - Énfasis2 4 2 2 2" xfId="1079" xr:uid="{00000000-0005-0000-0000-0000E0000000}"/>
    <cellStyle name="20% - Énfasis2 4 2 2 2 2" xfId="2170" xr:uid="{00000000-0005-0000-0000-0000E1000000}"/>
    <cellStyle name="20% - Énfasis2 4 2 2 3" xfId="1628" xr:uid="{00000000-0005-0000-0000-0000E2000000}"/>
    <cellStyle name="20% - Énfasis2 4 2 3" xfId="808" xr:uid="{00000000-0005-0000-0000-0000E3000000}"/>
    <cellStyle name="20% - Énfasis2 4 2 3 2" xfId="1899" xr:uid="{00000000-0005-0000-0000-0000E4000000}"/>
    <cellStyle name="20% - Énfasis2 4 2 4" xfId="1357" xr:uid="{00000000-0005-0000-0000-0000E5000000}"/>
    <cellStyle name="20% - Énfasis2 4 3" xfId="226" xr:uid="{00000000-0005-0000-0000-0000E6000000}"/>
    <cellStyle name="20% - Énfasis2 4 3 2" xfId="601" xr:uid="{00000000-0005-0000-0000-0000E7000000}"/>
    <cellStyle name="20% - Énfasis2 4 3 2 2" xfId="1143" xr:uid="{00000000-0005-0000-0000-0000E8000000}"/>
    <cellStyle name="20% - Énfasis2 4 3 2 2 2" xfId="2234" xr:uid="{00000000-0005-0000-0000-0000E9000000}"/>
    <cellStyle name="20% - Énfasis2 4 3 2 3" xfId="1692" xr:uid="{00000000-0005-0000-0000-0000EA000000}"/>
    <cellStyle name="20% - Énfasis2 4 3 3" xfId="872" xr:uid="{00000000-0005-0000-0000-0000EB000000}"/>
    <cellStyle name="20% - Énfasis2 4 3 3 2" xfId="1963" xr:uid="{00000000-0005-0000-0000-0000EC000000}"/>
    <cellStyle name="20% - Énfasis2 4 3 4" xfId="1421" xr:uid="{00000000-0005-0000-0000-0000ED000000}"/>
    <cellStyle name="20% - Énfasis2 4 4" xfId="255" xr:uid="{00000000-0005-0000-0000-0000EE000000}"/>
    <cellStyle name="20% - Énfasis2 4 4 2" xfId="620" xr:uid="{00000000-0005-0000-0000-0000EF000000}"/>
    <cellStyle name="20% - Énfasis2 4 4 2 2" xfId="1162" xr:uid="{00000000-0005-0000-0000-0000F0000000}"/>
    <cellStyle name="20% - Énfasis2 4 4 2 2 2" xfId="2253" xr:uid="{00000000-0005-0000-0000-0000F1000000}"/>
    <cellStyle name="20% - Énfasis2 4 4 2 3" xfId="1711" xr:uid="{00000000-0005-0000-0000-0000F2000000}"/>
    <cellStyle name="20% - Énfasis2 4 4 3" xfId="891" xr:uid="{00000000-0005-0000-0000-0000F3000000}"/>
    <cellStyle name="20% - Énfasis2 4 4 3 2" xfId="1982" xr:uid="{00000000-0005-0000-0000-0000F4000000}"/>
    <cellStyle name="20% - Énfasis2 4 4 4" xfId="1440" xr:uid="{00000000-0005-0000-0000-0000F5000000}"/>
    <cellStyle name="20% - Énfasis2 4 5" xfId="472" xr:uid="{00000000-0005-0000-0000-0000F6000000}"/>
    <cellStyle name="20% - Énfasis2 4 5 2" xfId="1015" xr:uid="{00000000-0005-0000-0000-0000F7000000}"/>
    <cellStyle name="20% - Énfasis2 4 5 2 2" xfId="2106" xr:uid="{00000000-0005-0000-0000-0000F8000000}"/>
    <cellStyle name="20% - Énfasis2 4 5 3" xfId="1564" xr:uid="{00000000-0005-0000-0000-0000F9000000}"/>
    <cellStyle name="20% - Énfasis2 4 6" xfId="744" xr:uid="{00000000-0005-0000-0000-0000FA000000}"/>
    <cellStyle name="20% - Énfasis2 4 6 2" xfId="1835" xr:uid="{00000000-0005-0000-0000-0000FB000000}"/>
    <cellStyle name="20% - Énfasis2 4 7" xfId="1293" xr:uid="{00000000-0005-0000-0000-0000FC000000}"/>
    <cellStyle name="20% - Énfasis2 4_Cuadro Talleres" xfId="256" xr:uid="{00000000-0005-0000-0000-0000FD000000}"/>
    <cellStyle name="20% - Énfasis2 5" xfId="113" xr:uid="{00000000-0005-0000-0000-0000FE000000}"/>
    <cellStyle name="20% - Énfasis2 5 2" xfId="490" xr:uid="{00000000-0005-0000-0000-0000FF000000}"/>
    <cellStyle name="20% - Énfasis2 5 2 2" xfId="1033" xr:uid="{00000000-0005-0000-0000-000000010000}"/>
    <cellStyle name="20% - Énfasis2 5 2 2 2" xfId="2124" xr:uid="{00000000-0005-0000-0000-000001010000}"/>
    <cellStyle name="20% - Énfasis2 5 2 3" xfId="1582" xr:uid="{00000000-0005-0000-0000-000002010000}"/>
    <cellStyle name="20% - Énfasis2 5 3" xfId="762" xr:uid="{00000000-0005-0000-0000-000003010000}"/>
    <cellStyle name="20% - Énfasis2 5 3 2" xfId="1853" xr:uid="{00000000-0005-0000-0000-000004010000}"/>
    <cellStyle name="20% - Énfasis2 5 4" xfId="1311" xr:uid="{00000000-0005-0000-0000-000005010000}"/>
    <cellStyle name="20% - Énfasis2 6" xfId="177" xr:uid="{00000000-0005-0000-0000-000006010000}"/>
    <cellStyle name="20% - Énfasis2 6 2" xfId="553" xr:uid="{00000000-0005-0000-0000-000007010000}"/>
    <cellStyle name="20% - Énfasis2 6 2 2" xfId="1095" xr:uid="{00000000-0005-0000-0000-000008010000}"/>
    <cellStyle name="20% - Énfasis2 6 2 2 2" xfId="2186" xr:uid="{00000000-0005-0000-0000-000009010000}"/>
    <cellStyle name="20% - Énfasis2 6 2 3" xfId="1644" xr:uid="{00000000-0005-0000-0000-00000A010000}"/>
    <cellStyle name="20% - Énfasis2 6 3" xfId="824" xr:uid="{00000000-0005-0000-0000-00000B010000}"/>
    <cellStyle name="20% - Énfasis2 6 3 2" xfId="1915" xr:uid="{00000000-0005-0000-0000-00000C010000}"/>
    <cellStyle name="20% - Énfasis2 6 4" xfId="1373" xr:uid="{00000000-0005-0000-0000-00000D010000}"/>
    <cellStyle name="20% - Énfasis2 7" xfId="257" xr:uid="{00000000-0005-0000-0000-00000E010000}"/>
    <cellStyle name="20% - Énfasis2 7 2" xfId="621" xr:uid="{00000000-0005-0000-0000-00000F010000}"/>
    <cellStyle name="20% - Énfasis2 7 2 2" xfId="1163" xr:uid="{00000000-0005-0000-0000-000010010000}"/>
    <cellStyle name="20% - Énfasis2 7 2 2 2" xfId="2254" xr:uid="{00000000-0005-0000-0000-000011010000}"/>
    <cellStyle name="20% - Énfasis2 7 2 3" xfId="1712" xr:uid="{00000000-0005-0000-0000-000012010000}"/>
    <cellStyle name="20% - Énfasis2 7 3" xfId="892" xr:uid="{00000000-0005-0000-0000-000013010000}"/>
    <cellStyle name="20% - Énfasis2 7 3 2" xfId="1983" xr:uid="{00000000-0005-0000-0000-000014010000}"/>
    <cellStyle name="20% - Énfasis2 7 4" xfId="1441" xr:uid="{00000000-0005-0000-0000-000015010000}"/>
    <cellStyle name="20% - Énfasis2 8" xfId="258" xr:uid="{00000000-0005-0000-0000-000016010000}"/>
    <cellStyle name="20% - Énfasis2 8 2" xfId="622" xr:uid="{00000000-0005-0000-0000-000017010000}"/>
    <cellStyle name="20% - Énfasis2 8 2 2" xfId="1164" xr:uid="{00000000-0005-0000-0000-000018010000}"/>
    <cellStyle name="20% - Énfasis2 8 2 2 2" xfId="2255" xr:uid="{00000000-0005-0000-0000-000019010000}"/>
    <cellStyle name="20% - Énfasis2 8 2 3" xfId="1713" xr:uid="{00000000-0005-0000-0000-00001A010000}"/>
    <cellStyle name="20% - Énfasis2 8 3" xfId="893" xr:uid="{00000000-0005-0000-0000-00001B010000}"/>
    <cellStyle name="20% - Énfasis2 8 3 2" xfId="1984" xr:uid="{00000000-0005-0000-0000-00001C010000}"/>
    <cellStyle name="20% - Énfasis2 8 4" xfId="1442" xr:uid="{00000000-0005-0000-0000-00001D010000}"/>
    <cellStyle name="20% - Énfasis2 9" xfId="424" xr:uid="{00000000-0005-0000-0000-00001E010000}"/>
    <cellStyle name="20% - Énfasis2 9 2" xfId="967" xr:uid="{00000000-0005-0000-0000-00001F010000}"/>
    <cellStyle name="20% - Énfasis2 9 2 2" xfId="2058" xr:uid="{00000000-0005-0000-0000-000020010000}"/>
    <cellStyle name="20% - Énfasis2 9 3" xfId="1516" xr:uid="{00000000-0005-0000-0000-000021010000}"/>
    <cellStyle name="20% - Énfasis3" xfId="27" builtinId="38" customBuiltin="1"/>
    <cellStyle name="20% - Énfasis3 10" xfId="698" xr:uid="{00000000-0005-0000-0000-000023010000}"/>
    <cellStyle name="20% - Énfasis3 10 2" xfId="1789" xr:uid="{00000000-0005-0000-0000-000024010000}"/>
    <cellStyle name="20% - Énfasis3 11" xfId="1247" xr:uid="{00000000-0005-0000-0000-000025010000}"/>
    <cellStyle name="20% - Énfasis3 12" xfId="2335" xr:uid="{00000000-0005-0000-0000-000026010000}"/>
    <cellStyle name="20% - Énfasis3 13" xfId="2398" xr:uid="{00000000-0005-0000-0000-000027010000}"/>
    <cellStyle name="20% - Énfasis3 2" xfId="53" xr:uid="{00000000-0005-0000-0000-000028010000}"/>
    <cellStyle name="20% - Énfasis3 2 2" xfId="131" xr:uid="{00000000-0005-0000-0000-000029010000}"/>
    <cellStyle name="20% - Énfasis3 2 2 2" xfId="508" xr:uid="{00000000-0005-0000-0000-00002A010000}"/>
    <cellStyle name="20% - Énfasis3 2 2 2 2" xfId="1050" xr:uid="{00000000-0005-0000-0000-00002B010000}"/>
    <cellStyle name="20% - Énfasis3 2 2 2 2 2" xfId="2141" xr:uid="{00000000-0005-0000-0000-00002C010000}"/>
    <cellStyle name="20% - Énfasis3 2 2 2 3" xfId="1599" xr:uid="{00000000-0005-0000-0000-00002D010000}"/>
    <cellStyle name="20% - Énfasis3 2 2 3" xfId="779" xr:uid="{00000000-0005-0000-0000-00002E010000}"/>
    <cellStyle name="20% - Énfasis3 2 2 3 2" xfId="1870" xr:uid="{00000000-0005-0000-0000-00002F010000}"/>
    <cellStyle name="20% - Énfasis3 2 2 4" xfId="1328" xr:uid="{00000000-0005-0000-0000-000030010000}"/>
    <cellStyle name="20% - Énfasis3 2 3" xfId="196" xr:uid="{00000000-0005-0000-0000-000031010000}"/>
    <cellStyle name="20% - Énfasis3 2 3 2" xfId="571" xr:uid="{00000000-0005-0000-0000-000032010000}"/>
    <cellStyle name="20% - Énfasis3 2 3 2 2" xfId="1113" xr:uid="{00000000-0005-0000-0000-000033010000}"/>
    <cellStyle name="20% - Énfasis3 2 3 2 2 2" xfId="2204" xr:uid="{00000000-0005-0000-0000-000034010000}"/>
    <cellStyle name="20% - Énfasis3 2 3 2 3" xfId="1662" xr:uid="{00000000-0005-0000-0000-000035010000}"/>
    <cellStyle name="20% - Énfasis3 2 3 3" xfId="842" xr:uid="{00000000-0005-0000-0000-000036010000}"/>
    <cellStyle name="20% - Énfasis3 2 3 3 2" xfId="1933" xr:uid="{00000000-0005-0000-0000-000037010000}"/>
    <cellStyle name="20% - Énfasis3 2 3 4" xfId="1391" xr:uid="{00000000-0005-0000-0000-000038010000}"/>
    <cellStyle name="20% - Énfasis3 2 4" xfId="259" xr:uid="{00000000-0005-0000-0000-000039010000}"/>
    <cellStyle name="20% - Énfasis3 2 4 2" xfId="623" xr:uid="{00000000-0005-0000-0000-00003A010000}"/>
    <cellStyle name="20% - Énfasis3 2 4 2 2" xfId="1165" xr:uid="{00000000-0005-0000-0000-00003B010000}"/>
    <cellStyle name="20% - Énfasis3 2 4 2 2 2" xfId="2256" xr:uid="{00000000-0005-0000-0000-00003C010000}"/>
    <cellStyle name="20% - Énfasis3 2 4 2 3" xfId="1714" xr:uid="{00000000-0005-0000-0000-00003D010000}"/>
    <cellStyle name="20% - Énfasis3 2 4 3" xfId="894" xr:uid="{00000000-0005-0000-0000-00003E010000}"/>
    <cellStyle name="20% - Énfasis3 2 4 3 2" xfId="1985" xr:uid="{00000000-0005-0000-0000-00003F010000}"/>
    <cellStyle name="20% - Énfasis3 2 4 4" xfId="1443" xr:uid="{00000000-0005-0000-0000-000040010000}"/>
    <cellStyle name="20% - Énfasis3 2 5" xfId="442" xr:uid="{00000000-0005-0000-0000-000041010000}"/>
    <cellStyle name="20% - Énfasis3 2 5 2" xfId="985" xr:uid="{00000000-0005-0000-0000-000042010000}"/>
    <cellStyle name="20% - Énfasis3 2 5 2 2" xfId="2076" xr:uid="{00000000-0005-0000-0000-000043010000}"/>
    <cellStyle name="20% - Énfasis3 2 5 3" xfId="1534" xr:uid="{00000000-0005-0000-0000-000044010000}"/>
    <cellStyle name="20% - Énfasis3 2 6" xfId="714" xr:uid="{00000000-0005-0000-0000-000045010000}"/>
    <cellStyle name="20% - Énfasis3 2 6 2" xfId="1805" xr:uid="{00000000-0005-0000-0000-000046010000}"/>
    <cellStyle name="20% - Énfasis3 2 7" xfId="1263" xr:uid="{00000000-0005-0000-0000-000047010000}"/>
    <cellStyle name="20% - Énfasis3 2 8" xfId="2336" xr:uid="{00000000-0005-0000-0000-000048010000}"/>
    <cellStyle name="20% - Énfasis3 2 9" xfId="2399" xr:uid="{00000000-0005-0000-0000-000049010000}"/>
    <cellStyle name="20% - Énfasis3 2_Cuadro Talleres" xfId="260" xr:uid="{00000000-0005-0000-0000-00004A010000}"/>
    <cellStyle name="20% - Énfasis3 3" xfId="69" xr:uid="{00000000-0005-0000-0000-00004B010000}"/>
    <cellStyle name="20% - Énfasis3 3 2" xfId="148" xr:uid="{00000000-0005-0000-0000-00004C010000}"/>
    <cellStyle name="20% - Énfasis3 3 2 2" xfId="524" xr:uid="{00000000-0005-0000-0000-00004D010000}"/>
    <cellStyle name="20% - Énfasis3 3 2 2 2" xfId="1066" xr:uid="{00000000-0005-0000-0000-00004E010000}"/>
    <cellStyle name="20% - Énfasis3 3 2 2 2 2" xfId="2157" xr:uid="{00000000-0005-0000-0000-00004F010000}"/>
    <cellStyle name="20% - Énfasis3 3 2 2 3" xfId="1615" xr:uid="{00000000-0005-0000-0000-000050010000}"/>
    <cellStyle name="20% - Énfasis3 3 2 3" xfId="795" xr:uid="{00000000-0005-0000-0000-000051010000}"/>
    <cellStyle name="20% - Énfasis3 3 2 3 2" xfId="1886" xr:uid="{00000000-0005-0000-0000-000052010000}"/>
    <cellStyle name="20% - Énfasis3 3 2 4" xfId="1344" xr:uid="{00000000-0005-0000-0000-000053010000}"/>
    <cellStyle name="20% - Énfasis3 3 3" xfId="212" xr:uid="{00000000-0005-0000-0000-000054010000}"/>
    <cellStyle name="20% - Énfasis3 3 3 2" xfId="587" xr:uid="{00000000-0005-0000-0000-000055010000}"/>
    <cellStyle name="20% - Énfasis3 3 3 2 2" xfId="1129" xr:uid="{00000000-0005-0000-0000-000056010000}"/>
    <cellStyle name="20% - Énfasis3 3 3 2 2 2" xfId="2220" xr:uid="{00000000-0005-0000-0000-000057010000}"/>
    <cellStyle name="20% - Énfasis3 3 3 2 3" xfId="1678" xr:uid="{00000000-0005-0000-0000-000058010000}"/>
    <cellStyle name="20% - Énfasis3 3 3 3" xfId="858" xr:uid="{00000000-0005-0000-0000-000059010000}"/>
    <cellStyle name="20% - Énfasis3 3 3 3 2" xfId="1949" xr:uid="{00000000-0005-0000-0000-00005A010000}"/>
    <cellStyle name="20% - Énfasis3 3 3 4" xfId="1407" xr:uid="{00000000-0005-0000-0000-00005B010000}"/>
    <cellStyle name="20% - Énfasis3 3 4" xfId="261" xr:uid="{00000000-0005-0000-0000-00005C010000}"/>
    <cellStyle name="20% - Énfasis3 3 4 2" xfId="624" xr:uid="{00000000-0005-0000-0000-00005D010000}"/>
    <cellStyle name="20% - Énfasis3 3 4 2 2" xfId="1166" xr:uid="{00000000-0005-0000-0000-00005E010000}"/>
    <cellStyle name="20% - Énfasis3 3 4 2 2 2" xfId="2257" xr:uid="{00000000-0005-0000-0000-00005F010000}"/>
    <cellStyle name="20% - Énfasis3 3 4 2 3" xfId="1715" xr:uid="{00000000-0005-0000-0000-000060010000}"/>
    <cellStyle name="20% - Énfasis3 3 4 3" xfId="895" xr:uid="{00000000-0005-0000-0000-000061010000}"/>
    <cellStyle name="20% - Énfasis3 3 4 3 2" xfId="1986" xr:uid="{00000000-0005-0000-0000-000062010000}"/>
    <cellStyle name="20% - Énfasis3 3 4 4" xfId="1444" xr:uid="{00000000-0005-0000-0000-000063010000}"/>
    <cellStyle name="20% - Énfasis3 3 5" xfId="458" xr:uid="{00000000-0005-0000-0000-000064010000}"/>
    <cellStyle name="20% - Énfasis3 3 5 2" xfId="1001" xr:uid="{00000000-0005-0000-0000-000065010000}"/>
    <cellStyle name="20% - Énfasis3 3 5 2 2" xfId="2092" xr:uid="{00000000-0005-0000-0000-000066010000}"/>
    <cellStyle name="20% - Énfasis3 3 5 3" xfId="1550" xr:uid="{00000000-0005-0000-0000-000067010000}"/>
    <cellStyle name="20% - Énfasis3 3 6" xfId="730" xr:uid="{00000000-0005-0000-0000-000068010000}"/>
    <cellStyle name="20% - Énfasis3 3 6 2" xfId="1821" xr:uid="{00000000-0005-0000-0000-000069010000}"/>
    <cellStyle name="20% - Énfasis3 3 7" xfId="1279" xr:uid="{00000000-0005-0000-0000-00006A010000}"/>
    <cellStyle name="20% - Énfasis3 3 8" xfId="2337" xr:uid="{00000000-0005-0000-0000-00006B010000}"/>
    <cellStyle name="20% - Énfasis3 3 9" xfId="2400" xr:uid="{00000000-0005-0000-0000-00006C010000}"/>
    <cellStyle name="20% - Énfasis3 3_Cuadro Talleres" xfId="262" xr:uid="{00000000-0005-0000-0000-00006D010000}"/>
    <cellStyle name="20% - Énfasis3 4" xfId="85" xr:uid="{00000000-0005-0000-0000-00006E010000}"/>
    <cellStyle name="20% - Énfasis3 4 2" xfId="163" xr:uid="{00000000-0005-0000-0000-00006F010000}"/>
    <cellStyle name="20% - Énfasis3 4 2 2" xfId="539" xr:uid="{00000000-0005-0000-0000-000070010000}"/>
    <cellStyle name="20% - Énfasis3 4 2 2 2" xfId="1081" xr:uid="{00000000-0005-0000-0000-000071010000}"/>
    <cellStyle name="20% - Énfasis3 4 2 2 2 2" xfId="2172" xr:uid="{00000000-0005-0000-0000-000072010000}"/>
    <cellStyle name="20% - Énfasis3 4 2 2 3" xfId="1630" xr:uid="{00000000-0005-0000-0000-000073010000}"/>
    <cellStyle name="20% - Énfasis3 4 2 3" xfId="810" xr:uid="{00000000-0005-0000-0000-000074010000}"/>
    <cellStyle name="20% - Énfasis3 4 2 3 2" xfId="1901" xr:uid="{00000000-0005-0000-0000-000075010000}"/>
    <cellStyle name="20% - Énfasis3 4 2 4" xfId="1359" xr:uid="{00000000-0005-0000-0000-000076010000}"/>
    <cellStyle name="20% - Énfasis3 4 3" xfId="228" xr:uid="{00000000-0005-0000-0000-000077010000}"/>
    <cellStyle name="20% - Énfasis3 4 3 2" xfId="603" xr:uid="{00000000-0005-0000-0000-000078010000}"/>
    <cellStyle name="20% - Énfasis3 4 3 2 2" xfId="1145" xr:uid="{00000000-0005-0000-0000-000079010000}"/>
    <cellStyle name="20% - Énfasis3 4 3 2 2 2" xfId="2236" xr:uid="{00000000-0005-0000-0000-00007A010000}"/>
    <cellStyle name="20% - Énfasis3 4 3 2 3" xfId="1694" xr:uid="{00000000-0005-0000-0000-00007B010000}"/>
    <cellStyle name="20% - Énfasis3 4 3 3" xfId="874" xr:uid="{00000000-0005-0000-0000-00007C010000}"/>
    <cellStyle name="20% - Énfasis3 4 3 3 2" xfId="1965" xr:uid="{00000000-0005-0000-0000-00007D010000}"/>
    <cellStyle name="20% - Énfasis3 4 3 4" xfId="1423" xr:uid="{00000000-0005-0000-0000-00007E010000}"/>
    <cellStyle name="20% - Énfasis3 4 4" xfId="263" xr:uid="{00000000-0005-0000-0000-00007F010000}"/>
    <cellStyle name="20% - Énfasis3 4 4 2" xfId="625" xr:uid="{00000000-0005-0000-0000-000080010000}"/>
    <cellStyle name="20% - Énfasis3 4 4 2 2" xfId="1167" xr:uid="{00000000-0005-0000-0000-000081010000}"/>
    <cellStyle name="20% - Énfasis3 4 4 2 2 2" xfId="2258" xr:uid="{00000000-0005-0000-0000-000082010000}"/>
    <cellStyle name="20% - Énfasis3 4 4 2 3" xfId="1716" xr:uid="{00000000-0005-0000-0000-000083010000}"/>
    <cellStyle name="20% - Énfasis3 4 4 3" xfId="896" xr:uid="{00000000-0005-0000-0000-000084010000}"/>
    <cellStyle name="20% - Énfasis3 4 4 3 2" xfId="1987" xr:uid="{00000000-0005-0000-0000-000085010000}"/>
    <cellStyle name="20% - Énfasis3 4 4 4" xfId="1445" xr:uid="{00000000-0005-0000-0000-000086010000}"/>
    <cellStyle name="20% - Énfasis3 4 5" xfId="474" xr:uid="{00000000-0005-0000-0000-000087010000}"/>
    <cellStyle name="20% - Énfasis3 4 5 2" xfId="1017" xr:uid="{00000000-0005-0000-0000-000088010000}"/>
    <cellStyle name="20% - Énfasis3 4 5 2 2" xfId="2108" xr:uid="{00000000-0005-0000-0000-000089010000}"/>
    <cellStyle name="20% - Énfasis3 4 5 3" xfId="1566" xr:uid="{00000000-0005-0000-0000-00008A010000}"/>
    <cellStyle name="20% - Énfasis3 4 6" xfId="746" xr:uid="{00000000-0005-0000-0000-00008B010000}"/>
    <cellStyle name="20% - Énfasis3 4 6 2" xfId="1837" xr:uid="{00000000-0005-0000-0000-00008C010000}"/>
    <cellStyle name="20% - Énfasis3 4 7" xfId="1295" xr:uid="{00000000-0005-0000-0000-00008D010000}"/>
    <cellStyle name="20% - Énfasis3 4_Cuadro Talleres" xfId="264" xr:uid="{00000000-0005-0000-0000-00008E010000}"/>
    <cellStyle name="20% - Énfasis3 5" xfId="98" xr:uid="{00000000-0005-0000-0000-00008F010000}"/>
    <cellStyle name="20% - Énfasis3 5 2" xfId="238" xr:uid="{00000000-0005-0000-0000-000090010000}"/>
    <cellStyle name="20% - Énfasis3 5 3" xfId="115" xr:uid="{00000000-0005-0000-0000-000091010000}"/>
    <cellStyle name="20% - Énfasis3 5 3 2" xfId="492" xr:uid="{00000000-0005-0000-0000-000092010000}"/>
    <cellStyle name="20% - Énfasis3 5 3 2 2" xfId="1035" xr:uid="{00000000-0005-0000-0000-000093010000}"/>
    <cellStyle name="20% - Énfasis3 5 3 2 2 2" xfId="2126" xr:uid="{00000000-0005-0000-0000-000094010000}"/>
    <cellStyle name="20% - Énfasis3 5 3 2 3" xfId="1584" xr:uid="{00000000-0005-0000-0000-000095010000}"/>
    <cellStyle name="20% - Énfasis3 5 3 3" xfId="764" xr:uid="{00000000-0005-0000-0000-000096010000}"/>
    <cellStyle name="20% - Énfasis3 5 3 3 2" xfId="1855" xr:uid="{00000000-0005-0000-0000-000097010000}"/>
    <cellStyle name="20% - Énfasis3 5 3 4" xfId="1313" xr:uid="{00000000-0005-0000-0000-000098010000}"/>
    <cellStyle name="20% - Énfasis3 5_CORTADO COLE 1000" xfId="365" xr:uid="{00000000-0005-0000-0000-000099010000}"/>
    <cellStyle name="20% - Énfasis3 6" xfId="179" xr:uid="{00000000-0005-0000-0000-00009A010000}"/>
    <cellStyle name="20% - Énfasis3 6 2" xfId="555" xr:uid="{00000000-0005-0000-0000-00009B010000}"/>
    <cellStyle name="20% - Énfasis3 6 2 2" xfId="1097" xr:uid="{00000000-0005-0000-0000-00009C010000}"/>
    <cellStyle name="20% - Énfasis3 6 2 2 2" xfId="2188" xr:uid="{00000000-0005-0000-0000-00009D010000}"/>
    <cellStyle name="20% - Énfasis3 6 2 3" xfId="1646" xr:uid="{00000000-0005-0000-0000-00009E010000}"/>
    <cellStyle name="20% - Énfasis3 6 3" xfId="826" xr:uid="{00000000-0005-0000-0000-00009F010000}"/>
    <cellStyle name="20% - Énfasis3 6 3 2" xfId="1917" xr:uid="{00000000-0005-0000-0000-0000A0010000}"/>
    <cellStyle name="20% - Énfasis3 6 4" xfId="1375" xr:uid="{00000000-0005-0000-0000-0000A1010000}"/>
    <cellStyle name="20% - Énfasis3 7" xfId="265" xr:uid="{00000000-0005-0000-0000-0000A2010000}"/>
    <cellStyle name="20% - Énfasis3 7 2" xfId="626" xr:uid="{00000000-0005-0000-0000-0000A3010000}"/>
    <cellStyle name="20% - Énfasis3 7 2 2" xfId="1168" xr:uid="{00000000-0005-0000-0000-0000A4010000}"/>
    <cellStyle name="20% - Énfasis3 7 2 2 2" xfId="2259" xr:uid="{00000000-0005-0000-0000-0000A5010000}"/>
    <cellStyle name="20% - Énfasis3 7 2 3" xfId="1717" xr:uid="{00000000-0005-0000-0000-0000A6010000}"/>
    <cellStyle name="20% - Énfasis3 7 3" xfId="897" xr:uid="{00000000-0005-0000-0000-0000A7010000}"/>
    <cellStyle name="20% - Énfasis3 7 3 2" xfId="1988" xr:uid="{00000000-0005-0000-0000-0000A8010000}"/>
    <cellStyle name="20% - Énfasis3 7 4" xfId="1446" xr:uid="{00000000-0005-0000-0000-0000A9010000}"/>
    <cellStyle name="20% - Énfasis3 8" xfId="266" xr:uid="{00000000-0005-0000-0000-0000AA010000}"/>
    <cellStyle name="20% - Énfasis3 8 2" xfId="627" xr:uid="{00000000-0005-0000-0000-0000AB010000}"/>
    <cellStyle name="20% - Énfasis3 8 2 2" xfId="1169" xr:uid="{00000000-0005-0000-0000-0000AC010000}"/>
    <cellStyle name="20% - Énfasis3 8 2 2 2" xfId="2260" xr:uid="{00000000-0005-0000-0000-0000AD010000}"/>
    <cellStyle name="20% - Énfasis3 8 2 3" xfId="1718" xr:uid="{00000000-0005-0000-0000-0000AE010000}"/>
    <cellStyle name="20% - Énfasis3 8 3" xfId="898" xr:uid="{00000000-0005-0000-0000-0000AF010000}"/>
    <cellStyle name="20% - Énfasis3 8 3 2" xfId="1989" xr:uid="{00000000-0005-0000-0000-0000B0010000}"/>
    <cellStyle name="20% - Énfasis3 8 4" xfId="1447" xr:uid="{00000000-0005-0000-0000-0000B1010000}"/>
    <cellStyle name="20% - Énfasis3 9" xfId="426" xr:uid="{00000000-0005-0000-0000-0000B2010000}"/>
    <cellStyle name="20% - Énfasis3 9 2" xfId="969" xr:uid="{00000000-0005-0000-0000-0000B3010000}"/>
    <cellStyle name="20% - Énfasis3 9 2 2" xfId="2060" xr:uid="{00000000-0005-0000-0000-0000B4010000}"/>
    <cellStyle name="20% - Énfasis3 9 3" xfId="1518" xr:uid="{00000000-0005-0000-0000-0000B5010000}"/>
    <cellStyle name="20% - Énfasis4" xfId="31" builtinId="42" customBuiltin="1"/>
    <cellStyle name="20% - Énfasis4 10" xfId="700" xr:uid="{00000000-0005-0000-0000-0000B7010000}"/>
    <cellStyle name="20% - Énfasis4 10 2" xfId="1791" xr:uid="{00000000-0005-0000-0000-0000B8010000}"/>
    <cellStyle name="20% - Énfasis4 11" xfId="1249" xr:uid="{00000000-0005-0000-0000-0000B9010000}"/>
    <cellStyle name="20% - Énfasis4 12" xfId="2338" xr:uid="{00000000-0005-0000-0000-0000BA010000}"/>
    <cellStyle name="20% - Énfasis4 13" xfId="2401" xr:uid="{00000000-0005-0000-0000-0000BB010000}"/>
    <cellStyle name="20% - Énfasis4 2" xfId="55" xr:uid="{00000000-0005-0000-0000-0000BC010000}"/>
    <cellStyle name="20% - Énfasis4 2 2" xfId="133" xr:uid="{00000000-0005-0000-0000-0000BD010000}"/>
    <cellStyle name="20% - Énfasis4 2 2 2" xfId="510" xr:uid="{00000000-0005-0000-0000-0000BE010000}"/>
    <cellStyle name="20% - Énfasis4 2 2 2 2" xfId="1052" xr:uid="{00000000-0005-0000-0000-0000BF010000}"/>
    <cellStyle name="20% - Énfasis4 2 2 2 2 2" xfId="2143" xr:uid="{00000000-0005-0000-0000-0000C0010000}"/>
    <cellStyle name="20% - Énfasis4 2 2 2 3" xfId="1601" xr:uid="{00000000-0005-0000-0000-0000C1010000}"/>
    <cellStyle name="20% - Énfasis4 2 2 3" xfId="781" xr:uid="{00000000-0005-0000-0000-0000C2010000}"/>
    <cellStyle name="20% - Énfasis4 2 2 3 2" xfId="1872" xr:uid="{00000000-0005-0000-0000-0000C3010000}"/>
    <cellStyle name="20% - Énfasis4 2 2 4" xfId="1330" xr:uid="{00000000-0005-0000-0000-0000C4010000}"/>
    <cellStyle name="20% - Énfasis4 2 3" xfId="198" xr:uid="{00000000-0005-0000-0000-0000C5010000}"/>
    <cellStyle name="20% - Énfasis4 2 3 2" xfId="573" xr:uid="{00000000-0005-0000-0000-0000C6010000}"/>
    <cellStyle name="20% - Énfasis4 2 3 2 2" xfId="1115" xr:uid="{00000000-0005-0000-0000-0000C7010000}"/>
    <cellStyle name="20% - Énfasis4 2 3 2 2 2" xfId="2206" xr:uid="{00000000-0005-0000-0000-0000C8010000}"/>
    <cellStyle name="20% - Énfasis4 2 3 2 3" xfId="1664" xr:uid="{00000000-0005-0000-0000-0000C9010000}"/>
    <cellStyle name="20% - Énfasis4 2 3 3" xfId="844" xr:uid="{00000000-0005-0000-0000-0000CA010000}"/>
    <cellStyle name="20% - Énfasis4 2 3 3 2" xfId="1935" xr:uid="{00000000-0005-0000-0000-0000CB010000}"/>
    <cellStyle name="20% - Énfasis4 2 3 4" xfId="1393" xr:uid="{00000000-0005-0000-0000-0000CC010000}"/>
    <cellStyle name="20% - Énfasis4 2 4" xfId="267" xr:uid="{00000000-0005-0000-0000-0000CD010000}"/>
    <cellStyle name="20% - Énfasis4 2 4 2" xfId="628" xr:uid="{00000000-0005-0000-0000-0000CE010000}"/>
    <cellStyle name="20% - Énfasis4 2 4 2 2" xfId="1170" xr:uid="{00000000-0005-0000-0000-0000CF010000}"/>
    <cellStyle name="20% - Énfasis4 2 4 2 2 2" xfId="2261" xr:uid="{00000000-0005-0000-0000-0000D0010000}"/>
    <cellStyle name="20% - Énfasis4 2 4 2 3" xfId="1719" xr:uid="{00000000-0005-0000-0000-0000D1010000}"/>
    <cellStyle name="20% - Énfasis4 2 4 3" xfId="899" xr:uid="{00000000-0005-0000-0000-0000D2010000}"/>
    <cellStyle name="20% - Énfasis4 2 4 3 2" xfId="1990" xr:uid="{00000000-0005-0000-0000-0000D3010000}"/>
    <cellStyle name="20% - Énfasis4 2 4 4" xfId="1448" xr:uid="{00000000-0005-0000-0000-0000D4010000}"/>
    <cellStyle name="20% - Énfasis4 2 5" xfId="444" xr:uid="{00000000-0005-0000-0000-0000D5010000}"/>
    <cellStyle name="20% - Énfasis4 2 5 2" xfId="987" xr:uid="{00000000-0005-0000-0000-0000D6010000}"/>
    <cellStyle name="20% - Énfasis4 2 5 2 2" xfId="2078" xr:uid="{00000000-0005-0000-0000-0000D7010000}"/>
    <cellStyle name="20% - Énfasis4 2 5 3" xfId="1536" xr:uid="{00000000-0005-0000-0000-0000D8010000}"/>
    <cellStyle name="20% - Énfasis4 2 6" xfId="716" xr:uid="{00000000-0005-0000-0000-0000D9010000}"/>
    <cellStyle name="20% - Énfasis4 2 6 2" xfId="1807" xr:uid="{00000000-0005-0000-0000-0000DA010000}"/>
    <cellStyle name="20% - Énfasis4 2 7" xfId="1265" xr:uid="{00000000-0005-0000-0000-0000DB010000}"/>
    <cellStyle name="20% - Énfasis4 2 8" xfId="2339" xr:uid="{00000000-0005-0000-0000-0000DC010000}"/>
    <cellStyle name="20% - Énfasis4 2 9" xfId="2402" xr:uid="{00000000-0005-0000-0000-0000DD010000}"/>
    <cellStyle name="20% - Énfasis4 2_Cuadro Talleres" xfId="268" xr:uid="{00000000-0005-0000-0000-0000DE010000}"/>
    <cellStyle name="20% - Énfasis4 3" xfId="71" xr:uid="{00000000-0005-0000-0000-0000DF010000}"/>
    <cellStyle name="20% - Énfasis4 3 2" xfId="150" xr:uid="{00000000-0005-0000-0000-0000E0010000}"/>
    <cellStyle name="20% - Énfasis4 3 2 2" xfId="526" xr:uid="{00000000-0005-0000-0000-0000E1010000}"/>
    <cellStyle name="20% - Énfasis4 3 2 2 2" xfId="1068" xr:uid="{00000000-0005-0000-0000-0000E2010000}"/>
    <cellStyle name="20% - Énfasis4 3 2 2 2 2" xfId="2159" xr:uid="{00000000-0005-0000-0000-0000E3010000}"/>
    <cellStyle name="20% - Énfasis4 3 2 2 3" xfId="1617" xr:uid="{00000000-0005-0000-0000-0000E4010000}"/>
    <cellStyle name="20% - Énfasis4 3 2 3" xfId="797" xr:uid="{00000000-0005-0000-0000-0000E5010000}"/>
    <cellStyle name="20% - Énfasis4 3 2 3 2" xfId="1888" xr:uid="{00000000-0005-0000-0000-0000E6010000}"/>
    <cellStyle name="20% - Énfasis4 3 2 4" xfId="1346" xr:uid="{00000000-0005-0000-0000-0000E7010000}"/>
    <cellStyle name="20% - Énfasis4 3 3" xfId="214" xr:uid="{00000000-0005-0000-0000-0000E8010000}"/>
    <cellStyle name="20% - Énfasis4 3 3 2" xfId="589" xr:uid="{00000000-0005-0000-0000-0000E9010000}"/>
    <cellStyle name="20% - Énfasis4 3 3 2 2" xfId="1131" xr:uid="{00000000-0005-0000-0000-0000EA010000}"/>
    <cellStyle name="20% - Énfasis4 3 3 2 2 2" xfId="2222" xr:uid="{00000000-0005-0000-0000-0000EB010000}"/>
    <cellStyle name="20% - Énfasis4 3 3 2 3" xfId="1680" xr:uid="{00000000-0005-0000-0000-0000EC010000}"/>
    <cellStyle name="20% - Énfasis4 3 3 3" xfId="860" xr:uid="{00000000-0005-0000-0000-0000ED010000}"/>
    <cellStyle name="20% - Énfasis4 3 3 3 2" xfId="1951" xr:uid="{00000000-0005-0000-0000-0000EE010000}"/>
    <cellStyle name="20% - Énfasis4 3 3 4" xfId="1409" xr:uid="{00000000-0005-0000-0000-0000EF010000}"/>
    <cellStyle name="20% - Énfasis4 3 4" xfId="269" xr:uid="{00000000-0005-0000-0000-0000F0010000}"/>
    <cellStyle name="20% - Énfasis4 3 4 2" xfId="629" xr:uid="{00000000-0005-0000-0000-0000F1010000}"/>
    <cellStyle name="20% - Énfasis4 3 4 2 2" xfId="1171" xr:uid="{00000000-0005-0000-0000-0000F2010000}"/>
    <cellStyle name="20% - Énfasis4 3 4 2 2 2" xfId="2262" xr:uid="{00000000-0005-0000-0000-0000F3010000}"/>
    <cellStyle name="20% - Énfasis4 3 4 2 3" xfId="1720" xr:uid="{00000000-0005-0000-0000-0000F4010000}"/>
    <cellStyle name="20% - Énfasis4 3 4 3" xfId="900" xr:uid="{00000000-0005-0000-0000-0000F5010000}"/>
    <cellStyle name="20% - Énfasis4 3 4 3 2" xfId="1991" xr:uid="{00000000-0005-0000-0000-0000F6010000}"/>
    <cellStyle name="20% - Énfasis4 3 4 4" xfId="1449" xr:uid="{00000000-0005-0000-0000-0000F7010000}"/>
    <cellStyle name="20% - Énfasis4 3 5" xfId="460" xr:uid="{00000000-0005-0000-0000-0000F8010000}"/>
    <cellStyle name="20% - Énfasis4 3 5 2" xfId="1003" xr:uid="{00000000-0005-0000-0000-0000F9010000}"/>
    <cellStyle name="20% - Énfasis4 3 5 2 2" xfId="2094" xr:uid="{00000000-0005-0000-0000-0000FA010000}"/>
    <cellStyle name="20% - Énfasis4 3 5 3" xfId="1552" xr:uid="{00000000-0005-0000-0000-0000FB010000}"/>
    <cellStyle name="20% - Énfasis4 3 6" xfId="732" xr:uid="{00000000-0005-0000-0000-0000FC010000}"/>
    <cellStyle name="20% - Énfasis4 3 6 2" xfId="1823" xr:uid="{00000000-0005-0000-0000-0000FD010000}"/>
    <cellStyle name="20% - Énfasis4 3 7" xfId="1281" xr:uid="{00000000-0005-0000-0000-0000FE010000}"/>
    <cellStyle name="20% - Énfasis4 3 8" xfId="2340" xr:uid="{00000000-0005-0000-0000-0000FF010000}"/>
    <cellStyle name="20% - Énfasis4 3 9" xfId="2403" xr:uid="{00000000-0005-0000-0000-000000020000}"/>
    <cellStyle name="20% - Énfasis4 3_Cuadro Talleres" xfId="270" xr:uid="{00000000-0005-0000-0000-000001020000}"/>
    <cellStyle name="20% - Énfasis4 4" xfId="87" xr:uid="{00000000-0005-0000-0000-000002020000}"/>
    <cellStyle name="20% - Énfasis4 4 2" xfId="165" xr:uid="{00000000-0005-0000-0000-000003020000}"/>
    <cellStyle name="20% - Énfasis4 4 2 2" xfId="541" xr:uid="{00000000-0005-0000-0000-000004020000}"/>
    <cellStyle name="20% - Énfasis4 4 2 2 2" xfId="1083" xr:uid="{00000000-0005-0000-0000-000005020000}"/>
    <cellStyle name="20% - Énfasis4 4 2 2 2 2" xfId="2174" xr:uid="{00000000-0005-0000-0000-000006020000}"/>
    <cellStyle name="20% - Énfasis4 4 2 2 3" xfId="1632" xr:uid="{00000000-0005-0000-0000-000007020000}"/>
    <cellStyle name="20% - Énfasis4 4 2 3" xfId="812" xr:uid="{00000000-0005-0000-0000-000008020000}"/>
    <cellStyle name="20% - Énfasis4 4 2 3 2" xfId="1903" xr:uid="{00000000-0005-0000-0000-000009020000}"/>
    <cellStyle name="20% - Énfasis4 4 2 4" xfId="1361" xr:uid="{00000000-0005-0000-0000-00000A020000}"/>
    <cellStyle name="20% - Énfasis4 4 3" xfId="230" xr:uid="{00000000-0005-0000-0000-00000B020000}"/>
    <cellStyle name="20% - Énfasis4 4 3 2" xfId="605" xr:uid="{00000000-0005-0000-0000-00000C020000}"/>
    <cellStyle name="20% - Énfasis4 4 3 2 2" xfId="1147" xr:uid="{00000000-0005-0000-0000-00000D020000}"/>
    <cellStyle name="20% - Énfasis4 4 3 2 2 2" xfId="2238" xr:uid="{00000000-0005-0000-0000-00000E020000}"/>
    <cellStyle name="20% - Énfasis4 4 3 2 3" xfId="1696" xr:uid="{00000000-0005-0000-0000-00000F020000}"/>
    <cellStyle name="20% - Énfasis4 4 3 3" xfId="876" xr:uid="{00000000-0005-0000-0000-000010020000}"/>
    <cellStyle name="20% - Énfasis4 4 3 3 2" xfId="1967" xr:uid="{00000000-0005-0000-0000-000011020000}"/>
    <cellStyle name="20% - Énfasis4 4 3 4" xfId="1425" xr:uid="{00000000-0005-0000-0000-000012020000}"/>
    <cellStyle name="20% - Énfasis4 4 4" xfId="271" xr:uid="{00000000-0005-0000-0000-000013020000}"/>
    <cellStyle name="20% - Énfasis4 4 4 2" xfId="630" xr:uid="{00000000-0005-0000-0000-000014020000}"/>
    <cellStyle name="20% - Énfasis4 4 4 2 2" xfId="1172" xr:uid="{00000000-0005-0000-0000-000015020000}"/>
    <cellStyle name="20% - Énfasis4 4 4 2 2 2" xfId="2263" xr:uid="{00000000-0005-0000-0000-000016020000}"/>
    <cellStyle name="20% - Énfasis4 4 4 2 3" xfId="1721" xr:uid="{00000000-0005-0000-0000-000017020000}"/>
    <cellStyle name="20% - Énfasis4 4 4 3" xfId="901" xr:uid="{00000000-0005-0000-0000-000018020000}"/>
    <cellStyle name="20% - Énfasis4 4 4 3 2" xfId="1992" xr:uid="{00000000-0005-0000-0000-000019020000}"/>
    <cellStyle name="20% - Énfasis4 4 4 4" xfId="1450" xr:uid="{00000000-0005-0000-0000-00001A020000}"/>
    <cellStyle name="20% - Énfasis4 4 5" xfId="476" xr:uid="{00000000-0005-0000-0000-00001B020000}"/>
    <cellStyle name="20% - Énfasis4 4 5 2" xfId="1019" xr:uid="{00000000-0005-0000-0000-00001C020000}"/>
    <cellStyle name="20% - Énfasis4 4 5 2 2" xfId="2110" xr:uid="{00000000-0005-0000-0000-00001D020000}"/>
    <cellStyle name="20% - Énfasis4 4 5 3" xfId="1568" xr:uid="{00000000-0005-0000-0000-00001E020000}"/>
    <cellStyle name="20% - Énfasis4 4 6" xfId="748" xr:uid="{00000000-0005-0000-0000-00001F020000}"/>
    <cellStyle name="20% - Énfasis4 4 6 2" xfId="1839" xr:uid="{00000000-0005-0000-0000-000020020000}"/>
    <cellStyle name="20% - Énfasis4 4 7" xfId="1297" xr:uid="{00000000-0005-0000-0000-000021020000}"/>
    <cellStyle name="20% - Énfasis4 4_Cuadro Talleres" xfId="272" xr:uid="{00000000-0005-0000-0000-000022020000}"/>
    <cellStyle name="20% - Énfasis4 5" xfId="117" xr:uid="{00000000-0005-0000-0000-000023020000}"/>
    <cellStyle name="20% - Énfasis4 5 2" xfId="494" xr:uid="{00000000-0005-0000-0000-000024020000}"/>
    <cellStyle name="20% - Énfasis4 5 2 2" xfId="1037" xr:uid="{00000000-0005-0000-0000-000025020000}"/>
    <cellStyle name="20% - Énfasis4 5 2 2 2" xfId="2128" xr:uid="{00000000-0005-0000-0000-000026020000}"/>
    <cellStyle name="20% - Énfasis4 5 2 3" xfId="1586" xr:uid="{00000000-0005-0000-0000-000027020000}"/>
    <cellStyle name="20% - Énfasis4 5 3" xfId="766" xr:uid="{00000000-0005-0000-0000-000028020000}"/>
    <cellStyle name="20% - Énfasis4 5 3 2" xfId="1857" xr:uid="{00000000-0005-0000-0000-000029020000}"/>
    <cellStyle name="20% - Énfasis4 5 4" xfId="1315" xr:uid="{00000000-0005-0000-0000-00002A020000}"/>
    <cellStyle name="20% - Énfasis4 6" xfId="181" xr:uid="{00000000-0005-0000-0000-00002B020000}"/>
    <cellStyle name="20% - Énfasis4 6 2" xfId="557" xr:uid="{00000000-0005-0000-0000-00002C020000}"/>
    <cellStyle name="20% - Énfasis4 6 2 2" xfId="1099" xr:uid="{00000000-0005-0000-0000-00002D020000}"/>
    <cellStyle name="20% - Énfasis4 6 2 2 2" xfId="2190" xr:uid="{00000000-0005-0000-0000-00002E020000}"/>
    <cellStyle name="20% - Énfasis4 6 2 3" xfId="1648" xr:uid="{00000000-0005-0000-0000-00002F020000}"/>
    <cellStyle name="20% - Énfasis4 6 3" xfId="828" xr:uid="{00000000-0005-0000-0000-000030020000}"/>
    <cellStyle name="20% - Énfasis4 6 3 2" xfId="1919" xr:uid="{00000000-0005-0000-0000-000031020000}"/>
    <cellStyle name="20% - Énfasis4 6 4" xfId="1377" xr:uid="{00000000-0005-0000-0000-000032020000}"/>
    <cellStyle name="20% - Énfasis4 7" xfId="273" xr:uid="{00000000-0005-0000-0000-000033020000}"/>
    <cellStyle name="20% - Énfasis4 7 2" xfId="631" xr:uid="{00000000-0005-0000-0000-000034020000}"/>
    <cellStyle name="20% - Énfasis4 7 2 2" xfId="1173" xr:uid="{00000000-0005-0000-0000-000035020000}"/>
    <cellStyle name="20% - Énfasis4 7 2 2 2" xfId="2264" xr:uid="{00000000-0005-0000-0000-000036020000}"/>
    <cellStyle name="20% - Énfasis4 7 2 3" xfId="1722" xr:uid="{00000000-0005-0000-0000-000037020000}"/>
    <cellStyle name="20% - Énfasis4 7 3" xfId="902" xr:uid="{00000000-0005-0000-0000-000038020000}"/>
    <cellStyle name="20% - Énfasis4 7 3 2" xfId="1993" xr:uid="{00000000-0005-0000-0000-000039020000}"/>
    <cellStyle name="20% - Énfasis4 7 4" xfId="1451" xr:uid="{00000000-0005-0000-0000-00003A020000}"/>
    <cellStyle name="20% - Énfasis4 8" xfId="274" xr:uid="{00000000-0005-0000-0000-00003B020000}"/>
    <cellStyle name="20% - Énfasis4 8 2" xfId="632" xr:uid="{00000000-0005-0000-0000-00003C020000}"/>
    <cellStyle name="20% - Énfasis4 8 2 2" xfId="1174" xr:uid="{00000000-0005-0000-0000-00003D020000}"/>
    <cellStyle name="20% - Énfasis4 8 2 2 2" xfId="2265" xr:uid="{00000000-0005-0000-0000-00003E020000}"/>
    <cellStyle name="20% - Énfasis4 8 2 3" xfId="1723" xr:uid="{00000000-0005-0000-0000-00003F020000}"/>
    <cellStyle name="20% - Énfasis4 8 3" xfId="903" xr:uid="{00000000-0005-0000-0000-000040020000}"/>
    <cellStyle name="20% - Énfasis4 8 3 2" xfId="1994" xr:uid="{00000000-0005-0000-0000-000041020000}"/>
    <cellStyle name="20% - Énfasis4 8 4" xfId="1452" xr:uid="{00000000-0005-0000-0000-000042020000}"/>
    <cellStyle name="20% - Énfasis4 9" xfId="428" xr:uid="{00000000-0005-0000-0000-000043020000}"/>
    <cellStyle name="20% - Énfasis4 9 2" xfId="971" xr:uid="{00000000-0005-0000-0000-000044020000}"/>
    <cellStyle name="20% - Énfasis4 9 2 2" xfId="2062" xr:uid="{00000000-0005-0000-0000-000045020000}"/>
    <cellStyle name="20% - Énfasis4 9 3" xfId="1520" xr:uid="{00000000-0005-0000-0000-000046020000}"/>
    <cellStyle name="20% - Énfasis5" xfId="35" builtinId="46" customBuiltin="1"/>
    <cellStyle name="20% - Énfasis5 10" xfId="702" xr:uid="{00000000-0005-0000-0000-000048020000}"/>
    <cellStyle name="20% - Énfasis5 10 2" xfId="1793" xr:uid="{00000000-0005-0000-0000-000049020000}"/>
    <cellStyle name="20% - Énfasis5 11" xfId="1251" xr:uid="{00000000-0005-0000-0000-00004A020000}"/>
    <cellStyle name="20% - Énfasis5 12" xfId="2341" xr:uid="{00000000-0005-0000-0000-00004B020000}"/>
    <cellStyle name="20% - Énfasis5 13" xfId="2404" xr:uid="{00000000-0005-0000-0000-00004C020000}"/>
    <cellStyle name="20% - Énfasis5 2" xfId="57" xr:uid="{00000000-0005-0000-0000-00004D020000}"/>
    <cellStyle name="20% - Énfasis5 2 2" xfId="135" xr:uid="{00000000-0005-0000-0000-00004E020000}"/>
    <cellStyle name="20% - Énfasis5 2 2 2" xfId="512" xr:uid="{00000000-0005-0000-0000-00004F020000}"/>
    <cellStyle name="20% - Énfasis5 2 2 2 2" xfId="1054" xr:uid="{00000000-0005-0000-0000-000050020000}"/>
    <cellStyle name="20% - Énfasis5 2 2 2 2 2" xfId="2145" xr:uid="{00000000-0005-0000-0000-000051020000}"/>
    <cellStyle name="20% - Énfasis5 2 2 2 3" xfId="1603" xr:uid="{00000000-0005-0000-0000-000052020000}"/>
    <cellStyle name="20% - Énfasis5 2 2 3" xfId="783" xr:uid="{00000000-0005-0000-0000-000053020000}"/>
    <cellStyle name="20% - Énfasis5 2 2 3 2" xfId="1874" xr:uid="{00000000-0005-0000-0000-000054020000}"/>
    <cellStyle name="20% - Énfasis5 2 2 4" xfId="1332" xr:uid="{00000000-0005-0000-0000-000055020000}"/>
    <cellStyle name="20% - Énfasis5 2 3" xfId="200" xr:uid="{00000000-0005-0000-0000-000056020000}"/>
    <cellStyle name="20% - Énfasis5 2 3 2" xfId="575" xr:uid="{00000000-0005-0000-0000-000057020000}"/>
    <cellStyle name="20% - Énfasis5 2 3 2 2" xfId="1117" xr:uid="{00000000-0005-0000-0000-000058020000}"/>
    <cellStyle name="20% - Énfasis5 2 3 2 2 2" xfId="2208" xr:uid="{00000000-0005-0000-0000-000059020000}"/>
    <cellStyle name="20% - Énfasis5 2 3 2 3" xfId="1666" xr:uid="{00000000-0005-0000-0000-00005A020000}"/>
    <cellStyle name="20% - Énfasis5 2 3 3" xfId="846" xr:uid="{00000000-0005-0000-0000-00005B020000}"/>
    <cellStyle name="20% - Énfasis5 2 3 3 2" xfId="1937" xr:uid="{00000000-0005-0000-0000-00005C020000}"/>
    <cellStyle name="20% - Énfasis5 2 3 4" xfId="1395" xr:uid="{00000000-0005-0000-0000-00005D020000}"/>
    <cellStyle name="20% - Énfasis5 2 4" xfId="275" xr:uid="{00000000-0005-0000-0000-00005E020000}"/>
    <cellStyle name="20% - Énfasis5 2 4 2" xfId="633" xr:uid="{00000000-0005-0000-0000-00005F020000}"/>
    <cellStyle name="20% - Énfasis5 2 4 2 2" xfId="1175" xr:uid="{00000000-0005-0000-0000-000060020000}"/>
    <cellStyle name="20% - Énfasis5 2 4 2 2 2" xfId="2266" xr:uid="{00000000-0005-0000-0000-000061020000}"/>
    <cellStyle name="20% - Énfasis5 2 4 2 3" xfId="1724" xr:uid="{00000000-0005-0000-0000-000062020000}"/>
    <cellStyle name="20% - Énfasis5 2 4 3" xfId="904" xr:uid="{00000000-0005-0000-0000-000063020000}"/>
    <cellStyle name="20% - Énfasis5 2 4 3 2" xfId="1995" xr:uid="{00000000-0005-0000-0000-000064020000}"/>
    <cellStyle name="20% - Énfasis5 2 4 4" xfId="1453" xr:uid="{00000000-0005-0000-0000-000065020000}"/>
    <cellStyle name="20% - Énfasis5 2 5" xfId="446" xr:uid="{00000000-0005-0000-0000-000066020000}"/>
    <cellStyle name="20% - Énfasis5 2 5 2" xfId="989" xr:uid="{00000000-0005-0000-0000-000067020000}"/>
    <cellStyle name="20% - Énfasis5 2 5 2 2" xfId="2080" xr:uid="{00000000-0005-0000-0000-000068020000}"/>
    <cellStyle name="20% - Énfasis5 2 5 3" xfId="1538" xr:uid="{00000000-0005-0000-0000-000069020000}"/>
    <cellStyle name="20% - Énfasis5 2 6" xfId="718" xr:uid="{00000000-0005-0000-0000-00006A020000}"/>
    <cellStyle name="20% - Énfasis5 2 6 2" xfId="1809" xr:uid="{00000000-0005-0000-0000-00006B020000}"/>
    <cellStyle name="20% - Énfasis5 2 7" xfId="1267" xr:uid="{00000000-0005-0000-0000-00006C020000}"/>
    <cellStyle name="20% - Énfasis5 2 8" xfId="2342" xr:uid="{00000000-0005-0000-0000-00006D020000}"/>
    <cellStyle name="20% - Énfasis5 2 9" xfId="2405" xr:uid="{00000000-0005-0000-0000-00006E020000}"/>
    <cellStyle name="20% - Énfasis5 2_Cuadro Talleres" xfId="276" xr:uid="{00000000-0005-0000-0000-00006F020000}"/>
    <cellStyle name="20% - Énfasis5 3" xfId="73" xr:uid="{00000000-0005-0000-0000-000070020000}"/>
    <cellStyle name="20% - Énfasis5 3 2" xfId="152" xr:uid="{00000000-0005-0000-0000-000071020000}"/>
    <cellStyle name="20% - Énfasis5 3 2 2" xfId="528" xr:uid="{00000000-0005-0000-0000-000072020000}"/>
    <cellStyle name="20% - Énfasis5 3 2 2 2" xfId="1070" xr:uid="{00000000-0005-0000-0000-000073020000}"/>
    <cellStyle name="20% - Énfasis5 3 2 2 2 2" xfId="2161" xr:uid="{00000000-0005-0000-0000-000074020000}"/>
    <cellStyle name="20% - Énfasis5 3 2 2 3" xfId="1619" xr:uid="{00000000-0005-0000-0000-000075020000}"/>
    <cellStyle name="20% - Énfasis5 3 2 3" xfId="799" xr:uid="{00000000-0005-0000-0000-000076020000}"/>
    <cellStyle name="20% - Énfasis5 3 2 3 2" xfId="1890" xr:uid="{00000000-0005-0000-0000-000077020000}"/>
    <cellStyle name="20% - Énfasis5 3 2 4" xfId="1348" xr:uid="{00000000-0005-0000-0000-000078020000}"/>
    <cellStyle name="20% - Énfasis5 3 3" xfId="216" xr:uid="{00000000-0005-0000-0000-000079020000}"/>
    <cellStyle name="20% - Énfasis5 3 3 2" xfId="591" xr:uid="{00000000-0005-0000-0000-00007A020000}"/>
    <cellStyle name="20% - Énfasis5 3 3 2 2" xfId="1133" xr:uid="{00000000-0005-0000-0000-00007B020000}"/>
    <cellStyle name="20% - Énfasis5 3 3 2 2 2" xfId="2224" xr:uid="{00000000-0005-0000-0000-00007C020000}"/>
    <cellStyle name="20% - Énfasis5 3 3 2 3" xfId="1682" xr:uid="{00000000-0005-0000-0000-00007D020000}"/>
    <cellStyle name="20% - Énfasis5 3 3 3" xfId="862" xr:uid="{00000000-0005-0000-0000-00007E020000}"/>
    <cellStyle name="20% - Énfasis5 3 3 3 2" xfId="1953" xr:uid="{00000000-0005-0000-0000-00007F020000}"/>
    <cellStyle name="20% - Énfasis5 3 3 4" xfId="1411" xr:uid="{00000000-0005-0000-0000-000080020000}"/>
    <cellStyle name="20% - Énfasis5 3 4" xfId="277" xr:uid="{00000000-0005-0000-0000-000081020000}"/>
    <cellStyle name="20% - Énfasis5 3 4 2" xfId="634" xr:uid="{00000000-0005-0000-0000-000082020000}"/>
    <cellStyle name="20% - Énfasis5 3 4 2 2" xfId="1176" xr:uid="{00000000-0005-0000-0000-000083020000}"/>
    <cellStyle name="20% - Énfasis5 3 4 2 2 2" xfId="2267" xr:uid="{00000000-0005-0000-0000-000084020000}"/>
    <cellStyle name="20% - Énfasis5 3 4 2 3" xfId="1725" xr:uid="{00000000-0005-0000-0000-000085020000}"/>
    <cellStyle name="20% - Énfasis5 3 4 3" xfId="905" xr:uid="{00000000-0005-0000-0000-000086020000}"/>
    <cellStyle name="20% - Énfasis5 3 4 3 2" xfId="1996" xr:uid="{00000000-0005-0000-0000-000087020000}"/>
    <cellStyle name="20% - Énfasis5 3 4 4" xfId="1454" xr:uid="{00000000-0005-0000-0000-000088020000}"/>
    <cellStyle name="20% - Énfasis5 3 5" xfId="462" xr:uid="{00000000-0005-0000-0000-000089020000}"/>
    <cellStyle name="20% - Énfasis5 3 5 2" xfId="1005" xr:uid="{00000000-0005-0000-0000-00008A020000}"/>
    <cellStyle name="20% - Énfasis5 3 5 2 2" xfId="2096" xr:uid="{00000000-0005-0000-0000-00008B020000}"/>
    <cellStyle name="20% - Énfasis5 3 5 3" xfId="1554" xr:uid="{00000000-0005-0000-0000-00008C020000}"/>
    <cellStyle name="20% - Énfasis5 3 6" xfId="734" xr:uid="{00000000-0005-0000-0000-00008D020000}"/>
    <cellStyle name="20% - Énfasis5 3 6 2" xfId="1825" xr:uid="{00000000-0005-0000-0000-00008E020000}"/>
    <cellStyle name="20% - Énfasis5 3 7" xfId="1283" xr:uid="{00000000-0005-0000-0000-00008F020000}"/>
    <cellStyle name="20% - Énfasis5 3 8" xfId="2343" xr:uid="{00000000-0005-0000-0000-000090020000}"/>
    <cellStyle name="20% - Énfasis5 3 9" xfId="2406" xr:uid="{00000000-0005-0000-0000-000091020000}"/>
    <cellStyle name="20% - Énfasis5 3_Cuadro Talleres" xfId="278" xr:uid="{00000000-0005-0000-0000-000092020000}"/>
    <cellStyle name="20% - Énfasis5 4" xfId="89" xr:uid="{00000000-0005-0000-0000-000093020000}"/>
    <cellStyle name="20% - Énfasis5 4 2" xfId="167" xr:uid="{00000000-0005-0000-0000-000094020000}"/>
    <cellStyle name="20% - Énfasis5 4 2 2" xfId="543" xr:uid="{00000000-0005-0000-0000-000095020000}"/>
    <cellStyle name="20% - Énfasis5 4 2 2 2" xfId="1085" xr:uid="{00000000-0005-0000-0000-000096020000}"/>
    <cellStyle name="20% - Énfasis5 4 2 2 2 2" xfId="2176" xr:uid="{00000000-0005-0000-0000-000097020000}"/>
    <cellStyle name="20% - Énfasis5 4 2 2 3" xfId="1634" xr:uid="{00000000-0005-0000-0000-000098020000}"/>
    <cellStyle name="20% - Énfasis5 4 2 3" xfId="814" xr:uid="{00000000-0005-0000-0000-000099020000}"/>
    <cellStyle name="20% - Énfasis5 4 2 3 2" xfId="1905" xr:uid="{00000000-0005-0000-0000-00009A020000}"/>
    <cellStyle name="20% - Énfasis5 4 2 4" xfId="1363" xr:uid="{00000000-0005-0000-0000-00009B020000}"/>
    <cellStyle name="20% - Énfasis5 4 3" xfId="232" xr:uid="{00000000-0005-0000-0000-00009C020000}"/>
    <cellStyle name="20% - Énfasis5 4 3 2" xfId="607" xr:uid="{00000000-0005-0000-0000-00009D020000}"/>
    <cellStyle name="20% - Énfasis5 4 3 2 2" xfId="1149" xr:uid="{00000000-0005-0000-0000-00009E020000}"/>
    <cellStyle name="20% - Énfasis5 4 3 2 2 2" xfId="2240" xr:uid="{00000000-0005-0000-0000-00009F020000}"/>
    <cellStyle name="20% - Énfasis5 4 3 2 3" xfId="1698" xr:uid="{00000000-0005-0000-0000-0000A0020000}"/>
    <cellStyle name="20% - Énfasis5 4 3 3" xfId="878" xr:uid="{00000000-0005-0000-0000-0000A1020000}"/>
    <cellStyle name="20% - Énfasis5 4 3 3 2" xfId="1969" xr:uid="{00000000-0005-0000-0000-0000A2020000}"/>
    <cellStyle name="20% - Énfasis5 4 3 4" xfId="1427" xr:uid="{00000000-0005-0000-0000-0000A3020000}"/>
    <cellStyle name="20% - Énfasis5 4 4" xfId="279" xr:uid="{00000000-0005-0000-0000-0000A4020000}"/>
    <cellStyle name="20% - Énfasis5 4 4 2" xfId="635" xr:uid="{00000000-0005-0000-0000-0000A5020000}"/>
    <cellStyle name="20% - Énfasis5 4 4 2 2" xfId="1177" xr:uid="{00000000-0005-0000-0000-0000A6020000}"/>
    <cellStyle name="20% - Énfasis5 4 4 2 2 2" xfId="2268" xr:uid="{00000000-0005-0000-0000-0000A7020000}"/>
    <cellStyle name="20% - Énfasis5 4 4 2 3" xfId="1726" xr:uid="{00000000-0005-0000-0000-0000A8020000}"/>
    <cellStyle name="20% - Énfasis5 4 4 3" xfId="906" xr:uid="{00000000-0005-0000-0000-0000A9020000}"/>
    <cellStyle name="20% - Énfasis5 4 4 3 2" xfId="1997" xr:uid="{00000000-0005-0000-0000-0000AA020000}"/>
    <cellStyle name="20% - Énfasis5 4 4 4" xfId="1455" xr:uid="{00000000-0005-0000-0000-0000AB020000}"/>
    <cellStyle name="20% - Énfasis5 4 5" xfId="478" xr:uid="{00000000-0005-0000-0000-0000AC020000}"/>
    <cellStyle name="20% - Énfasis5 4 5 2" xfId="1021" xr:uid="{00000000-0005-0000-0000-0000AD020000}"/>
    <cellStyle name="20% - Énfasis5 4 5 2 2" xfId="2112" xr:uid="{00000000-0005-0000-0000-0000AE020000}"/>
    <cellStyle name="20% - Énfasis5 4 5 3" xfId="1570" xr:uid="{00000000-0005-0000-0000-0000AF020000}"/>
    <cellStyle name="20% - Énfasis5 4 6" xfId="750" xr:uid="{00000000-0005-0000-0000-0000B0020000}"/>
    <cellStyle name="20% - Énfasis5 4 6 2" xfId="1841" xr:uid="{00000000-0005-0000-0000-0000B1020000}"/>
    <cellStyle name="20% - Énfasis5 4 7" xfId="1299" xr:uid="{00000000-0005-0000-0000-0000B2020000}"/>
    <cellStyle name="20% - Énfasis5 4_Cuadro Talleres" xfId="280" xr:uid="{00000000-0005-0000-0000-0000B3020000}"/>
    <cellStyle name="20% - Énfasis5 5" xfId="119" xr:uid="{00000000-0005-0000-0000-0000B4020000}"/>
    <cellStyle name="20% - Énfasis5 5 2" xfId="496" xr:uid="{00000000-0005-0000-0000-0000B5020000}"/>
    <cellStyle name="20% - Énfasis5 5 2 2" xfId="1039" xr:uid="{00000000-0005-0000-0000-0000B6020000}"/>
    <cellStyle name="20% - Énfasis5 5 2 2 2" xfId="2130" xr:uid="{00000000-0005-0000-0000-0000B7020000}"/>
    <cellStyle name="20% - Énfasis5 5 2 3" xfId="1588" xr:uid="{00000000-0005-0000-0000-0000B8020000}"/>
    <cellStyle name="20% - Énfasis5 5 3" xfId="768" xr:uid="{00000000-0005-0000-0000-0000B9020000}"/>
    <cellStyle name="20% - Énfasis5 5 3 2" xfId="1859" xr:uid="{00000000-0005-0000-0000-0000BA020000}"/>
    <cellStyle name="20% - Énfasis5 5 4" xfId="1317" xr:uid="{00000000-0005-0000-0000-0000BB020000}"/>
    <cellStyle name="20% - Énfasis5 6" xfId="183" xr:uid="{00000000-0005-0000-0000-0000BC020000}"/>
    <cellStyle name="20% - Énfasis5 6 2" xfId="559" xr:uid="{00000000-0005-0000-0000-0000BD020000}"/>
    <cellStyle name="20% - Énfasis5 6 2 2" xfId="1101" xr:uid="{00000000-0005-0000-0000-0000BE020000}"/>
    <cellStyle name="20% - Énfasis5 6 2 2 2" xfId="2192" xr:uid="{00000000-0005-0000-0000-0000BF020000}"/>
    <cellStyle name="20% - Énfasis5 6 2 3" xfId="1650" xr:uid="{00000000-0005-0000-0000-0000C0020000}"/>
    <cellStyle name="20% - Énfasis5 6 3" xfId="830" xr:uid="{00000000-0005-0000-0000-0000C1020000}"/>
    <cellStyle name="20% - Énfasis5 6 3 2" xfId="1921" xr:uid="{00000000-0005-0000-0000-0000C2020000}"/>
    <cellStyle name="20% - Énfasis5 6 4" xfId="1379" xr:uid="{00000000-0005-0000-0000-0000C3020000}"/>
    <cellStyle name="20% - Énfasis5 7" xfId="281" xr:uid="{00000000-0005-0000-0000-0000C4020000}"/>
    <cellStyle name="20% - Énfasis5 7 2" xfId="636" xr:uid="{00000000-0005-0000-0000-0000C5020000}"/>
    <cellStyle name="20% - Énfasis5 7 2 2" xfId="1178" xr:uid="{00000000-0005-0000-0000-0000C6020000}"/>
    <cellStyle name="20% - Énfasis5 7 2 2 2" xfId="2269" xr:uid="{00000000-0005-0000-0000-0000C7020000}"/>
    <cellStyle name="20% - Énfasis5 7 2 3" xfId="1727" xr:uid="{00000000-0005-0000-0000-0000C8020000}"/>
    <cellStyle name="20% - Énfasis5 7 3" xfId="907" xr:uid="{00000000-0005-0000-0000-0000C9020000}"/>
    <cellStyle name="20% - Énfasis5 7 3 2" xfId="1998" xr:uid="{00000000-0005-0000-0000-0000CA020000}"/>
    <cellStyle name="20% - Énfasis5 7 4" xfId="1456" xr:uid="{00000000-0005-0000-0000-0000CB020000}"/>
    <cellStyle name="20% - Énfasis5 8" xfId="282" xr:uid="{00000000-0005-0000-0000-0000CC020000}"/>
    <cellStyle name="20% - Énfasis5 8 2" xfId="637" xr:uid="{00000000-0005-0000-0000-0000CD020000}"/>
    <cellStyle name="20% - Énfasis5 8 2 2" xfId="1179" xr:uid="{00000000-0005-0000-0000-0000CE020000}"/>
    <cellStyle name="20% - Énfasis5 8 2 2 2" xfId="2270" xr:uid="{00000000-0005-0000-0000-0000CF020000}"/>
    <cellStyle name="20% - Énfasis5 8 2 3" xfId="1728" xr:uid="{00000000-0005-0000-0000-0000D0020000}"/>
    <cellStyle name="20% - Énfasis5 8 3" xfId="908" xr:uid="{00000000-0005-0000-0000-0000D1020000}"/>
    <cellStyle name="20% - Énfasis5 8 3 2" xfId="1999" xr:uid="{00000000-0005-0000-0000-0000D2020000}"/>
    <cellStyle name="20% - Énfasis5 8 4" xfId="1457" xr:uid="{00000000-0005-0000-0000-0000D3020000}"/>
    <cellStyle name="20% - Énfasis5 9" xfId="430" xr:uid="{00000000-0005-0000-0000-0000D4020000}"/>
    <cellStyle name="20% - Énfasis5 9 2" xfId="973" xr:uid="{00000000-0005-0000-0000-0000D5020000}"/>
    <cellStyle name="20% - Énfasis5 9 2 2" xfId="2064" xr:uid="{00000000-0005-0000-0000-0000D6020000}"/>
    <cellStyle name="20% - Énfasis5 9 3" xfId="1522" xr:uid="{00000000-0005-0000-0000-0000D7020000}"/>
    <cellStyle name="20% - Énfasis6" xfId="39" builtinId="50" customBuiltin="1"/>
    <cellStyle name="20% - Énfasis6 10" xfId="704" xr:uid="{00000000-0005-0000-0000-0000D9020000}"/>
    <cellStyle name="20% - Énfasis6 10 2" xfId="1795" xr:uid="{00000000-0005-0000-0000-0000DA020000}"/>
    <cellStyle name="20% - Énfasis6 11" xfId="1253" xr:uid="{00000000-0005-0000-0000-0000DB020000}"/>
    <cellStyle name="20% - Énfasis6 12" xfId="2344" xr:uid="{00000000-0005-0000-0000-0000DC020000}"/>
    <cellStyle name="20% - Énfasis6 13" xfId="2407" xr:uid="{00000000-0005-0000-0000-0000DD020000}"/>
    <cellStyle name="20% - Énfasis6 2" xfId="59" xr:uid="{00000000-0005-0000-0000-0000DE020000}"/>
    <cellStyle name="20% - Énfasis6 2 2" xfId="137" xr:uid="{00000000-0005-0000-0000-0000DF020000}"/>
    <cellStyle name="20% - Énfasis6 2 2 2" xfId="514" xr:uid="{00000000-0005-0000-0000-0000E0020000}"/>
    <cellStyle name="20% - Énfasis6 2 2 2 2" xfId="1056" xr:uid="{00000000-0005-0000-0000-0000E1020000}"/>
    <cellStyle name="20% - Énfasis6 2 2 2 2 2" xfId="2147" xr:uid="{00000000-0005-0000-0000-0000E2020000}"/>
    <cellStyle name="20% - Énfasis6 2 2 2 3" xfId="1605" xr:uid="{00000000-0005-0000-0000-0000E3020000}"/>
    <cellStyle name="20% - Énfasis6 2 2 3" xfId="785" xr:uid="{00000000-0005-0000-0000-0000E4020000}"/>
    <cellStyle name="20% - Énfasis6 2 2 3 2" xfId="1876" xr:uid="{00000000-0005-0000-0000-0000E5020000}"/>
    <cellStyle name="20% - Énfasis6 2 2 4" xfId="1334" xr:uid="{00000000-0005-0000-0000-0000E6020000}"/>
    <cellStyle name="20% - Énfasis6 2 3" xfId="202" xr:uid="{00000000-0005-0000-0000-0000E7020000}"/>
    <cellStyle name="20% - Énfasis6 2 3 2" xfId="577" xr:uid="{00000000-0005-0000-0000-0000E8020000}"/>
    <cellStyle name="20% - Énfasis6 2 3 2 2" xfId="1119" xr:uid="{00000000-0005-0000-0000-0000E9020000}"/>
    <cellStyle name="20% - Énfasis6 2 3 2 2 2" xfId="2210" xr:uid="{00000000-0005-0000-0000-0000EA020000}"/>
    <cellStyle name="20% - Énfasis6 2 3 2 3" xfId="1668" xr:uid="{00000000-0005-0000-0000-0000EB020000}"/>
    <cellStyle name="20% - Énfasis6 2 3 3" xfId="848" xr:uid="{00000000-0005-0000-0000-0000EC020000}"/>
    <cellStyle name="20% - Énfasis6 2 3 3 2" xfId="1939" xr:uid="{00000000-0005-0000-0000-0000ED020000}"/>
    <cellStyle name="20% - Énfasis6 2 3 4" xfId="1397" xr:uid="{00000000-0005-0000-0000-0000EE020000}"/>
    <cellStyle name="20% - Énfasis6 2 4" xfId="283" xr:uid="{00000000-0005-0000-0000-0000EF020000}"/>
    <cellStyle name="20% - Énfasis6 2 4 2" xfId="638" xr:uid="{00000000-0005-0000-0000-0000F0020000}"/>
    <cellStyle name="20% - Énfasis6 2 4 2 2" xfId="1180" xr:uid="{00000000-0005-0000-0000-0000F1020000}"/>
    <cellStyle name="20% - Énfasis6 2 4 2 2 2" xfId="2271" xr:uid="{00000000-0005-0000-0000-0000F2020000}"/>
    <cellStyle name="20% - Énfasis6 2 4 2 3" xfId="1729" xr:uid="{00000000-0005-0000-0000-0000F3020000}"/>
    <cellStyle name="20% - Énfasis6 2 4 3" xfId="909" xr:uid="{00000000-0005-0000-0000-0000F4020000}"/>
    <cellStyle name="20% - Énfasis6 2 4 3 2" xfId="2000" xr:uid="{00000000-0005-0000-0000-0000F5020000}"/>
    <cellStyle name="20% - Énfasis6 2 4 4" xfId="1458" xr:uid="{00000000-0005-0000-0000-0000F6020000}"/>
    <cellStyle name="20% - Énfasis6 2 5" xfId="448" xr:uid="{00000000-0005-0000-0000-0000F7020000}"/>
    <cellStyle name="20% - Énfasis6 2 5 2" xfId="991" xr:uid="{00000000-0005-0000-0000-0000F8020000}"/>
    <cellStyle name="20% - Énfasis6 2 5 2 2" xfId="2082" xr:uid="{00000000-0005-0000-0000-0000F9020000}"/>
    <cellStyle name="20% - Énfasis6 2 5 3" xfId="1540" xr:uid="{00000000-0005-0000-0000-0000FA020000}"/>
    <cellStyle name="20% - Énfasis6 2 6" xfId="720" xr:uid="{00000000-0005-0000-0000-0000FB020000}"/>
    <cellStyle name="20% - Énfasis6 2 6 2" xfId="1811" xr:uid="{00000000-0005-0000-0000-0000FC020000}"/>
    <cellStyle name="20% - Énfasis6 2 7" xfId="1269" xr:uid="{00000000-0005-0000-0000-0000FD020000}"/>
    <cellStyle name="20% - Énfasis6 2 8" xfId="2345" xr:uid="{00000000-0005-0000-0000-0000FE020000}"/>
    <cellStyle name="20% - Énfasis6 2 9" xfId="2408" xr:uid="{00000000-0005-0000-0000-0000FF020000}"/>
    <cellStyle name="20% - Énfasis6 2_Cuadro Talleres" xfId="284" xr:uid="{00000000-0005-0000-0000-000000030000}"/>
    <cellStyle name="20% - Énfasis6 3" xfId="75" xr:uid="{00000000-0005-0000-0000-000001030000}"/>
    <cellStyle name="20% - Énfasis6 3 2" xfId="154" xr:uid="{00000000-0005-0000-0000-000002030000}"/>
    <cellStyle name="20% - Énfasis6 3 2 2" xfId="530" xr:uid="{00000000-0005-0000-0000-000003030000}"/>
    <cellStyle name="20% - Énfasis6 3 2 2 2" xfId="1072" xr:uid="{00000000-0005-0000-0000-000004030000}"/>
    <cellStyle name="20% - Énfasis6 3 2 2 2 2" xfId="2163" xr:uid="{00000000-0005-0000-0000-000005030000}"/>
    <cellStyle name="20% - Énfasis6 3 2 2 3" xfId="1621" xr:uid="{00000000-0005-0000-0000-000006030000}"/>
    <cellStyle name="20% - Énfasis6 3 2 3" xfId="801" xr:uid="{00000000-0005-0000-0000-000007030000}"/>
    <cellStyle name="20% - Énfasis6 3 2 3 2" xfId="1892" xr:uid="{00000000-0005-0000-0000-000008030000}"/>
    <cellStyle name="20% - Énfasis6 3 2 4" xfId="1350" xr:uid="{00000000-0005-0000-0000-000009030000}"/>
    <cellStyle name="20% - Énfasis6 3 3" xfId="218" xr:uid="{00000000-0005-0000-0000-00000A030000}"/>
    <cellStyle name="20% - Énfasis6 3 3 2" xfId="593" xr:uid="{00000000-0005-0000-0000-00000B030000}"/>
    <cellStyle name="20% - Énfasis6 3 3 2 2" xfId="1135" xr:uid="{00000000-0005-0000-0000-00000C030000}"/>
    <cellStyle name="20% - Énfasis6 3 3 2 2 2" xfId="2226" xr:uid="{00000000-0005-0000-0000-00000D030000}"/>
    <cellStyle name="20% - Énfasis6 3 3 2 3" xfId="1684" xr:uid="{00000000-0005-0000-0000-00000E030000}"/>
    <cellStyle name="20% - Énfasis6 3 3 3" xfId="864" xr:uid="{00000000-0005-0000-0000-00000F030000}"/>
    <cellStyle name="20% - Énfasis6 3 3 3 2" xfId="1955" xr:uid="{00000000-0005-0000-0000-000010030000}"/>
    <cellStyle name="20% - Énfasis6 3 3 4" xfId="1413" xr:uid="{00000000-0005-0000-0000-000011030000}"/>
    <cellStyle name="20% - Énfasis6 3 4" xfId="285" xr:uid="{00000000-0005-0000-0000-000012030000}"/>
    <cellStyle name="20% - Énfasis6 3 4 2" xfId="639" xr:uid="{00000000-0005-0000-0000-000013030000}"/>
    <cellStyle name="20% - Énfasis6 3 4 2 2" xfId="1181" xr:uid="{00000000-0005-0000-0000-000014030000}"/>
    <cellStyle name="20% - Énfasis6 3 4 2 2 2" xfId="2272" xr:uid="{00000000-0005-0000-0000-000015030000}"/>
    <cellStyle name="20% - Énfasis6 3 4 2 3" xfId="1730" xr:uid="{00000000-0005-0000-0000-000016030000}"/>
    <cellStyle name="20% - Énfasis6 3 4 3" xfId="910" xr:uid="{00000000-0005-0000-0000-000017030000}"/>
    <cellStyle name="20% - Énfasis6 3 4 3 2" xfId="2001" xr:uid="{00000000-0005-0000-0000-000018030000}"/>
    <cellStyle name="20% - Énfasis6 3 4 4" xfId="1459" xr:uid="{00000000-0005-0000-0000-000019030000}"/>
    <cellStyle name="20% - Énfasis6 3 5" xfId="464" xr:uid="{00000000-0005-0000-0000-00001A030000}"/>
    <cellStyle name="20% - Énfasis6 3 5 2" xfId="1007" xr:uid="{00000000-0005-0000-0000-00001B030000}"/>
    <cellStyle name="20% - Énfasis6 3 5 2 2" xfId="2098" xr:uid="{00000000-0005-0000-0000-00001C030000}"/>
    <cellStyle name="20% - Énfasis6 3 5 3" xfId="1556" xr:uid="{00000000-0005-0000-0000-00001D030000}"/>
    <cellStyle name="20% - Énfasis6 3 6" xfId="736" xr:uid="{00000000-0005-0000-0000-00001E030000}"/>
    <cellStyle name="20% - Énfasis6 3 6 2" xfId="1827" xr:uid="{00000000-0005-0000-0000-00001F030000}"/>
    <cellStyle name="20% - Énfasis6 3 7" xfId="1285" xr:uid="{00000000-0005-0000-0000-000020030000}"/>
    <cellStyle name="20% - Énfasis6 3 8" xfId="2346" xr:uid="{00000000-0005-0000-0000-000021030000}"/>
    <cellStyle name="20% - Énfasis6 3 9" xfId="2409" xr:uid="{00000000-0005-0000-0000-000022030000}"/>
    <cellStyle name="20% - Énfasis6 3_Cuadro Talleres" xfId="286" xr:uid="{00000000-0005-0000-0000-000023030000}"/>
    <cellStyle name="20% - Énfasis6 4" xfId="91" xr:uid="{00000000-0005-0000-0000-000024030000}"/>
    <cellStyle name="20% - Énfasis6 4 2" xfId="169" xr:uid="{00000000-0005-0000-0000-000025030000}"/>
    <cellStyle name="20% - Énfasis6 4 2 2" xfId="545" xr:uid="{00000000-0005-0000-0000-000026030000}"/>
    <cellStyle name="20% - Énfasis6 4 2 2 2" xfId="1087" xr:uid="{00000000-0005-0000-0000-000027030000}"/>
    <cellStyle name="20% - Énfasis6 4 2 2 2 2" xfId="2178" xr:uid="{00000000-0005-0000-0000-000028030000}"/>
    <cellStyle name="20% - Énfasis6 4 2 2 3" xfId="1636" xr:uid="{00000000-0005-0000-0000-000029030000}"/>
    <cellStyle name="20% - Énfasis6 4 2 3" xfId="816" xr:uid="{00000000-0005-0000-0000-00002A030000}"/>
    <cellStyle name="20% - Énfasis6 4 2 3 2" xfId="1907" xr:uid="{00000000-0005-0000-0000-00002B030000}"/>
    <cellStyle name="20% - Énfasis6 4 2 4" xfId="1365" xr:uid="{00000000-0005-0000-0000-00002C030000}"/>
    <cellStyle name="20% - Énfasis6 4 3" xfId="234" xr:uid="{00000000-0005-0000-0000-00002D030000}"/>
    <cellStyle name="20% - Énfasis6 4 3 2" xfId="609" xr:uid="{00000000-0005-0000-0000-00002E030000}"/>
    <cellStyle name="20% - Énfasis6 4 3 2 2" xfId="1151" xr:uid="{00000000-0005-0000-0000-00002F030000}"/>
    <cellStyle name="20% - Énfasis6 4 3 2 2 2" xfId="2242" xr:uid="{00000000-0005-0000-0000-000030030000}"/>
    <cellStyle name="20% - Énfasis6 4 3 2 3" xfId="1700" xr:uid="{00000000-0005-0000-0000-000031030000}"/>
    <cellStyle name="20% - Énfasis6 4 3 3" xfId="880" xr:uid="{00000000-0005-0000-0000-000032030000}"/>
    <cellStyle name="20% - Énfasis6 4 3 3 2" xfId="1971" xr:uid="{00000000-0005-0000-0000-000033030000}"/>
    <cellStyle name="20% - Énfasis6 4 3 4" xfId="1429" xr:uid="{00000000-0005-0000-0000-000034030000}"/>
    <cellStyle name="20% - Énfasis6 4 4" xfId="287" xr:uid="{00000000-0005-0000-0000-000035030000}"/>
    <cellStyle name="20% - Énfasis6 4 4 2" xfId="640" xr:uid="{00000000-0005-0000-0000-000036030000}"/>
    <cellStyle name="20% - Énfasis6 4 4 2 2" xfId="1182" xr:uid="{00000000-0005-0000-0000-000037030000}"/>
    <cellStyle name="20% - Énfasis6 4 4 2 2 2" xfId="2273" xr:uid="{00000000-0005-0000-0000-000038030000}"/>
    <cellStyle name="20% - Énfasis6 4 4 2 3" xfId="1731" xr:uid="{00000000-0005-0000-0000-000039030000}"/>
    <cellStyle name="20% - Énfasis6 4 4 3" xfId="911" xr:uid="{00000000-0005-0000-0000-00003A030000}"/>
    <cellStyle name="20% - Énfasis6 4 4 3 2" xfId="2002" xr:uid="{00000000-0005-0000-0000-00003B030000}"/>
    <cellStyle name="20% - Énfasis6 4 4 4" xfId="1460" xr:uid="{00000000-0005-0000-0000-00003C030000}"/>
    <cellStyle name="20% - Énfasis6 4 5" xfId="480" xr:uid="{00000000-0005-0000-0000-00003D030000}"/>
    <cellStyle name="20% - Énfasis6 4 5 2" xfId="1023" xr:uid="{00000000-0005-0000-0000-00003E030000}"/>
    <cellStyle name="20% - Énfasis6 4 5 2 2" xfId="2114" xr:uid="{00000000-0005-0000-0000-00003F030000}"/>
    <cellStyle name="20% - Énfasis6 4 5 3" xfId="1572" xr:uid="{00000000-0005-0000-0000-000040030000}"/>
    <cellStyle name="20% - Énfasis6 4 6" xfId="752" xr:uid="{00000000-0005-0000-0000-000041030000}"/>
    <cellStyle name="20% - Énfasis6 4 6 2" xfId="1843" xr:uid="{00000000-0005-0000-0000-000042030000}"/>
    <cellStyle name="20% - Énfasis6 4 7" xfId="1301" xr:uid="{00000000-0005-0000-0000-000043030000}"/>
    <cellStyle name="20% - Énfasis6 4_Cuadro Talleres" xfId="288" xr:uid="{00000000-0005-0000-0000-000044030000}"/>
    <cellStyle name="20% - Énfasis6 5" xfId="121" xr:uid="{00000000-0005-0000-0000-000045030000}"/>
    <cellStyle name="20% - Énfasis6 5 2" xfId="498" xr:uid="{00000000-0005-0000-0000-000046030000}"/>
    <cellStyle name="20% - Énfasis6 5 2 2" xfId="1041" xr:uid="{00000000-0005-0000-0000-000047030000}"/>
    <cellStyle name="20% - Énfasis6 5 2 2 2" xfId="2132" xr:uid="{00000000-0005-0000-0000-000048030000}"/>
    <cellStyle name="20% - Énfasis6 5 2 3" xfId="1590" xr:uid="{00000000-0005-0000-0000-000049030000}"/>
    <cellStyle name="20% - Énfasis6 5 3" xfId="770" xr:uid="{00000000-0005-0000-0000-00004A030000}"/>
    <cellStyle name="20% - Énfasis6 5 3 2" xfId="1861" xr:uid="{00000000-0005-0000-0000-00004B030000}"/>
    <cellStyle name="20% - Énfasis6 5 4" xfId="1319" xr:uid="{00000000-0005-0000-0000-00004C030000}"/>
    <cellStyle name="20% - Énfasis6 6" xfId="185" xr:uid="{00000000-0005-0000-0000-00004D030000}"/>
    <cellStyle name="20% - Énfasis6 6 2" xfId="561" xr:uid="{00000000-0005-0000-0000-00004E030000}"/>
    <cellStyle name="20% - Énfasis6 6 2 2" xfId="1103" xr:uid="{00000000-0005-0000-0000-00004F030000}"/>
    <cellStyle name="20% - Énfasis6 6 2 2 2" xfId="2194" xr:uid="{00000000-0005-0000-0000-000050030000}"/>
    <cellStyle name="20% - Énfasis6 6 2 3" xfId="1652" xr:uid="{00000000-0005-0000-0000-000051030000}"/>
    <cellStyle name="20% - Énfasis6 6 3" xfId="832" xr:uid="{00000000-0005-0000-0000-000052030000}"/>
    <cellStyle name="20% - Énfasis6 6 3 2" xfId="1923" xr:uid="{00000000-0005-0000-0000-000053030000}"/>
    <cellStyle name="20% - Énfasis6 6 4" xfId="1381" xr:uid="{00000000-0005-0000-0000-000054030000}"/>
    <cellStyle name="20% - Énfasis6 7" xfId="289" xr:uid="{00000000-0005-0000-0000-000055030000}"/>
    <cellStyle name="20% - Énfasis6 7 2" xfId="641" xr:uid="{00000000-0005-0000-0000-000056030000}"/>
    <cellStyle name="20% - Énfasis6 7 2 2" xfId="1183" xr:uid="{00000000-0005-0000-0000-000057030000}"/>
    <cellStyle name="20% - Énfasis6 7 2 2 2" xfId="2274" xr:uid="{00000000-0005-0000-0000-000058030000}"/>
    <cellStyle name="20% - Énfasis6 7 2 3" xfId="1732" xr:uid="{00000000-0005-0000-0000-000059030000}"/>
    <cellStyle name="20% - Énfasis6 7 3" xfId="912" xr:uid="{00000000-0005-0000-0000-00005A030000}"/>
    <cellStyle name="20% - Énfasis6 7 3 2" xfId="2003" xr:uid="{00000000-0005-0000-0000-00005B030000}"/>
    <cellStyle name="20% - Énfasis6 7 4" xfId="1461" xr:uid="{00000000-0005-0000-0000-00005C030000}"/>
    <cellStyle name="20% - Énfasis6 8" xfId="290" xr:uid="{00000000-0005-0000-0000-00005D030000}"/>
    <cellStyle name="20% - Énfasis6 8 2" xfId="642" xr:uid="{00000000-0005-0000-0000-00005E030000}"/>
    <cellStyle name="20% - Énfasis6 8 2 2" xfId="1184" xr:uid="{00000000-0005-0000-0000-00005F030000}"/>
    <cellStyle name="20% - Énfasis6 8 2 2 2" xfId="2275" xr:uid="{00000000-0005-0000-0000-000060030000}"/>
    <cellStyle name="20% - Énfasis6 8 2 3" xfId="1733" xr:uid="{00000000-0005-0000-0000-000061030000}"/>
    <cellStyle name="20% - Énfasis6 8 3" xfId="913" xr:uid="{00000000-0005-0000-0000-000062030000}"/>
    <cellStyle name="20% - Énfasis6 8 3 2" xfId="2004" xr:uid="{00000000-0005-0000-0000-000063030000}"/>
    <cellStyle name="20% - Énfasis6 8 4" xfId="1462" xr:uid="{00000000-0005-0000-0000-000064030000}"/>
    <cellStyle name="20% - Énfasis6 9" xfId="432" xr:uid="{00000000-0005-0000-0000-000065030000}"/>
    <cellStyle name="20% - Énfasis6 9 2" xfId="975" xr:uid="{00000000-0005-0000-0000-000066030000}"/>
    <cellStyle name="20% - Énfasis6 9 2 2" xfId="2066" xr:uid="{00000000-0005-0000-0000-000067030000}"/>
    <cellStyle name="20% - Énfasis6 9 3" xfId="1524" xr:uid="{00000000-0005-0000-0000-000068030000}"/>
    <cellStyle name="40% - Énfasis1" xfId="20" builtinId="31" customBuiltin="1"/>
    <cellStyle name="40% - Énfasis1 10" xfId="695" xr:uid="{00000000-0005-0000-0000-00006A030000}"/>
    <cellStyle name="40% - Énfasis1 10 2" xfId="1786" xr:uid="{00000000-0005-0000-0000-00006B030000}"/>
    <cellStyle name="40% - Énfasis1 11" xfId="1244" xr:uid="{00000000-0005-0000-0000-00006C030000}"/>
    <cellStyle name="40% - Énfasis1 12" xfId="2347" xr:uid="{00000000-0005-0000-0000-00006D030000}"/>
    <cellStyle name="40% - Énfasis1 13" xfId="2410" xr:uid="{00000000-0005-0000-0000-00006E030000}"/>
    <cellStyle name="40% - Énfasis1 2" xfId="50" xr:uid="{00000000-0005-0000-0000-00006F030000}"/>
    <cellStyle name="40% - Énfasis1 2 2" xfId="128" xr:uid="{00000000-0005-0000-0000-000070030000}"/>
    <cellStyle name="40% - Énfasis1 2 2 2" xfId="505" xr:uid="{00000000-0005-0000-0000-000071030000}"/>
    <cellStyle name="40% - Énfasis1 2 2 2 2" xfId="1047" xr:uid="{00000000-0005-0000-0000-000072030000}"/>
    <cellStyle name="40% - Énfasis1 2 2 2 2 2" xfId="2138" xr:uid="{00000000-0005-0000-0000-000073030000}"/>
    <cellStyle name="40% - Énfasis1 2 2 2 3" xfId="1596" xr:uid="{00000000-0005-0000-0000-000074030000}"/>
    <cellStyle name="40% - Énfasis1 2 2 3" xfId="776" xr:uid="{00000000-0005-0000-0000-000075030000}"/>
    <cellStyle name="40% - Énfasis1 2 2 3 2" xfId="1867" xr:uid="{00000000-0005-0000-0000-000076030000}"/>
    <cellStyle name="40% - Énfasis1 2 2 4" xfId="1325" xr:uid="{00000000-0005-0000-0000-000077030000}"/>
    <cellStyle name="40% - Énfasis1 2 3" xfId="193" xr:uid="{00000000-0005-0000-0000-000078030000}"/>
    <cellStyle name="40% - Énfasis1 2 3 2" xfId="568" xr:uid="{00000000-0005-0000-0000-000079030000}"/>
    <cellStyle name="40% - Énfasis1 2 3 2 2" xfId="1110" xr:uid="{00000000-0005-0000-0000-00007A030000}"/>
    <cellStyle name="40% - Énfasis1 2 3 2 2 2" xfId="2201" xr:uid="{00000000-0005-0000-0000-00007B030000}"/>
    <cellStyle name="40% - Énfasis1 2 3 2 3" xfId="1659" xr:uid="{00000000-0005-0000-0000-00007C030000}"/>
    <cellStyle name="40% - Énfasis1 2 3 3" xfId="839" xr:uid="{00000000-0005-0000-0000-00007D030000}"/>
    <cellStyle name="40% - Énfasis1 2 3 3 2" xfId="1930" xr:uid="{00000000-0005-0000-0000-00007E030000}"/>
    <cellStyle name="40% - Énfasis1 2 3 4" xfId="1388" xr:uid="{00000000-0005-0000-0000-00007F030000}"/>
    <cellStyle name="40% - Énfasis1 2 4" xfId="291" xr:uid="{00000000-0005-0000-0000-000080030000}"/>
    <cellStyle name="40% - Énfasis1 2 4 2" xfId="643" xr:uid="{00000000-0005-0000-0000-000081030000}"/>
    <cellStyle name="40% - Énfasis1 2 4 2 2" xfId="1185" xr:uid="{00000000-0005-0000-0000-000082030000}"/>
    <cellStyle name="40% - Énfasis1 2 4 2 2 2" xfId="2276" xr:uid="{00000000-0005-0000-0000-000083030000}"/>
    <cellStyle name="40% - Énfasis1 2 4 2 3" xfId="1734" xr:uid="{00000000-0005-0000-0000-000084030000}"/>
    <cellStyle name="40% - Énfasis1 2 4 3" xfId="914" xr:uid="{00000000-0005-0000-0000-000085030000}"/>
    <cellStyle name="40% - Énfasis1 2 4 3 2" xfId="2005" xr:uid="{00000000-0005-0000-0000-000086030000}"/>
    <cellStyle name="40% - Énfasis1 2 4 4" xfId="1463" xr:uid="{00000000-0005-0000-0000-000087030000}"/>
    <cellStyle name="40% - Énfasis1 2 5" xfId="439" xr:uid="{00000000-0005-0000-0000-000088030000}"/>
    <cellStyle name="40% - Énfasis1 2 5 2" xfId="982" xr:uid="{00000000-0005-0000-0000-000089030000}"/>
    <cellStyle name="40% - Énfasis1 2 5 2 2" xfId="2073" xr:uid="{00000000-0005-0000-0000-00008A030000}"/>
    <cellStyle name="40% - Énfasis1 2 5 3" xfId="1531" xr:uid="{00000000-0005-0000-0000-00008B030000}"/>
    <cellStyle name="40% - Énfasis1 2 6" xfId="711" xr:uid="{00000000-0005-0000-0000-00008C030000}"/>
    <cellStyle name="40% - Énfasis1 2 6 2" xfId="1802" xr:uid="{00000000-0005-0000-0000-00008D030000}"/>
    <cellStyle name="40% - Énfasis1 2 7" xfId="1260" xr:uid="{00000000-0005-0000-0000-00008E030000}"/>
    <cellStyle name="40% - Énfasis1 2 8" xfId="2348" xr:uid="{00000000-0005-0000-0000-00008F030000}"/>
    <cellStyle name="40% - Énfasis1 2 9" xfId="2411" xr:uid="{00000000-0005-0000-0000-000090030000}"/>
    <cellStyle name="40% - Énfasis1 2_Cuadro Talleres" xfId="292" xr:uid="{00000000-0005-0000-0000-000091030000}"/>
    <cellStyle name="40% - Énfasis1 3" xfId="66" xr:uid="{00000000-0005-0000-0000-000092030000}"/>
    <cellStyle name="40% - Énfasis1 3 2" xfId="145" xr:uid="{00000000-0005-0000-0000-000093030000}"/>
    <cellStyle name="40% - Énfasis1 3 2 2" xfId="521" xr:uid="{00000000-0005-0000-0000-000094030000}"/>
    <cellStyle name="40% - Énfasis1 3 2 2 2" xfId="1063" xr:uid="{00000000-0005-0000-0000-000095030000}"/>
    <cellStyle name="40% - Énfasis1 3 2 2 2 2" xfId="2154" xr:uid="{00000000-0005-0000-0000-000096030000}"/>
    <cellStyle name="40% - Énfasis1 3 2 2 3" xfId="1612" xr:uid="{00000000-0005-0000-0000-000097030000}"/>
    <cellStyle name="40% - Énfasis1 3 2 3" xfId="792" xr:uid="{00000000-0005-0000-0000-000098030000}"/>
    <cellStyle name="40% - Énfasis1 3 2 3 2" xfId="1883" xr:uid="{00000000-0005-0000-0000-000099030000}"/>
    <cellStyle name="40% - Énfasis1 3 2 4" xfId="1341" xr:uid="{00000000-0005-0000-0000-00009A030000}"/>
    <cellStyle name="40% - Énfasis1 3 3" xfId="209" xr:uid="{00000000-0005-0000-0000-00009B030000}"/>
    <cellStyle name="40% - Énfasis1 3 3 2" xfId="584" xr:uid="{00000000-0005-0000-0000-00009C030000}"/>
    <cellStyle name="40% - Énfasis1 3 3 2 2" xfId="1126" xr:uid="{00000000-0005-0000-0000-00009D030000}"/>
    <cellStyle name="40% - Énfasis1 3 3 2 2 2" xfId="2217" xr:uid="{00000000-0005-0000-0000-00009E030000}"/>
    <cellStyle name="40% - Énfasis1 3 3 2 3" xfId="1675" xr:uid="{00000000-0005-0000-0000-00009F030000}"/>
    <cellStyle name="40% - Énfasis1 3 3 3" xfId="855" xr:uid="{00000000-0005-0000-0000-0000A0030000}"/>
    <cellStyle name="40% - Énfasis1 3 3 3 2" xfId="1946" xr:uid="{00000000-0005-0000-0000-0000A1030000}"/>
    <cellStyle name="40% - Énfasis1 3 3 4" xfId="1404" xr:uid="{00000000-0005-0000-0000-0000A2030000}"/>
    <cellStyle name="40% - Énfasis1 3 4" xfId="293" xr:uid="{00000000-0005-0000-0000-0000A3030000}"/>
    <cellStyle name="40% - Énfasis1 3 4 2" xfId="644" xr:uid="{00000000-0005-0000-0000-0000A4030000}"/>
    <cellStyle name="40% - Énfasis1 3 4 2 2" xfId="1186" xr:uid="{00000000-0005-0000-0000-0000A5030000}"/>
    <cellStyle name="40% - Énfasis1 3 4 2 2 2" xfId="2277" xr:uid="{00000000-0005-0000-0000-0000A6030000}"/>
    <cellStyle name="40% - Énfasis1 3 4 2 3" xfId="1735" xr:uid="{00000000-0005-0000-0000-0000A7030000}"/>
    <cellStyle name="40% - Énfasis1 3 4 3" xfId="915" xr:uid="{00000000-0005-0000-0000-0000A8030000}"/>
    <cellStyle name="40% - Énfasis1 3 4 3 2" xfId="2006" xr:uid="{00000000-0005-0000-0000-0000A9030000}"/>
    <cellStyle name="40% - Énfasis1 3 4 4" xfId="1464" xr:uid="{00000000-0005-0000-0000-0000AA030000}"/>
    <cellStyle name="40% - Énfasis1 3 5" xfId="455" xr:uid="{00000000-0005-0000-0000-0000AB030000}"/>
    <cellStyle name="40% - Énfasis1 3 5 2" xfId="998" xr:uid="{00000000-0005-0000-0000-0000AC030000}"/>
    <cellStyle name="40% - Énfasis1 3 5 2 2" xfId="2089" xr:uid="{00000000-0005-0000-0000-0000AD030000}"/>
    <cellStyle name="40% - Énfasis1 3 5 3" xfId="1547" xr:uid="{00000000-0005-0000-0000-0000AE030000}"/>
    <cellStyle name="40% - Énfasis1 3 6" xfId="727" xr:uid="{00000000-0005-0000-0000-0000AF030000}"/>
    <cellStyle name="40% - Énfasis1 3 6 2" xfId="1818" xr:uid="{00000000-0005-0000-0000-0000B0030000}"/>
    <cellStyle name="40% - Énfasis1 3 7" xfId="1276" xr:uid="{00000000-0005-0000-0000-0000B1030000}"/>
    <cellStyle name="40% - Énfasis1 3 8" xfId="2349" xr:uid="{00000000-0005-0000-0000-0000B2030000}"/>
    <cellStyle name="40% - Énfasis1 3 9" xfId="2412" xr:uid="{00000000-0005-0000-0000-0000B3030000}"/>
    <cellStyle name="40% - Énfasis1 3_Cuadro Talleres" xfId="294" xr:uid="{00000000-0005-0000-0000-0000B4030000}"/>
    <cellStyle name="40% - Énfasis1 4" xfId="82" xr:uid="{00000000-0005-0000-0000-0000B5030000}"/>
    <cellStyle name="40% - Énfasis1 4 2" xfId="160" xr:uid="{00000000-0005-0000-0000-0000B6030000}"/>
    <cellStyle name="40% - Énfasis1 4 2 2" xfId="536" xr:uid="{00000000-0005-0000-0000-0000B7030000}"/>
    <cellStyle name="40% - Énfasis1 4 2 2 2" xfId="1078" xr:uid="{00000000-0005-0000-0000-0000B8030000}"/>
    <cellStyle name="40% - Énfasis1 4 2 2 2 2" xfId="2169" xr:uid="{00000000-0005-0000-0000-0000B9030000}"/>
    <cellStyle name="40% - Énfasis1 4 2 2 3" xfId="1627" xr:uid="{00000000-0005-0000-0000-0000BA030000}"/>
    <cellStyle name="40% - Énfasis1 4 2 3" xfId="807" xr:uid="{00000000-0005-0000-0000-0000BB030000}"/>
    <cellStyle name="40% - Énfasis1 4 2 3 2" xfId="1898" xr:uid="{00000000-0005-0000-0000-0000BC030000}"/>
    <cellStyle name="40% - Énfasis1 4 2 4" xfId="1356" xr:uid="{00000000-0005-0000-0000-0000BD030000}"/>
    <cellStyle name="40% - Énfasis1 4 3" xfId="225" xr:uid="{00000000-0005-0000-0000-0000BE030000}"/>
    <cellStyle name="40% - Énfasis1 4 3 2" xfId="600" xr:uid="{00000000-0005-0000-0000-0000BF030000}"/>
    <cellStyle name="40% - Énfasis1 4 3 2 2" xfId="1142" xr:uid="{00000000-0005-0000-0000-0000C0030000}"/>
    <cellStyle name="40% - Énfasis1 4 3 2 2 2" xfId="2233" xr:uid="{00000000-0005-0000-0000-0000C1030000}"/>
    <cellStyle name="40% - Énfasis1 4 3 2 3" xfId="1691" xr:uid="{00000000-0005-0000-0000-0000C2030000}"/>
    <cellStyle name="40% - Énfasis1 4 3 3" xfId="871" xr:uid="{00000000-0005-0000-0000-0000C3030000}"/>
    <cellStyle name="40% - Énfasis1 4 3 3 2" xfId="1962" xr:uid="{00000000-0005-0000-0000-0000C4030000}"/>
    <cellStyle name="40% - Énfasis1 4 3 4" xfId="1420" xr:uid="{00000000-0005-0000-0000-0000C5030000}"/>
    <cellStyle name="40% - Énfasis1 4 4" xfId="295" xr:uid="{00000000-0005-0000-0000-0000C6030000}"/>
    <cellStyle name="40% - Énfasis1 4 4 2" xfId="645" xr:uid="{00000000-0005-0000-0000-0000C7030000}"/>
    <cellStyle name="40% - Énfasis1 4 4 2 2" xfId="1187" xr:uid="{00000000-0005-0000-0000-0000C8030000}"/>
    <cellStyle name="40% - Énfasis1 4 4 2 2 2" xfId="2278" xr:uid="{00000000-0005-0000-0000-0000C9030000}"/>
    <cellStyle name="40% - Énfasis1 4 4 2 3" xfId="1736" xr:uid="{00000000-0005-0000-0000-0000CA030000}"/>
    <cellStyle name="40% - Énfasis1 4 4 3" xfId="916" xr:uid="{00000000-0005-0000-0000-0000CB030000}"/>
    <cellStyle name="40% - Énfasis1 4 4 3 2" xfId="2007" xr:uid="{00000000-0005-0000-0000-0000CC030000}"/>
    <cellStyle name="40% - Énfasis1 4 4 4" xfId="1465" xr:uid="{00000000-0005-0000-0000-0000CD030000}"/>
    <cellStyle name="40% - Énfasis1 4 5" xfId="471" xr:uid="{00000000-0005-0000-0000-0000CE030000}"/>
    <cellStyle name="40% - Énfasis1 4 5 2" xfId="1014" xr:uid="{00000000-0005-0000-0000-0000CF030000}"/>
    <cellStyle name="40% - Énfasis1 4 5 2 2" xfId="2105" xr:uid="{00000000-0005-0000-0000-0000D0030000}"/>
    <cellStyle name="40% - Énfasis1 4 5 3" xfId="1563" xr:uid="{00000000-0005-0000-0000-0000D1030000}"/>
    <cellStyle name="40% - Énfasis1 4 6" xfId="743" xr:uid="{00000000-0005-0000-0000-0000D2030000}"/>
    <cellStyle name="40% - Énfasis1 4 6 2" xfId="1834" xr:uid="{00000000-0005-0000-0000-0000D3030000}"/>
    <cellStyle name="40% - Énfasis1 4 7" xfId="1292" xr:uid="{00000000-0005-0000-0000-0000D4030000}"/>
    <cellStyle name="40% - Énfasis1 4_Cuadro Talleres" xfId="296" xr:uid="{00000000-0005-0000-0000-0000D5030000}"/>
    <cellStyle name="40% - Énfasis1 5" xfId="112" xr:uid="{00000000-0005-0000-0000-0000D6030000}"/>
    <cellStyle name="40% - Énfasis1 5 2" xfId="489" xr:uid="{00000000-0005-0000-0000-0000D7030000}"/>
    <cellStyle name="40% - Énfasis1 5 2 2" xfId="1032" xr:uid="{00000000-0005-0000-0000-0000D8030000}"/>
    <cellStyle name="40% - Énfasis1 5 2 2 2" xfId="2123" xr:uid="{00000000-0005-0000-0000-0000D9030000}"/>
    <cellStyle name="40% - Énfasis1 5 2 3" xfId="1581" xr:uid="{00000000-0005-0000-0000-0000DA030000}"/>
    <cellStyle name="40% - Énfasis1 5 3" xfId="761" xr:uid="{00000000-0005-0000-0000-0000DB030000}"/>
    <cellStyle name="40% - Énfasis1 5 3 2" xfId="1852" xr:uid="{00000000-0005-0000-0000-0000DC030000}"/>
    <cellStyle name="40% - Énfasis1 5 4" xfId="1310" xr:uid="{00000000-0005-0000-0000-0000DD030000}"/>
    <cellStyle name="40% - Énfasis1 6" xfId="176" xr:uid="{00000000-0005-0000-0000-0000DE030000}"/>
    <cellStyle name="40% - Énfasis1 6 2" xfId="552" xr:uid="{00000000-0005-0000-0000-0000DF030000}"/>
    <cellStyle name="40% - Énfasis1 6 2 2" xfId="1094" xr:uid="{00000000-0005-0000-0000-0000E0030000}"/>
    <cellStyle name="40% - Énfasis1 6 2 2 2" xfId="2185" xr:uid="{00000000-0005-0000-0000-0000E1030000}"/>
    <cellStyle name="40% - Énfasis1 6 2 3" xfId="1643" xr:uid="{00000000-0005-0000-0000-0000E2030000}"/>
    <cellStyle name="40% - Énfasis1 6 3" xfId="823" xr:uid="{00000000-0005-0000-0000-0000E3030000}"/>
    <cellStyle name="40% - Énfasis1 6 3 2" xfId="1914" xr:uid="{00000000-0005-0000-0000-0000E4030000}"/>
    <cellStyle name="40% - Énfasis1 6 4" xfId="1372" xr:uid="{00000000-0005-0000-0000-0000E5030000}"/>
    <cellStyle name="40% - Énfasis1 7" xfId="297" xr:uid="{00000000-0005-0000-0000-0000E6030000}"/>
    <cellStyle name="40% - Énfasis1 7 2" xfId="646" xr:uid="{00000000-0005-0000-0000-0000E7030000}"/>
    <cellStyle name="40% - Énfasis1 7 2 2" xfId="1188" xr:uid="{00000000-0005-0000-0000-0000E8030000}"/>
    <cellStyle name="40% - Énfasis1 7 2 2 2" xfId="2279" xr:uid="{00000000-0005-0000-0000-0000E9030000}"/>
    <cellStyle name="40% - Énfasis1 7 2 3" xfId="1737" xr:uid="{00000000-0005-0000-0000-0000EA030000}"/>
    <cellStyle name="40% - Énfasis1 7 3" xfId="917" xr:uid="{00000000-0005-0000-0000-0000EB030000}"/>
    <cellStyle name="40% - Énfasis1 7 3 2" xfId="2008" xr:uid="{00000000-0005-0000-0000-0000EC030000}"/>
    <cellStyle name="40% - Énfasis1 7 4" xfId="1466" xr:uid="{00000000-0005-0000-0000-0000ED030000}"/>
    <cellStyle name="40% - Énfasis1 8" xfId="298" xr:uid="{00000000-0005-0000-0000-0000EE030000}"/>
    <cellStyle name="40% - Énfasis1 8 2" xfId="647" xr:uid="{00000000-0005-0000-0000-0000EF030000}"/>
    <cellStyle name="40% - Énfasis1 8 2 2" xfId="1189" xr:uid="{00000000-0005-0000-0000-0000F0030000}"/>
    <cellStyle name="40% - Énfasis1 8 2 2 2" xfId="2280" xr:uid="{00000000-0005-0000-0000-0000F1030000}"/>
    <cellStyle name="40% - Énfasis1 8 2 3" xfId="1738" xr:uid="{00000000-0005-0000-0000-0000F2030000}"/>
    <cellStyle name="40% - Énfasis1 8 3" xfId="918" xr:uid="{00000000-0005-0000-0000-0000F3030000}"/>
    <cellStyle name="40% - Énfasis1 8 3 2" xfId="2009" xr:uid="{00000000-0005-0000-0000-0000F4030000}"/>
    <cellStyle name="40% - Énfasis1 8 4" xfId="1467" xr:uid="{00000000-0005-0000-0000-0000F5030000}"/>
    <cellStyle name="40% - Énfasis1 9" xfId="423" xr:uid="{00000000-0005-0000-0000-0000F6030000}"/>
    <cellStyle name="40% - Énfasis1 9 2" xfId="966" xr:uid="{00000000-0005-0000-0000-0000F7030000}"/>
    <cellStyle name="40% - Énfasis1 9 2 2" xfId="2057" xr:uid="{00000000-0005-0000-0000-0000F8030000}"/>
    <cellStyle name="40% - Énfasis1 9 3" xfId="1515" xr:uid="{00000000-0005-0000-0000-0000F9030000}"/>
    <cellStyle name="40% - Énfasis2" xfId="24" builtinId="35" customBuiltin="1"/>
    <cellStyle name="40% - Énfasis2 10" xfId="697" xr:uid="{00000000-0005-0000-0000-0000FB030000}"/>
    <cellStyle name="40% - Énfasis2 10 2" xfId="1788" xr:uid="{00000000-0005-0000-0000-0000FC030000}"/>
    <cellStyle name="40% - Énfasis2 11" xfId="1246" xr:uid="{00000000-0005-0000-0000-0000FD030000}"/>
    <cellStyle name="40% - Énfasis2 12" xfId="2350" xr:uid="{00000000-0005-0000-0000-0000FE030000}"/>
    <cellStyle name="40% - Énfasis2 13" xfId="2413" xr:uid="{00000000-0005-0000-0000-0000FF030000}"/>
    <cellStyle name="40% - Énfasis2 2" xfId="52" xr:uid="{00000000-0005-0000-0000-000000040000}"/>
    <cellStyle name="40% - Énfasis2 2 2" xfId="130" xr:uid="{00000000-0005-0000-0000-000001040000}"/>
    <cellStyle name="40% - Énfasis2 2 2 2" xfId="507" xr:uid="{00000000-0005-0000-0000-000002040000}"/>
    <cellStyle name="40% - Énfasis2 2 2 2 2" xfId="1049" xr:uid="{00000000-0005-0000-0000-000003040000}"/>
    <cellStyle name="40% - Énfasis2 2 2 2 2 2" xfId="2140" xr:uid="{00000000-0005-0000-0000-000004040000}"/>
    <cellStyle name="40% - Énfasis2 2 2 2 3" xfId="1598" xr:uid="{00000000-0005-0000-0000-000005040000}"/>
    <cellStyle name="40% - Énfasis2 2 2 3" xfId="778" xr:uid="{00000000-0005-0000-0000-000006040000}"/>
    <cellStyle name="40% - Énfasis2 2 2 3 2" xfId="1869" xr:uid="{00000000-0005-0000-0000-000007040000}"/>
    <cellStyle name="40% - Énfasis2 2 2 4" xfId="1327" xr:uid="{00000000-0005-0000-0000-000008040000}"/>
    <cellStyle name="40% - Énfasis2 2 3" xfId="195" xr:uid="{00000000-0005-0000-0000-000009040000}"/>
    <cellStyle name="40% - Énfasis2 2 3 2" xfId="570" xr:uid="{00000000-0005-0000-0000-00000A040000}"/>
    <cellStyle name="40% - Énfasis2 2 3 2 2" xfId="1112" xr:uid="{00000000-0005-0000-0000-00000B040000}"/>
    <cellStyle name="40% - Énfasis2 2 3 2 2 2" xfId="2203" xr:uid="{00000000-0005-0000-0000-00000C040000}"/>
    <cellStyle name="40% - Énfasis2 2 3 2 3" xfId="1661" xr:uid="{00000000-0005-0000-0000-00000D040000}"/>
    <cellStyle name="40% - Énfasis2 2 3 3" xfId="841" xr:uid="{00000000-0005-0000-0000-00000E040000}"/>
    <cellStyle name="40% - Énfasis2 2 3 3 2" xfId="1932" xr:uid="{00000000-0005-0000-0000-00000F040000}"/>
    <cellStyle name="40% - Énfasis2 2 3 4" xfId="1390" xr:uid="{00000000-0005-0000-0000-000010040000}"/>
    <cellStyle name="40% - Énfasis2 2 4" xfId="299" xr:uid="{00000000-0005-0000-0000-000011040000}"/>
    <cellStyle name="40% - Énfasis2 2 4 2" xfId="648" xr:uid="{00000000-0005-0000-0000-000012040000}"/>
    <cellStyle name="40% - Énfasis2 2 4 2 2" xfId="1190" xr:uid="{00000000-0005-0000-0000-000013040000}"/>
    <cellStyle name="40% - Énfasis2 2 4 2 2 2" xfId="2281" xr:uid="{00000000-0005-0000-0000-000014040000}"/>
    <cellStyle name="40% - Énfasis2 2 4 2 3" xfId="1739" xr:uid="{00000000-0005-0000-0000-000015040000}"/>
    <cellStyle name="40% - Énfasis2 2 4 3" xfId="919" xr:uid="{00000000-0005-0000-0000-000016040000}"/>
    <cellStyle name="40% - Énfasis2 2 4 3 2" xfId="2010" xr:uid="{00000000-0005-0000-0000-000017040000}"/>
    <cellStyle name="40% - Énfasis2 2 4 4" xfId="1468" xr:uid="{00000000-0005-0000-0000-000018040000}"/>
    <cellStyle name="40% - Énfasis2 2 5" xfId="441" xr:uid="{00000000-0005-0000-0000-000019040000}"/>
    <cellStyle name="40% - Énfasis2 2 5 2" xfId="984" xr:uid="{00000000-0005-0000-0000-00001A040000}"/>
    <cellStyle name="40% - Énfasis2 2 5 2 2" xfId="2075" xr:uid="{00000000-0005-0000-0000-00001B040000}"/>
    <cellStyle name="40% - Énfasis2 2 5 3" xfId="1533" xr:uid="{00000000-0005-0000-0000-00001C040000}"/>
    <cellStyle name="40% - Énfasis2 2 6" xfId="713" xr:uid="{00000000-0005-0000-0000-00001D040000}"/>
    <cellStyle name="40% - Énfasis2 2 6 2" xfId="1804" xr:uid="{00000000-0005-0000-0000-00001E040000}"/>
    <cellStyle name="40% - Énfasis2 2 7" xfId="1262" xr:uid="{00000000-0005-0000-0000-00001F040000}"/>
    <cellStyle name="40% - Énfasis2 2 8" xfId="2351" xr:uid="{00000000-0005-0000-0000-000020040000}"/>
    <cellStyle name="40% - Énfasis2 2 9" xfId="2414" xr:uid="{00000000-0005-0000-0000-000021040000}"/>
    <cellStyle name="40% - Énfasis2 2_Cuadro Talleres" xfId="300" xr:uid="{00000000-0005-0000-0000-000022040000}"/>
    <cellStyle name="40% - Énfasis2 3" xfId="68" xr:uid="{00000000-0005-0000-0000-000023040000}"/>
    <cellStyle name="40% - Énfasis2 3 2" xfId="147" xr:uid="{00000000-0005-0000-0000-000024040000}"/>
    <cellStyle name="40% - Énfasis2 3 2 2" xfId="523" xr:uid="{00000000-0005-0000-0000-000025040000}"/>
    <cellStyle name="40% - Énfasis2 3 2 2 2" xfId="1065" xr:uid="{00000000-0005-0000-0000-000026040000}"/>
    <cellStyle name="40% - Énfasis2 3 2 2 2 2" xfId="2156" xr:uid="{00000000-0005-0000-0000-000027040000}"/>
    <cellStyle name="40% - Énfasis2 3 2 2 3" xfId="1614" xr:uid="{00000000-0005-0000-0000-000028040000}"/>
    <cellStyle name="40% - Énfasis2 3 2 3" xfId="794" xr:uid="{00000000-0005-0000-0000-000029040000}"/>
    <cellStyle name="40% - Énfasis2 3 2 3 2" xfId="1885" xr:uid="{00000000-0005-0000-0000-00002A040000}"/>
    <cellStyle name="40% - Énfasis2 3 2 4" xfId="1343" xr:uid="{00000000-0005-0000-0000-00002B040000}"/>
    <cellStyle name="40% - Énfasis2 3 3" xfId="211" xr:uid="{00000000-0005-0000-0000-00002C040000}"/>
    <cellStyle name="40% - Énfasis2 3 3 2" xfId="586" xr:uid="{00000000-0005-0000-0000-00002D040000}"/>
    <cellStyle name="40% - Énfasis2 3 3 2 2" xfId="1128" xr:uid="{00000000-0005-0000-0000-00002E040000}"/>
    <cellStyle name="40% - Énfasis2 3 3 2 2 2" xfId="2219" xr:uid="{00000000-0005-0000-0000-00002F040000}"/>
    <cellStyle name="40% - Énfasis2 3 3 2 3" xfId="1677" xr:uid="{00000000-0005-0000-0000-000030040000}"/>
    <cellStyle name="40% - Énfasis2 3 3 3" xfId="857" xr:uid="{00000000-0005-0000-0000-000031040000}"/>
    <cellStyle name="40% - Énfasis2 3 3 3 2" xfId="1948" xr:uid="{00000000-0005-0000-0000-000032040000}"/>
    <cellStyle name="40% - Énfasis2 3 3 4" xfId="1406" xr:uid="{00000000-0005-0000-0000-000033040000}"/>
    <cellStyle name="40% - Énfasis2 3 4" xfId="301" xr:uid="{00000000-0005-0000-0000-000034040000}"/>
    <cellStyle name="40% - Énfasis2 3 4 2" xfId="649" xr:uid="{00000000-0005-0000-0000-000035040000}"/>
    <cellStyle name="40% - Énfasis2 3 4 2 2" xfId="1191" xr:uid="{00000000-0005-0000-0000-000036040000}"/>
    <cellStyle name="40% - Énfasis2 3 4 2 2 2" xfId="2282" xr:uid="{00000000-0005-0000-0000-000037040000}"/>
    <cellStyle name="40% - Énfasis2 3 4 2 3" xfId="1740" xr:uid="{00000000-0005-0000-0000-000038040000}"/>
    <cellStyle name="40% - Énfasis2 3 4 3" xfId="920" xr:uid="{00000000-0005-0000-0000-000039040000}"/>
    <cellStyle name="40% - Énfasis2 3 4 3 2" xfId="2011" xr:uid="{00000000-0005-0000-0000-00003A040000}"/>
    <cellStyle name="40% - Énfasis2 3 4 4" xfId="1469" xr:uid="{00000000-0005-0000-0000-00003B040000}"/>
    <cellStyle name="40% - Énfasis2 3 5" xfId="457" xr:uid="{00000000-0005-0000-0000-00003C040000}"/>
    <cellStyle name="40% - Énfasis2 3 5 2" xfId="1000" xr:uid="{00000000-0005-0000-0000-00003D040000}"/>
    <cellStyle name="40% - Énfasis2 3 5 2 2" xfId="2091" xr:uid="{00000000-0005-0000-0000-00003E040000}"/>
    <cellStyle name="40% - Énfasis2 3 5 3" xfId="1549" xr:uid="{00000000-0005-0000-0000-00003F040000}"/>
    <cellStyle name="40% - Énfasis2 3 6" xfId="729" xr:uid="{00000000-0005-0000-0000-000040040000}"/>
    <cellStyle name="40% - Énfasis2 3 6 2" xfId="1820" xr:uid="{00000000-0005-0000-0000-000041040000}"/>
    <cellStyle name="40% - Énfasis2 3 7" xfId="1278" xr:uid="{00000000-0005-0000-0000-000042040000}"/>
    <cellStyle name="40% - Énfasis2 3 8" xfId="2352" xr:uid="{00000000-0005-0000-0000-000043040000}"/>
    <cellStyle name="40% - Énfasis2 3 9" xfId="2415" xr:uid="{00000000-0005-0000-0000-000044040000}"/>
    <cellStyle name="40% - Énfasis2 3_Cuadro Talleres" xfId="302" xr:uid="{00000000-0005-0000-0000-000045040000}"/>
    <cellStyle name="40% - Énfasis2 4" xfId="84" xr:uid="{00000000-0005-0000-0000-000046040000}"/>
    <cellStyle name="40% - Énfasis2 4 2" xfId="162" xr:uid="{00000000-0005-0000-0000-000047040000}"/>
    <cellStyle name="40% - Énfasis2 4 2 2" xfId="538" xr:uid="{00000000-0005-0000-0000-000048040000}"/>
    <cellStyle name="40% - Énfasis2 4 2 2 2" xfId="1080" xr:uid="{00000000-0005-0000-0000-000049040000}"/>
    <cellStyle name="40% - Énfasis2 4 2 2 2 2" xfId="2171" xr:uid="{00000000-0005-0000-0000-00004A040000}"/>
    <cellStyle name="40% - Énfasis2 4 2 2 3" xfId="1629" xr:uid="{00000000-0005-0000-0000-00004B040000}"/>
    <cellStyle name="40% - Énfasis2 4 2 3" xfId="809" xr:uid="{00000000-0005-0000-0000-00004C040000}"/>
    <cellStyle name="40% - Énfasis2 4 2 3 2" xfId="1900" xr:uid="{00000000-0005-0000-0000-00004D040000}"/>
    <cellStyle name="40% - Énfasis2 4 2 4" xfId="1358" xr:uid="{00000000-0005-0000-0000-00004E040000}"/>
    <cellStyle name="40% - Énfasis2 4 3" xfId="227" xr:uid="{00000000-0005-0000-0000-00004F040000}"/>
    <cellStyle name="40% - Énfasis2 4 3 2" xfId="602" xr:uid="{00000000-0005-0000-0000-000050040000}"/>
    <cellStyle name="40% - Énfasis2 4 3 2 2" xfId="1144" xr:uid="{00000000-0005-0000-0000-000051040000}"/>
    <cellStyle name="40% - Énfasis2 4 3 2 2 2" xfId="2235" xr:uid="{00000000-0005-0000-0000-000052040000}"/>
    <cellStyle name="40% - Énfasis2 4 3 2 3" xfId="1693" xr:uid="{00000000-0005-0000-0000-000053040000}"/>
    <cellStyle name="40% - Énfasis2 4 3 3" xfId="873" xr:uid="{00000000-0005-0000-0000-000054040000}"/>
    <cellStyle name="40% - Énfasis2 4 3 3 2" xfId="1964" xr:uid="{00000000-0005-0000-0000-000055040000}"/>
    <cellStyle name="40% - Énfasis2 4 3 4" xfId="1422" xr:uid="{00000000-0005-0000-0000-000056040000}"/>
    <cellStyle name="40% - Énfasis2 4 4" xfId="303" xr:uid="{00000000-0005-0000-0000-000057040000}"/>
    <cellStyle name="40% - Énfasis2 4 4 2" xfId="650" xr:uid="{00000000-0005-0000-0000-000058040000}"/>
    <cellStyle name="40% - Énfasis2 4 4 2 2" xfId="1192" xr:uid="{00000000-0005-0000-0000-000059040000}"/>
    <cellStyle name="40% - Énfasis2 4 4 2 2 2" xfId="2283" xr:uid="{00000000-0005-0000-0000-00005A040000}"/>
    <cellStyle name="40% - Énfasis2 4 4 2 3" xfId="1741" xr:uid="{00000000-0005-0000-0000-00005B040000}"/>
    <cellStyle name="40% - Énfasis2 4 4 3" xfId="921" xr:uid="{00000000-0005-0000-0000-00005C040000}"/>
    <cellStyle name="40% - Énfasis2 4 4 3 2" xfId="2012" xr:uid="{00000000-0005-0000-0000-00005D040000}"/>
    <cellStyle name="40% - Énfasis2 4 4 4" xfId="1470" xr:uid="{00000000-0005-0000-0000-00005E040000}"/>
    <cellStyle name="40% - Énfasis2 4 5" xfId="473" xr:uid="{00000000-0005-0000-0000-00005F040000}"/>
    <cellStyle name="40% - Énfasis2 4 5 2" xfId="1016" xr:uid="{00000000-0005-0000-0000-000060040000}"/>
    <cellStyle name="40% - Énfasis2 4 5 2 2" xfId="2107" xr:uid="{00000000-0005-0000-0000-000061040000}"/>
    <cellStyle name="40% - Énfasis2 4 5 3" xfId="1565" xr:uid="{00000000-0005-0000-0000-000062040000}"/>
    <cellStyle name="40% - Énfasis2 4 6" xfId="745" xr:uid="{00000000-0005-0000-0000-000063040000}"/>
    <cellStyle name="40% - Énfasis2 4 6 2" xfId="1836" xr:uid="{00000000-0005-0000-0000-000064040000}"/>
    <cellStyle name="40% - Énfasis2 4 7" xfId="1294" xr:uid="{00000000-0005-0000-0000-000065040000}"/>
    <cellStyle name="40% - Énfasis2 4_Cuadro Talleres" xfId="304" xr:uid="{00000000-0005-0000-0000-000066040000}"/>
    <cellStyle name="40% - Énfasis2 5" xfId="114" xr:uid="{00000000-0005-0000-0000-000067040000}"/>
    <cellStyle name="40% - Énfasis2 5 2" xfId="491" xr:uid="{00000000-0005-0000-0000-000068040000}"/>
    <cellStyle name="40% - Énfasis2 5 2 2" xfId="1034" xr:uid="{00000000-0005-0000-0000-000069040000}"/>
    <cellStyle name="40% - Énfasis2 5 2 2 2" xfId="2125" xr:uid="{00000000-0005-0000-0000-00006A040000}"/>
    <cellStyle name="40% - Énfasis2 5 2 3" xfId="1583" xr:uid="{00000000-0005-0000-0000-00006B040000}"/>
    <cellStyle name="40% - Énfasis2 5 3" xfId="763" xr:uid="{00000000-0005-0000-0000-00006C040000}"/>
    <cellStyle name="40% - Énfasis2 5 3 2" xfId="1854" xr:uid="{00000000-0005-0000-0000-00006D040000}"/>
    <cellStyle name="40% - Énfasis2 5 4" xfId="1312" xr:uid="{00000000-0005-0000-0000-00006E040000}"/>
    <cellStyle name="40% - Énfasis2 6" xfId="178" xr:uid="{00000000-0005-0000-0000-00006F040000}"/>
    <cellStyle name="40% - Énfasis2 6 2" xfId="554" xr:uid="{00000000-0005-0000-0000-000070040000}"/>
    <cellStyle name="40% - Énfasis2 6 2 2" xfId="1096" xr:uid="{00000000-0005-0000-0000-000071040000}"/>
    <cellStyle name="40% - Énfasis2 6 2 2 2" xfId="2187" xr:uid="{00000000-0005-0000-0000-000072040000}"/>
    <cellStyle name="40% - Énfasis2 6 2 3" xfId="1645" xr:uid="{00000000-0005-0000-0000-000073040000}"/>
    <cellStyle name="40% - Énfasis2 6 3" xfId="825" xr:uid="{00000000-0005-0000-0000-000074040000}"/>
    <cellStyle name="40% - Énfasis2 6 3 2" xfId="1916" xr:uid="{00000000-0005-0000-0000-000075040000}"/>
    <cellStyle name="40% - Énfasis2 6 4" xfId="1374" xr:uid="{00000000-0005-0000-0000-000076040000}"/>
    <cellStyle name="40% - Énfasis2 7" xfId="305" xr:uid="{00000000-0005-0000-0000-000077040000}"/>
    <cellStyle name="40% - Énfasis2 7 2" xfId="651" xr:uid="{00000000-0005-0000-0000-000078040000}"/>
    <cellStyle name="40% - Énfasis2 7 2 2" xfId="1193" xr:uid="{00000000-0005-0000-0000-000079040000}"/>
    <cellStyle name="40% - Énfasis2 7 2 2 2" xfId="2284" xr:uid="{00000000-0005-0000-0000-00007A040000}"/>
    <cellStyle name="40% - Énfasis2 7 2 3" xfId="1742" xr:uid="{00000000-0005-0000-0000-00007B040000}"/>
    <cellStyle name="40% - Énfasis2 7 3" xfId="922" xr:uid="{00000000-0005-0000-0000-00007C040000}"/>
    <cellStyle name="40% - Énfasis2 7 3 2" xfId="2013" xr:uid="{00000000-0005-0000-0000-00007D040000}"/>
    <cellStyle name="40% - Énfasis2 7 4" xfId="1471" xr:uid="{00000000-0005-0000-0000-00007E040000}"/>
    <cellStyle name="40% - Énfasis2 8" xfId="306" xr:uid="{00000000-0005-0000-0000-00007F040000}"/>
    <cellStyle name="40% - Énfasis2 8 2" xfId="652" xr:uid="{00000000-0005-0000-0000-000080040000}"/>
    <cellStyle name="40% - Énfasis2 8 2 2" xfId="1194" xr:uid="{00000000-0005-0000-0000-000081040000}"/>
    <cellStyle name="40% - Énfasis2 8 2 2 2" xfId="2285" xr:uid="{00000000-0005-0000-0000-000082040000}"/>
    <cellStyle name="40% - Énfasis2 8 2 3" xfId="1743" xr:uid="{00000000-0005-0000-0000-000083040000}"/>
    <cellStyle name="40% - Énfasis2 8 3" xfId="923" xr:uid="{00000000-0005-0000-0000-000084040000}"/>
    <cellStyle name="40% - Énfasis2 8 3 2" xfId="2014" xr:uid="{00000000-0005-0000-0000-000085040000}"/>
    <cellStyle name="40% - Énfasis2 8 4" xfId="1472" xr:uid="{00000000-0005-0000-0000-000086040000}"/>
    <cellStyle name="40% - Énfasis2 9" xfId="425" xr:uid="{00000000-0005-0000-0000-000087040000}"/>
    <cellStyle name="40% - Énfasis2 9 2" xfId="968" xr:uid="{00000000-0005-0000-0000-000088040000}"/>
    <cellStyle name="40% - Énfasis2 9 2 2" xfId="2059" xr:uid="{00000000-0005-0000-0000-000089040000}"/>
    <cellStyle name="40% - Énfasis2 9 3" xfId="1517" xr:uid="{00000000-0005-0000-0000-00008A040000}"/>
    <cellStyle name="40% - Énfasis3" xfId="28" builtinId="39" customBuiltin="1"/>
    <cellStyle name="40% - Énfasis3 10" xfId="699" xr:uid="{00000000-0005-0000-0000-00008C040000}"/>
    <cellStyle name="40% - Énfasis3 10 2" xfId="1790" xr:uid="{00000000-0005-0000-0000-00008D040000}"/>
    <cellStyle name="40% - Énfasis3 11" xfId="1248" xr:uid="{00000000-0005-0000-0000-00008E040000}"/>
    <cellStyle name="40% - Énfasis3 12" xfId="2353" xr:uid="{00000000-0005-0000-0000-00008F040000}"/>
    <cellStyle name="40% - Énfasis3 13" xfId="2416" xr:uid="{00000000-0005-0000-0000-000090040000}"/>
    <cellStyle name="40% - Énfasis3 2" xfId="54" xr:uid="{00000000-0005-0000-0000-000091040000}"/>
    <cellStyle name="40% - Énfasis3 2 2" xfId="132" xr:uid="{00000000-0005-0000-0000-000092040000}"/>
    <cellStyle name="40% - Énfasis3 2 2 2" xfId="509" xr:uid="{00000000-0005-0000-0000-000093040000}"/>
    <cellStyle name="40% - Énfasis3 2 2 2 2" xfId="1051" xr:uid="{00000000-0005-0000-0000-000094040000}"/>
    <cellStyle name="40% - Énfasis3 2 2 2 2 2" xfId="2142" xr:uid="{00000000-0005-0000-0000-000095040000}"/>
    <cellStyle name="40% - Énfasis3 2 2 2 3" xfId="1600" xr:uid="{00000000-0005-0000-0000-000096040000}"/>
    <cellStyle name="40% - Énfasis3 2 2 3" xfId="780" xr:uid="{00000000-0005-0000-0000-000097040000}"/>
    <cellStyle name="40% - Énfasis3 2 2 3 2" xfId="1871" xr:uid="{00000000-0005-0000-0000-000098040000}"/>
    <cellStyle name="40% - Énfasis3 2 2 4" xfId="1329" xr:uid="{00000000-0005-0000-0000-000099040000}"/>
    <cellStyle name="40% - Énfasis3 2 3" xfId="197" xr:uid="{00000000-0005-0000-0000-00009A040000}"/>
    <cellStyle name="40% - Énfasis3 2 3 2" xfId="572" xr:uid="{00000000-0005-0000-0000-00009B040000}"/>
    <cellStyle name="40% - Énfasis3 2 3 2 2" xfId="1114" xr:uid="{00000000-0005-0000-0000-00009C040000}"/>
    <cellStyle name="40% - Énfasis3 2 3 2 2 2" xfId="2205" xr:uid="{00000000-0005-0000-0000-00009D040000}"/>
    <cellStyle name="40% - Énfasis3 2 3 2 3" xfId="1663" xr:uid="{00000000-0005-0000-0000-00009E040000}"/>
    <cellStyle name="40% - Énfasis3 2 3 3" xfId="843" xr:uid="{00000000-0005-0000-0000-00009F040000}"/>
    <cellStyle name="40% - Énfasis3 2 3 3 2" xfId="1934" xr:uid="{00000000-0005-0000-0000-0000A0040000}"/>
    <cellStyle name="40% - Énfasis3 2 3 4" xfId="1392" xr:uid="{00000000-0005-0000-0000-0000A1040000}"/>
    <cellStyle name="40% - Énfasis3 2 4" xfId="307" xr:uid="{00000000-0005-0000-0000-0000A2040000}"/>
    <cellStyle name="40% - Énfasis3 2 4 2" xfId="653" xr:uid="{00000000-0005-0000-0000-0000A3040000}"/>
    <cellStyle name="40% - Énfasis3 2 4 2 2" xfId="1195" xr:uid="{00000000-0005-0000-0000-0000A4040000}"/>
    <cellStyle name="40% - Énfasis3 2 4 2 2 2" xfId="2286" xr:uid="{00000000-0005-0000-0000-0000A5040000}"/>
    <cellStyle name="40% - Énfasis3 2 4 2 3" xfId="1744" xr:uid="{00000000-0005-0000-0000-0000A6040000}"/>
    <cellStyle name="40% - Énfasis3 2 4 3" xfId="924" xr:uid="{00000000-0005-0000-0000-0000A7040000}"/>
    <cellStyle name="40% - Énfasis3 2 4 3 2" xfId="2015" xr:uid="{00000000-0005-0000-0000-0000A8040000}"/>
    <cellStyle name="40% - Énfasis3 2 4 4" xfId="1473" xr:uid="{00000000-0005-0000-0000-0000A9040000}"/>
    <cellStyle name="40% - Énfasis3 2 5" xfId="443" xr:uid="{00000000-0005-0000-0000-0000AA040000}"/>
    <cellStyle name="40% - Énfasis3 2 5 2" xfId="986" xr:uid="{00000000-0005-0000-0000-0000AB040000}"/>
    <cellStyle name="40% - Énfasis3 2 5 2 2" xfId="2077" xr:uid="{00000000-0005-0000-0000-0000AC040000}"/>
    <cellStyle name="40% - Énfasis3 2 5 3" xfId="1535" xr:uid="{00000000-0005-0000-0000-0000AD040000}"/>
    <cellStyle name="40% - Énfasis3 2 6" xfId="715" xr:uid="{00000000-0005-0000-0000-0000AE040000}"/>
    <cellStyle name="40% - Énfasis3 2 6 2" xfId="1806" xr:uid="{00000000-0005-0000-0000-0000AF040000}"/>
    <cellStyle name="40% - Énfasis3 2 7" xfId="1264" xr:uid="{00000000-0005-0000-0000-0000B0040000}"/>
    <cellStyle name="40% - Énfasis3 2 8" xfId="2354" xr:uid="{00000000-0005-0000-0000-0000B1040000}"/>
    <cellStyle name="40% - Énfasis3 2 9" xfId="2417" xr:uid="{00000000-0005-0000-0000-0000B2040000}"/>
    <cellStyle name="40% - Énfasis3 2_Cuadro Talleres" xfId="308" xr:uid="{00000000-0005-0000-0000-0000B3040000}"/>
    <cellStyle name="40% - Énfasis3 3" xfId="70" xr:uid="{00000000-0005-0000-0000-0000B4040000}"/>
    <cellStyle name="40% - Énfasis3 3 2" xfId="149" xr:uid="{00000000-0005-0000-0000-0000B5040000}"/>
    <cellStyle name="40% - Énfasis3 3 2 2" xfId="525" xr:uid="{00000000-0005-0000-0000-0000B6040000}"/>
    <cellStyle name="40% - Énfasis3 3 2 2 2" xfId="1067" xr:uid="{00000000-0005-0000-0000-0000B7040000}"/>
    <cellStyle name="40% - Énfasis3 3 2 2 2 2" xfId="2158" xr:uid="{00000000-0005-0000-0000-0000B8040000}"/>
    <cellStyle name="40% - Énfasis3 3 2 2 3" xfId="1616" xr:uid="{00000000-0005-0000-0000-0000B9040000}"/>
    <cellStyle name="40% - Énfasis3 3 2 3" xfId="796" xr:uid="{00000000-0005-0000-0000-0000BA040000}"/>
    <cellStyle name="40% - Énfasis3 3 2 3 2" xfId="1887" xr:uid="{00000000-0005-0000-0000-0000BB040000}"/>
    <cellStyle name="40% - Énfasis3 3 2 4" xfId="1345" xr:uid="{00000000-0005-0000-0000-0000BC040000}"/>
    <cellStyle name="40% - Énfasis3 3 3" xfId="213" xr:uid="{00000000-0005-0000-0000-0000BD040000}"/>
    <cellStyle name="40% - Énfasis3 3 3 2" xfId="588" xr:uid="{00000000-0005-0000-0000-0000BE040000}"/>
    <cellStyle name="40% - Énfasis3 3 3 2 2" xfId="1130" xr:uid="{00000000-0005-0000-0000-0000BF040000}"/>
    <cellStyle name="40% - Énfasis3 3 3 2 2 2" xfId="2221" xr:uid="{00000000-0005-0000-0000-0000C0040000}"/>
    <cellStyle name="40% - Énfasis3 3 3 2 3" xfId="1679" xr:uid="{00000000-0005-0000-0000-0000C1040000}"/>
    <cellStyle name="40% - Énfasis3 3 3 3" xfId="859" xr:uid="{00000000-0005-0000-0000-0000C2040000}"/>
    <cellStyle name="40% - Énfasis3 3 3 3 2" xfId="1950" xr:uid="{00000000-0005-0000-0000-0000C3040000}"/>
    <cellStyle name="40% - Énfasis3 3 3 4" xfId="1408" xr:uid="{00000000-0005-0000-0000-0000C4040000}"/>
    <cellStyle name="40% - Énfasis3 3 4" xfId="309" xr:uid="{00000000-0005-0000-0000-0000C5040000}"/>
    <cellStyle name="40% - Énfasis3 3 4 2" xfId="654" xr:uid="{00000000-0005-0000-0000-0000C6040000}"/>
    <cellStyle name="40% - Énfasis3 3 4 2 2" xfId="1196" xr:uid="{00000000-0005-0000-0000-0000C7040000}"/>
    <cellStyle name="40% - Énfasis3 3 4 2 2 2" xfId="2287" xr:uid="{00000000-0005-0000-0000-0000C8040000}"/>
    <cellStyle name="40% - Énfasis3 3 4 2 3" xfId="1745" xr:uid="{00000000-0005-0000-0000-0000C9040000}"/>
    <cellStyle name="40% - Énfasis3 3 4 3" xfId="925" xr:uid="{00000000-0005-0000-0000-0000CA040000}"/>
    <cellStyle name="40% - Énfasis3 3 4 3 2" xfId="2016" xr:uid="{00000000-0005-0000-0000-0000CB040000}"/>
    <cellStyle name="40% - Énfasis3 3 4 4" xfId="1474" xr:uid="{00000000-0005-0000-0000-0000CC040000}"/>
    <cellStyle name="40% - Énfasis3 3 5" xfId="459" xr:uid="{00000000-0005-0000-0000-0000CD040000}"/>
    <cellStyle name="40% - Énfasis3 3 5 2" xfId="1002" xr:uid="{00000000-0005-0000-0000-0000CE040000}"/>
    <cellStyle name="40% - Énfasis3 3 5 2 2" xfId="2093" xr:uid="{00000000-0005-0000-0000-0000CF040000}"/>
    <cellStyle name="40% - Énfasis3 3 5 3" xfId="1551" xr:uid="{00000000-0005-0000-0000-0000D0040000}"/>
    <cellStyle name="40% - Énfasis3 3 6" xfId="731" xr:uid="{00000000-0005-0000-0000-0000D1040000}"/>
    <cellStyle name="40% - Énfasis3 3 6 2" xfId="1822" xr:uid="{00000000-0005-0000-0000-0000D2040000}"/>
    <cellStyle name="40% - Énfasis3 3 7" xfId="1280" xr:uid="{00000000-0005-0000-0000-0000D3040000}"/>
    <cellStyle name="40% - Énfasis3 3 8" xfId="2355" xr:uid="{00000000-0005-0000-0000-0000D4040000}"/>
    <cellStyle name="40% - Énfasis3 3 9" xfId="2418" xr:uid="{00000000-0005-0000-0000-0000D5040000}"/>
    <cellStyle name="40% - Énfasis3 3_Cuadro Talleres" xfId="310" xr:uid="{00000000-0005-0000-0000-0000D6040000}"/>
    <cellStyle name="40% - Énfasis3 4" xfId="86" xr:uid="{00000000-0005-0000-0000-0000D7040000}"/>
    <cellStyle name="40% - Énfasis3 4 2" xfId="164" xr:uid="{00000000-0005-0000-0000-0000D8040000}"/>
    <cellStyle name="40% - Énfasis3 4 2 2" xfId="540" xr:uid="{00000000-0005-0000-0000-0000D9040000}"/>
    <cellStyle name="40% - Énfasis3 4 2 2 2" xfId="1082" xr:uid="{00000000-0005-0000-0000-0000DA040000}"/>
    <cellStyle name="40% - Énfasis3 4 2 2 2 2" xfId="2173" xr:uid="{00000000-0005-0000-0000-0000DB040000}"/>
    <cellStyle name="40% - Énfasis3 4 2 2 3" xfId="1631" xr:uid="{00000000-0005-0000-0000-0000DC040000}"/>
    <cellStyle name="40% - Énfasis3 4 2 3" xfId="811" xr:uid="{00000000-0005-0000-0000-0000DD040000}"/>
    <cellStyle name="40% - Énfasis3 4 2 3 2" xfId="1902" xr:uid="{00000000-0005-0000-0000-0000DE040000}"/>
    <cellStyle name="40% - Énfasis3 4 2 4" xfId="1360" xr:uid="{00000000-0005-0000-0000-0000DF040000}"/>
    <cellStyle name="40% - Énfasis3 4 3" xfId="229" xr:uid="{00000000-0005-0000-0000-0000E0040000}"/>
    <cellStyle name="40% - Énfasis3 4 3 2" xfId="604" xr:uid="{00000000-0005-0000-0000-0000E1040000}"/>
    <cellStyle name="40% - Énfasis3 4 3 2 2" xfId="1146" xr:uid="{00000000-0005-0000-0000-0000E2040000}"/>
    <cellStyle name="40% - Énfasis3 4 3 2 2 2" xfId="2237" xr:uid="{00000000-0005-0000-0000-0000E3040000}"/>
    <cellStyle name="40% - Énfasis3 4 3 2 3" xfId="1695" xr:uid="{00000000-0005-0000-0000-0000E4040000}"/>
    <cellStyle name="40% - Énfasis3 4 3 3" xfId="875" xr:uid="{00000000-0005-0000-0000-0000E5040000}"/>
    <cellStyle name="40% - Énfasis3 4 3 3 2" xfId="1966" xr:uid="{00000000-0005-0000-0000-0000E6040000}"/>
    <cellStyle name="40% - Énfasis3 4 3 4" xfId="1424" xr:uid="{00000000-0005-0000-0000-0000E7040000}"/>
    <cellStyle name="40% - Énfasis3 4 4" xfId="311" xr:uid="{00000000-0005-0000-0000-0000E8040000}"/>
    <cellStyle name="40% - Énfasis3 4 4 2" xfId="655" xr:uid="{00000000-0005-0000-0000-0000E9040000}"/>
    <cellStyle name="40% - Énfasis3 4 4 2 2" xfId="1197" xr:uid="{00000000-0005-0000-0000-0000EA040000}"/>
    <cellStyle name="40% - Énfasis3 4 4 2 2 2" xfId="2288" xr:uid="{00000000-0005-0000-0000-0000EB040000}"/>
    <cellStyle name="40% - Énfasis3 4 4 2 3" xfId="1746" xr:uid="{00000000-0005-0000-0000-0000EC040000}"/>
    <cellStyle name="40% - Énfasis3 4 4 3" xfId="926" xr:uid="{00000000-0005-0000-0000-0000ED040000}"/>
    <cellStyle name="40% - Énfasis3 4 4 3 2" xfId="2017" xr:uid="{00000000-0005-0000-0000-0000EE040000}"/>
    <cellStyle name="40% - Énfasis3 4 4 4" xfId="1475" xr:uid="{00000000-0005-0000-0000-0000EF040000}"/>
    <cellStyle name="40% - Énfasis3 4 5" xfId="475" xr:uid="{00000000-0005-0000-0000-0000F0040000}"/>
    <cellStyle name="40% - Énfasis3 4 5 2" xfId="1018" xr:uid="{00000000-0005-0000-0000-0000F1040000}"/>
    <cellStyle name="40% - Énfasis3 4 5 2 2" xfId="2109" xr:uid="{00000000-0005-0000-0000-0000F2040000}"/>
    <cellStyle name="40% - Énfasis3 4 5 3" xfId="1567" xr:uid="{00000000-0005-0000-0000-0000F3040000}"/>
    <cellStyle name="40% - Énfasis3 4 6" xfId="747" xr:uid="{00000000-0005-0000-0000-0000F4040000}"/>
    <cellStyle name="40% - Énfasis3 4 6 2" xfId="1838" xr:uid="{00000000-0005-0000-0000-0000F5040000}"/>
    <cellStyle name="40% - Énfasis3 4 7" xfId="1296" xr:uid="{00000000-0005-0000-0000-0000F6040000}"/>
    <cellStyle name="40% - Énfasis3 4_Cuadro Talleres" xfId="312" xr:uid="{00000000-0005-0000-0000-0000F7040000}"/>
    <cellStyle name="40% - Énfasis3 5" xfId="116" xr:uid="{00000000-0005-0000-0000-0000F8040000}"/>
    <cellStyle name="40% - Énfasis3 5 2" xfId="493" xr:uid="{00000000-0005-0000-0000-0000F9040000}"/>
    <cellStyle name="40% - Énfasis3 5 2 2" xfId="1036" xr:uid="{00000000-0005-0000-0000-0000FA040000}"/>
    <cellStyle name="40% - Énfasis3 5 2 2 2" xfId="2127" xr:uid="{00000000-0005-0000-0000-0000FB040000}"/>
    <cellStyle name="40% - Énfasis3 5 2 3" xfId="1585" xr:uid="{00000000-0005-0000-0000-0000FC040000}"/>
    <cellStyle name="40% - Énfasis3 5 3" xfId="765" xr:uid="{00000000-0005-0000-0000-0000FD040000}"/>
    <cellStyle name="40% - Énfasis3 5 3 2" xfId="1856" xr:uid="{00000000-0005-0000-0000-0000FE040000}"/>
    <cellStyle name="40% - Énfasis3 5 4" xfId="1314" xr:uid="{00000000-0005-0000-0000-0000FF040000}"/>
    <cellStyle name="40% - Énfasis3 6" xfId="180" xr:uid="{00000000-0005-0000-0000-000000050000}"/>
    <cellStyle name="40% - Énfasis3 6 2" xfId="556" xr:uid="{00000000-0005-0000-0000-000001050000}"/>
    <cellStyle name="40% - Énfasis3 6 2 2" xfId="1098" xr:uid="{00000000-0005-0000-0000-000002050000}"/>
    <cellStyle name="40% - Énfasis3 6 2 2 2" xfId="2189" xr:uid="{00000000-0005-0000-0000-000003050000}"/>
    <cellStyle name="40% - Énfasis3 6 2 3" xfId="1647" xr:uid="{00000000-0005-0000-0000-000004050000}"/>
    <cellStyle name="40% - Énfasis3 6 3" xfId="827" xr:uid="{00000000-0005-0000-0000-000005050000}"/>
    <cellStyle name="40% - Énfasis3 6 3 2" xfId="1918" xr:uid="{00000000-0005-0000-0000-000006050000}"/>
    <cellStyle name="40% - Énfasis3 6 4" xfId="1376" xr:uid="{00000000-0005-0000-0000-000007050000}"/>
    <cellStyle name="40% - Énfasis3 7" xfId="313" xr:uid="{00000000-0005-0000-0000-000008050000}"/>
    <cellStyle name="40% - Énfasis3 7 2" xfId="656" xr:uid="{00000000-0005-0000-0000-000009050000}"/>
    <cellStyle name="40% - Énfasis3 7 2 2" xfId="1198" xr:uid="{00000000-0005-0000-0000-00000A050000}"/>
    <cellStyle name="40% - Énfasis3 7 2 2 2" xfId="2289" xr:uid="{00000000-0005-0000-0000-00000B050000}"/>
    <cellStyle name="40% - Énfasis3 7 2 3" xfId="1747" xr:uid="{00000000-0005-0000-0000-00000C050000}"/>
    <cellStyle name="40% - Énfasis3 7 3" xfId="927" xr:uid="{00000000-0005-0000-0000-00000D050000}"/>
    <cellStyle name="40% - Énfasis3 7 3 2" xfId="2018" xr:uid="{00000000-0005-0000-0000-00000E050000}"/>
    <cellStyle name="40% - Énfasis3 7 4" xfId="1476" xr:uid="{00000000-0005-0000-0000-00000F050000}"/>
    <cellStyle name="40% - Énfasis3 8" xfId="314" xr:uid="{00000000-0005-0000-0000-000010050000}"/>
    <cellStyle name="40% - Énfasis3 8 2" xfId="657" xr:uid="{00000000-0005-0000-0000-000011050000}"/>
    <cellStyle name="40% - Énfasis3 8 2 2" xfId="1199" xr:uid="{00000000-0005-0000-0000-000012050000}"/>
    <cellStyle name="40% - Énfasis3 8 2 2 2" xfId="2290" xr:uid="{00000000-0005-0000-0000-000013050000}"/>
    <cellStyle name="40% - Énfasis3 8 2 3" xfId="1748" xr:uid="{00000000-0005-0000-0000-000014050000}"/>
    <cellStyle name="40% - Énfasis3 8 3" xfId="928" xr:uid="{00000000-0005-0000-0000-000015050000}"/>
    <cellStyle name="40% - Énfasis3 8 3 2" xfId="2019" xr:uid="{00000000-0005-0000-0000-000016050000}"/>
    <cellStyle name="40% - Énfasis3 8 4" xfId="1477" xr:uid="{00000000-0005-0000-0000-000017050000}"/>
    <cellStyle name="40% - Énfasis3 9" xfId="427" xr:uid="{00000000-0005-0000-0000-000018050000}"/>
    <cellStyle name="40% - Énfasis3 9 2" xfId="970" xr:uid="{00000000-0005-0000-0000-000019050000}"/>
    <cellStyle name="40% - Énfasis3 9 2 2" xfId="2061" xr:uid="{00000000-0005-0000-0000-00001A050000}"/>
    <cellStyle name="40% - Énfasis3 9 3" xfId="1519" xr:uid="{00000000-0005-0000-0000-00001B050000}"/>
    <cellStyle name="40% - Énfasis4" xfId="32" builtinId="43" customBuiltin="1"/>
    <cellStyle name="40% - Énfasis4 10" xfId="701" xr:uid="{00000000-0005-0000-0000-00001D050000}"/>
    <cellStyle name="40% - Énfasis4 10 2" xfId="1792" xr:uid="{00000000-0005-0000-0000-00001E050000}"/>
    <cellStyle name="40% - Énfasis4 11" xfId="1250" xr:uid="{00000000-0005-0000-0000-00001F050000}"/>
    <cellStyle name="40% - Énfasis4 12" xfId="2356" xr:uid="{00000000-0005-0000-0000-000020050000}"/>
    <cellStyle name="40% - Énfasis4 13" xfId="2419" xr:uid="{00000000-0005-0000-0000-000021050000}"/>
    <cellStyle name="40% - Énfasis4 2" xfId="56" xr:uid="{00000000-0005-0000-0000-000022050000}"/>
    <cellStyle name="40% - Énfasis4 2 2" xfId="134" xr:uid="{00000000-0005-0000-0000-000023050000}"/>
    <cellStyle name="40% - Énfasis4 2 2 2" xfId="511" xr:uid="{00000000-0005-0000-0000-000024050000}"/>
    <cellStyle name="40% - Énfasis4 2 2 2 2" xfId="1053" xr:uid="{00000000-0005-0000-0000-000025050000}"/>
    <cellStyle name="40% - Énfasis4 2 2 2 2 2" xfId="2144" xr:uid="{00000000-0005-0000-0000-000026050000}"/>
    <cellStyle name="40% - Énfasis4 2 2 2 3" xfId="1602" xr:uid="{00000000-0005-0000-0000-000027050000}"/>
    <cellStyle name="40% - Énfasis4 2 2 3" xfId="782" xr:uid="{00000000-0005-0000-0000-000028050000}"/>
    <cellStyle name="40% - Énfasis4 2 2 3 2" xfId="1873" xr:uid="{00000000-0005-0000-0000-000029050000}"/>
    <cellStyle name="40% - Énfasis4 2 2 4" xfId="1331" xr:uid="{00000000-0005-0000-0000-00002A050000}"/>
    <cellStyle name="40% - Énfasis4 2 3" xfId="199" xr:uid="{00000000-0005-0000-0000-00002B050000}"/>
    <cellStyle name="40% - Énfasis4 2 3 2" xfId="574" xr:uid="{00000000-0005-0000-0000-00002C050000}"/>
    <cellStyle name="40% - Énfasis4 2 3 2 2" xfId="1116" xr:uid="{00000000-0005-0000-0000-00002D050000}"/>
    <cellStyle name="40% - Énfasis4 2 3 2 2 2" xfId="2207" xr:uid="{00000000-0005-0000-0000-00002E050000}"/>
    <cellStyle name="40% - Énfasis4 2 3 2 3" xfId="1665" xr:uid="{00000000-0005-0000-0000-00002F050000}"/>
    <cellStyle name="40% - Énfasis4 2 3 3" xfId="845" xr:uid="{00000000-0005-0000-0000-000030050000}"/>
    <cellStyle name="40% - Énfasis4 2 3 3 2" xfId="1936" xr:uid="{00000000-0005-0000-0000-000031050000}"/>
    <cellStyle name="40% - Énfasis4 2 3 4" xfId="1394" xr:uid="{00000000-0005-0000-0000-000032050000}"/>
    <cellStyle name="40% - Énfasis4 2 4" xfId="315" xr:uid="{00000000-0005-0000-0000-000033050000}"/>
    <cellStyle name="40% - Énfasis4 2 4 2" xfId="658" xr:uid="{00000000-0005-0000-0000-000034050000}"/>
    <cellStyle name="40% - Énfasis4 2 4 2 2" xfId="1200" xr:uid="{00000000-0005-0000-0000-000035050000}"/>
    <cellStyle name="40% - Énfasis4 2 4 2 2 2" xfId="2291" xr:uid="{00000000-0005-0000-0000-000036050000}"/>
    <cellStyle name="40% - Énfasis4 2 4 2 3" xfId="1749" xr:uid="{00000000-0005-0000-0000-000037050000}"/>
    <cellStyle name="40% - Énfasis4 2 4 3" xfId="929" xr:uid="{00000000-0005-0000-0000-000038050000}"/>
    <cellStyle name="40% - Énfasis4 2 4 3 2" xfId="2020" xr:uid="{00000000-0005-0000-0000-000039050000}"/>
    <cellStyle name="40% - Énfasis4 2 4 4" xfId="1478" xr:uid="{00000000-0005-0000-0000-00003A050000}"/>
    <cellStyle name="40% - Énfasis4 2 5" xfId="445" xr:uid="{00000000-0005-0000-0000-00003B050000}"/>
    <cellStyle name="40% - Énfasis4 2 5 2" xfId="988" xr:uid="{00000000-0005-0000-0000-00003C050000}"/>
    <cellStyle name="40% - Énfasis4 2 5 2 2" xfId="2079" xr:uid="{00000000-0005-0000-0000-00003D050000}"/>
    <cellStyle name="40% - Énfasis4 2 5 3" xfId="1537" xr:uid="{00000000-0005-0000-0000-00003E050000}"/>
    <cellStyle name="40% - Énfasis4 2 6" xfId="717" xr:uid="{00000000-0005-0000-0000-00003F050000}"/>
    <cellStyle name="40% - Énfasis4 2 6 2" xfId="1808" xr:uid="{00000000-0005-0000-0000-000040050000}"/>
    <cellStyle name="40% - Énfasis4 2 7" xfId="1266" xr:uid="{00000000-0005-0000-0000-000041050000}"/>
    <cellStyle name="40% - Énfasis4 2 8" xfId="2357" xr:uid="{00000000-0005-0000-0000-000042050000}"/>
    <cellStyle name="40% - Énfasis4 2 9" xfId="2420" xr:uid="{00000000-0005-0000-0000-000043050000}"/>
    <cellStyle name="40% - Énfasis4 2_Cuadro Talleres" xfId="316" xr:uid="{00000000-0005-0000-0000-000044050000}"/>
    <cellStyle name="40% - Énfasis4 3" xfId="72" xr:uid="{00000000-0005-0000-0000-000045050000}"/>
    <cellStyle name="40% - Énfasis4 3 2" xfId="151" xr:uid="{00000000-0005-0000-0000-000046050000}"/>
    <cellStyle name="40% - Énfasis4 3 2 2" xfId="527" xr:uid="{00000000-0005-0000-0000-000047050000}"/>
    <cellStyle name="40% - Énfasis4 3 2 2 2" xfId="1069" xr:uid="{00000000-0005-0000-0000-000048050000}"/>
    <cellStyle name="40% - Énfasis4 3 2 2 2 2" xfId="2160" xr:uid="{00000000-0005-0000-0000-000049050000}"/>
    <cellStyle name="40% - Énfasis4 3 2 2 3" xfId="1618" xr:uid="{00000000-0005-0000-0000-00004A050000}"/>
    <cellStyle name="40% - Énfasis4 3 2 3" xfId="798" xr:uid="{00000000-0005-0000-0000-00004B050000}"/>
    <cellStyle name="40% - Énfasis4 3 2 3 2" xfId="1889" xr:uid="{00000000-0005-0000-0000-00004C050000}"/>
    <cellStyle name="40% - Énfasis4 3 2 4" xfId="1347" xr:uid="{00000000-0005-0000-0000-00004D050000}"/>
    <cellStyle name="40% - Énfasis4 3 3" xfId="215" xr:uid="{00000000-0005-0000-0000-00004E050000}"/>
    <cellStyle name="40% - Énfasis4 3 3 2" xfId="590" xr:uid="{00000000-0005-0000-0000-00004F050000}"/>
    <cellStyle name="40% - Énfasis4 3 3 2 2" xfId="1132" xr:uid="{00000000-0005-0000-0000-000050050000}"/>
    <cellStyle name="40% - Énfasis4 3 3 2 2 2" xfId="2223" xr:uid="{00000000-0005-0000-0000-000051050000}"/>
    <cellStyle name="40% - Énfasis4 3 3 2 3" xfId="1681" xr:uid="{00000000-0005-0000-0000-000052050000}"/>
    <cellStyle name="40% - Énfasis4 3 3 3" xfId="861" xr:uid="{00000000-0005-0000-0000-000053050000}"/>
    <cellStyle name="40% - Énfasis4 3 3 3 2" xfId="1952" xr:uid="{00000000-0005-0000-0000-000054050000}"/>
    <cellStyle name="40% - Énfasis4 3 3 4" xfId="1410" xr:uid="{00000000-0005-0000-0000-000055050000}"/>
    <cellStyle name="40% - Énfasis4 3 4" xfId="317" xr:uid="{00000000-0005-0000-0000-000056050000}"/>
    <cellStyle name="40% - Énfasis4 3 4 2" xfId="659" xr:uid="{00000000-0005-0000-0000-000057050000}"/>
    <cellStyle name="40% - Énfasis4 3 4 2 2" xfId="1201" xr:uid="{00000000-0005-0000-0000-000058050000}"/>
    <cellStyle name="40% - Énfasis4 3 4 2 2 2" xfId="2292" xr:uid="{00000000-0005-0000-0000-000059050000}"/>
    <cellStyle name="40% - Énfasis4 3 4 2 3" xfId="1750" xr:uid="{00000000-0005-0000-0000-00005A050000}"/>
    <cellStyle name="40% - Énfasis4 3 4 3" xfId="930" xr:uid="{00000000-0005-0000-0000-00005B050000}"/>
    <cellStyle name="40% - Énfasis4 3 4 3 2" xfId="2021" xr:uid="{00000000-0005-0000-0000-00005C050000}"/>
    <cellStyle name="40% - Énfasis4 3 4 4" xfId="1479" xr:uid="{00000000-0005-0000-0000-00005D050000}"/>
    <cellStyle name="40% - Énfasis4 3 5" xfId="461" xr:uid="{00000000-0005-0000-0000-00005E050000}"/>
    <cellStyle name="40% - Énfasis4 3 5 2" xfId="1004" xr:uid="{00000000-0005-0000-0000-00005F050000}"/>
    <cellStyle name="40% - Énfasis4 3 5 2 2" xfId="2095" xr:uid="{00000000-0005-0000-0000-000060050000}"/>
    <cellStyle name="40% - Énfasis4 3 5 3" xfId="1553" xr:uid="{00000000-0005-0000-0000-000061050000}"/>
    <cellStyle name="40% - Énfasis4 3 6" xfId="733" xr:uid="{00000000-0005-0000-0000-000062050000}"/>
    <cellStyle name="40% - Énfasis4 3 6 2" xfId="1824" xr:uid="{00000000-0005-0000-0000-000063050000}"/>
    <cellStyle name="40% - Énfasis4 3 7" xfId="1282" xr:uid="{00000000-0005-0000-0000-000064050000}"/>
    <cellStyle name="40% - Énfasis4 3 8" xfId="2358" xr:uid="{00000000-0005-0000-0000-000065050000}"/>
    <cellStyle name="40% - Énfasis4 3 9" xfId="2421" xr:uid="{00000000-0005-0000-0000-000066050000}"/>
    <cellStyle name="40% - Énfasis4 3_Cuadro Talleres" xfId="318" xr:uid="{00000000-0005-0000-0000-000067050000}"/>
    <cellStyle name="40% - Énfasis4 4" xfId="88" xr:uid="{00000000-0005-0000-0000-000068050000}"/>
    <cellStyle name="40% - Énfasis4 4 2" xfId="166" xr:uid="{00000000-0005-0000-0000-000069050000}"/>
    <cellStyle name="40% - Énfasis4 4 2 2" xfId="542" xr:uid="{00000000-0005-0000-0000-00006A050000}"/>
    <cellStyle name="40% - Énfasis4 4 2 2 2" xfId="1084" xr:uid="{00000000-0005-0000-0000-00006B050000}"/>
    <cellStyle name="40% - Énfasis4 4 2 2 2 2" xfId="2175" xr:uid="{00000000-0005-0000-0000-00006C050000}"/>
    <cellStyle name="40% - Énfasis4 4 2 2 3" xfId="1633" xr:uid="{00000000-0005-0000-0000-00006D050000}"/>
    <cellStyle name="40% - Énfasis4 4 2 3" xfId="813" xr:uid="{00000000-0005-0000-0000-00006E050000}"/>
    <cellStyle name="40% - Énfasis4 4 2 3 2" xfId="1904" xr:uid="{00000000-0005-0000-0000-00006F050000}"/>
    <cellStyle name="40% - Énfasis4 4 2 4" xfId="1362" xr:uid="{00000000-0005-0000-0000-000070050000}"/>
    <cellStyle name="40% - Énfasis4 4 3" xfId="231" xr:uid="{00000000-0005-0000-0000-000071050000}"/>
    <cellStyle name="40% - Énfasis4 4 3 2" xfId="606" xr:uid="{00000000-0005-0000-0000-000072050000}"/>
    <cellStyle name="40% - Énfasis4 4 3 2 2" xfId="1148" xr:uid="{00000000-0005-0000-0000-000073050000}"/>
    <cellStyle name="40% - Énfasis4 4 3 2 2 2" xfId="2239" xr:uid="{00000000-0005-0000-0000-000074050000}"/>
    <cellStyle name="40% - Énfasis4 4 3 2 3" xfId="1697" xr:uid="{00000000-0005-0000-0000-000075050000}"/>
    <cellStyle name="40% - Énfasis4 4 3 3" xfId="877" xr:uid="{00000000-0005-0000-0000-000076050000}"/>
    <cellStyle name="40% - Énfasis4 4 3 3 2" xfId="1968" xr:uid="{00000000-0005-0000-0000-000077050000}"/>
    <cellStyle name="40% - Énfasis4 4 3 4" xfId="1426" xr:uid="{00000000-0005-0000-0000-000078050000}"/>
    <cellStyle name="40% - Énfasis4 4 4" xfId="319" xr:uid="{00000000-0005-0000-0000-000079050000}"/>
    <cellStyle name="40% - Énfasis4 4 4 2" xfId="660" xr:uid="{00000000-0005-0000-0000-00007A050000}"/>
    <cellStyle name="40% - Énfasis4 4 4 2 2" xfId="1202" xr:uid="{00000000-0005-0000-0000-00007B050000}"/>
    <cellStyle name="40% - Énfasis4 4 4 2 2 2" xfId="2293" xr:uid="{00000000-0005-0000-0000-00007C050000}"/>
    <cellStyle name="40% - Énfasis4 4 4 2 3" xfId="1751" xr:uid="{00000000-0005-0000-0000-00007D050000}"/>
    <cellStyle name="40% - Énfasis4 4 4 3" xfId="931" xr:uid="{00000000-0005-0000-0000-00007E050000}"/>
    <cellStyle name="40% - Énfasis4 4 4 3 2" xfId="2022" xr:uid="{00000000-0005-0000-0000-00007F050000}"/>
    <cellStyle name="40% - Énfasis4 4 4 4" xfId="1480" xr:uid="{00000000-0005-0000-0000-000080050000}"/>
    <cellStyle name="40% - Énfasis4 4 5" xfId="477" xr:uid="{00000000-0005-0000-0000-000081050000}"/>
    <cellStyle name="40% - Énfasis4 4 5 2" xfId="1020" xr:uid="{00000000-0005-0000-0000-000082050000}"/>
    <cellStyle name="40% - Énfasis4 4 5 2 2" xfId="2111" xr:uid="{00000000-0005-0000-0000-000083050000}"/>
    <cellStyle name="40% - Énfasis4 4 5 3" xfId="1569" xr:uid="{00000000-0005-0000-0000-000084050000}"/>
    <cellStyle name="40% - Énfasis4 4 6" xfId="749" xr:uid="{00000000-0005-0000-0000-000085050000}"/>
    <cellStyle name="40% - Énfasis4 4 6 2" xfId="1840" xr:uid="{00000000-0005-0000-0000-000086050000}"/>
    <cellStyle name="40% - Énfasis4 4 7" xfId="1298" xr:uid="{00000000-0005-0000-0000-000087050000}"/>
    <cellStyle name="40% - Énfasis4 4_Cuadro Talleres" xfId="320" xr:uid="{00000000-0005-0000-0000-000088050000}"/>
    <cellStyle name="40% - Énfasis4 5" xfId="118" xr:uid="{00000000-0005-0000-0000-000089050000}"/>
    <cellStyle name="40% - Énfasis4 5 2" xfId="495" xr:uid="{00000000-0005-0000-0000-00008A050000}"/>
    <cellStyle name="40% - Énfasis4 5 2 2" xfId="1038" xr:uid="{00000000-0005-0000-0000-00008B050000}"/>
    <cellStyle name="40% - Énfasis4 5 2 2 2" xfId="2129" xr:uid="{00000000-0005-0000-0000-00008C050000}"/>
    <cellStyle name="40% - Énfasis4 5 2 3" xfId="1587" xr:uid="{00000000-0005-0000-0000-00008D050000}"/>
    <cellStyle name="40% - Énfasis4 5 3" xfId="767" xr:uid="{00000000-0005-0000-0000-00008E050000}"/>
    <cellStyle name="40% - Énfasis4 5 3 2" xfId="1858" xr:uid="{00000000-0005-0000-0000-00008F050000}"/>
    <cellStyle name="40% - Énfasis4 5 4" xfId="1316" xr:uid="{00000000-0005-0000-0000-000090050000}"/>
    <cellStyle name="40% - Énfasis4 6" xfId="182" xr:uid="{00000000-0005-0000-0000-000091050000}"/>
    <cellStyle name="40% - Énfasis4 6 2" xfId="558" xr:uid="{00000000-0005-0000-0000-000092050000}"/>
    <cellStyle name="40% - Énfasis4 6 2 2" xfId="1100" xr:uid="{00000000-0005-0000-0000-000093050000}"/>
    <cellStyle name="40% - Énfasis4 6 2 2 2" xfId="2191" xr:uid="{00000000-0005-0000-0000-000094050000}"/>
    <cellStyle name="40% - Énfasis4 6 2 3" xfId="1649" xr:uid="{00000000-0005-0000-0000-000095050000}"/>
    <cellStyle name="40% - Énfasis4 6 3" xfId="829" xr:uid="{00000000-0005-0000-0000-000096050000}"/>
    <cellStyle name="40% - Énfasis4 6 3 2" xfId="1920" xr:uid="{00000000-0005-0000-0000-000097050000}"/>
    <cellStyle name="40% - Énfasis4 6 4" xfId="1378" xr:uid="{00000000-0005-0000-0000-000098050000}"/>
    <cellStyle name="40% - Énfasis4 7" xfId="321" xr:uid="{00000000-0005-0000-0000-000099050000}"/>
    <cellStyle name="40% - Énfasis4 7 2" xfId="661" xr:uid="{00000000-0005-0000-0000-00009A050000}"/>
    <cellStyle name="40% - Énfasis4 7 2 2" xfId="1203" xr:uid="{00000000-0005-0000-0000-00009B050000}"/>
    <cellStyle name="40% - Énfasis4 7 2 2 2" xfId="2294" xr:uid="{00000000-0005-0000-0000-00009C050000}"/>
    <cellStyle name="40% - Énfasis4 7 2 3" xfId="1752" xr:uid="{00000000-0005-0000-0000-00009D050000}"/>
    <cellStyle name="40% - Énfasis4 7 3" xfId="932" xr:uid="{00000000-0005-0000-0000-00009E050000}"/>
    <cellStyle name="40% - Énfasis4 7 3 2" xfId="2023" xr:uid="{00000000-0005-0000-0000-00009F050000}"/>
    <cellStyle name="40% - Énfasis4 7 4" xfId="1481" xr:uid="{00000000-0005-0000-0000-0000A0050000}"/>
    <cellStyle name="40% - Énfasis4 8" xfId="322" xr:uid="{00000000-0005-0000-0000-0000A1050000}"/>
    <cellStyle name="40% - Énfasis4 8 2" xfId="662" xr:uid="{00000000-0005-0000-0000-0000A2050000}"/>
    <cellStyle name="40% - Énfasis4 8 2 2" xfId="1204" xr:uid="{00000000-0005-0000-0000-0000A3050000}"/>
    <cellStyle name="40% - Énfasis4 8 2 2 2" xfId="2295" xr:uid="{00000000-0005-0000-0000-0000A4050000}"/>
    <cellStyle name="40% - Énfasis4 8 2 3" xfId="1753" xr:uid="{00000000-0005-0000-0000-0000A5050000}"/>
    <cellStyle name="40% - Énfasis4 8 3" xfId="933" xr:uid="{00000000-0005-0000-0000-0000A6050000}"/>
    <cellStyle name="40% - Énfasis4 8 3 2" xfId="2024" xr:uid="{00000000-0005-0000-0000-0000A7050000}"/>
    <cellStyle name="40% - Énfasis4 8 4" xfId="1482" xr:uid="{00000000-0005-0000-0000-0000A8050000}"/>
    <cellStyle name="40% - Énfasis4 9" xfId="429" xr:uid="{00000000-0005-0000-0000-0000A9050000}"/>
    <cellStyle name="40% - Énfasis4 9 2" xfId="972" xr:uid="{00000000-0005-0000-0000-0000AA050000}"/>
    <cellStyle name="40% - Énfasis4 9 2 2" xfId="2063" xr:uid="{00000000-0005-0000-0000-0000AB050000}"/>
    <cellStyle name="40% - Énfasis4 9 3" xfId="1521" xr:uid="{00000000-0005-0000-0000-0000AC050000}"/>
    <cellStyle name="40% - Énfasis5" xfId="36" builtinId="47" customBuiltin="1"/>
    <cellStyle name="40% - Énfasis5 10" xfId="703" xr:uid="{00000000-0005-0000-0000-0000AE050000}"/>
    <cellStyle name="40% - Énfasis5 10 2" xfId="1794" xr:uid="{00000000-0005-0000-0000-0000AF050000}"/>
    <cellStyle name="40% - Énfasis5 11" xfId="1252" xr:uid="{00000000-0005-0000-0000-0000B0050000}"/>
    <cellStyle name="40% - Énfasis5 12" xfId="2359" xr:uid="{00000000-0005-0000-0000-0000B1050000}"/>
    <cellStyle name="40% - Énfasis5 13" xfId="2422" xr:uid="{00000000-0005-0000-0000-0000B2050000}"/>
    <cellStyle name="40% - Énfasis5 2" xfId="58" xr:uid="{00000000-0005-0000-0000-0000B3050000}"/>
    <cellStyle name="40% - Énfasis5 2 2" xfId="136" xr:uid="{00000000-0005-0000-0000-0000B4050000}"/>
    <cellStyle name="40% - Énfasis5 2 2 2" xfId="513" xr:uid="{00000000-0005-0000-0000-0000B5050000}"/>
    <cellStyle name="40% - Énfasis5 2 2 2 2" xfId="1055" xr:uid="{00000000-0005-0000-0000-0000B6050000}"/>
    <cellStyle name="40% - Énfasis5 2 2 2 2 2" xfId="2146" xr:uid="{00000000-0005-0000-0000-0000B7050000}"/>
    <cellStyle name="40% - Énfasis5 2 2 2 3" xfId="1604" xr:uid="{00000000-0005-0000-0000-0000B8050000}"/>
    <cellStyle name="40% - Énfasis5 2 2 3" xfId="784" xr:uid="{00000000-0005-0000-0000-0000B9050000}"/>
    <cellStyle name="40% - Énfasis5 2 2 3 2" xfId="1875" xr:uid="{00000000-0005-0000-0000-0000BA050000}"/>
    <cellStyle name="40% - Énfasis5 2 2 4" xfId="1333" xr:uid="{00000000-0005-0000-0000-0000BB050000}"/>
    <cellStyle name="40% - Énfasis5 2 3" xfId="201" xr:uid="{00000000-0005-0000-0000-0000BC050000}"/>
    <cellStyle name="40% - Énfasis5 2 3 2" xfId="576" xr:uid="{00000000-0005-0000-0000-0000BD050000}"/>
    <cellStyle name="40% - Énfasis5 2 3 2 2" xfId="1118" xr:uid="{00000000-0005-0000-0000-0000BE050000}"/>
    <cellStyle name="40% - Énfasis5 2 3 2 2 2" xfId="2209" xr:uid="{00000000-0005-0000-0000-0000BF050000}"/>
    <cellStyle name="40% - Énfasis5 2 3 2 3" xfId="1667" xr:uid="{00000000-0005-0000-0000-0000C0050000}"/>
    <cellStyle name="40% - Énfasis5 2 3 3" xfId="847" xr:uid="{00000000-0005-0000-0000-0000C1050000}"/>
    <cellStyle name="40% - Énfasis5 2 3 3 2" xfId="1938" xr:uid="{00000000-0005-0000-0000-0000C2050000}"/>
    <cellStyle name="40% - Énfasis5 2 3 4" xfId="1396" xr:uid="{00000000-0005-0000-0000-0000C3050000}"/>
    <cellStyle name="40% - Énfasis5 2 4" xfId="323" xr:uid="{00000000-0005-0000-0000-0000C4050000}"/>
    <cellStyle name="40% - Énfasis5 2 4 2" xfId="663" xr:uid="{00000000-0005-0000-0000-0000C5050000}"/>
    <cellStyle name="40% - Énfasis5 2 4 2 2" xfId="1205" xr:uid="{00000000-0005-0000-0000-0000C6050000}"/>
    <cellStyle name="40% - Énfasis5 2 4 2 2 2" xfId="2296" xr:uid="{00000000-0005-0000-0000-0000C7050000}"/>
    <cellStyle name="40% - Énfasis5 2 4 2 3" xfId="1754" xr:uid="{00000000-0005-0000-0000-0000C8050000}"/>
    <cellStyle name="40% - Énfasis5 2 4 3" xfId="934" xr:uid="{00000000-0005-0000-0000-0000C9050000}"/>
    <cellStyle name="40% - Énfasis5 2 4 3 2" xfId="2025" xr:uid="{00000000-0005-0000-0000-0000CA050000}"/>
    <cellStyle name="40% - Énfasis5 2 4 4" xfId="1483" xr:uid="{00000000-0005-0000-0000-0000CB050000}"/>
    <cellStyle name="40% - Énfasis5 2 5" xfId="447" xr:uid="{00000000-0005-0000-0000-0000CC050000}"/>
    <cellStyle name="40% - Énfasis5 2 5 2" xfId="990" xr:uid="{00000000-0005-0000-0000-0000CD050000}"/>
    <cellStyle name="40% - Énfasis5 2 5 2 2" xfId="2081" xr:uid="{00000000-0005-0000-0000-0000CE050000}"/>
    <cellStyle name="40% - Énfasis5 2 5 3" xfId="1539" xr:uid="{00000000-0005-0000-0000-0000CF050000}"/>
    <cellStyle name="40% - Énfasis5 2 6" xfId="719" xr:uid="{00000000-0005-0000-0000-0000D0050000}"/>
    <cellStyle name="40% - Énfasis5 2 6 2" xfId="1810" xr:uid="{00000000-0005-0000-0000-0000D1050000}"/>
    <cellStyle name="40% - Énfasis5 2 7" xfId="1268" xr:uid="{00000000-0005-0000-0000-0000D2050000}"/>
    <cellStyle name="40% - Énfasis5 2 8" xfId="2360" xr:uid="{00000000-0005-0000-0000-0000D3050000}"/>
    <cellStyle name="40% - Énfasis5 2 9" xfId="2423" xr:uid="{00000000-0005-0000-0000-0000D4050000}"/>
    <cellStyle name="40% - Énfasis5 2_Cuadro Talleres" xfId="324" xr:uid="{00000000-0005-0000-0000-0000D5050000}"/>
    <cellStyle name="40% - Énfasis5 3" xfId="74" xr:uid="{00000000-0005-0000-0000-0000D6050000}"/>
    <cellStyle name="40% - Énfasis5 3 2" xfId="153" xr:uid="{00000000-0005-0000-0000-0000D7050000}"/>
    <cellStyle name="40% - Énfasis5 3 2 2" xfId="529" xr:uid="{00000000-0005-0000-0000-0000D8050000}"/>
    <cellStyle name="40% - Énfasis5 3 2 2 2" xfId="1071" xr:uid="{00000000-0005-0000-0000-0000D9050000}"/>
    <cellStyle name="40% - Énfasis5 3 2 2 2 2" xfId="2162" xr:uid="{00000000-0005-0000-0000-0000DA050000}"/>
    <cellStyle name="40% - Énfasis5 3 2 2 3" xfId="1620" xr:uid="{00000000-0005-0000-0000-0000DB050000}"/>
    <cellStyle name="40% - Énfasis5 3 2 3" xfId="800" xr:uid="{00000000-0005-0000-0000-0000DC050000}"/>
    <cellStyle name="40% - Énfasis5 3 2 3 2" xfId="1891" xr:uid="{00000000-0005-0000-0000-0000DD050000}"/>
    <cellStyle name="40% - Énfasis5 3 2 4" xfId="1349" xr:uid="{00000000-0005-0000-0000-0000DE050000}"/>
    <cellStyle name="40% - Énfasis5 3 3" xfId="217" xr:uid="{00000000-0005-0000-0000-0000DF050000}"/>
    <cellStyle name="40% - Énfasis5 3 3 2" xfId="592" xr:uid="{00000000-0005-0000-0000-0000E0050000}"/>
    <cellStyle name="40% - Énfasis5 3 3 2 2" xfId="1134" xr:uid="{00000000-0005-0000-0000-0000E1050000}"/>
    <cellStyle name="40% - Énfasis5 3 3 2 2 2" xfId="2225" xr:uid="{00000000-0005-0000-0000-0000E2050000}"/>
    <cellStyle name="40% - Énfasis5 3 3 2 3" xfId="1683" xr:uid="{00000000-0005-0000-0000-0000E3050000}"/>
    <cellStyle name="40% - Énfasis5 3 3 3" xfId="863" xr:uid="{00000000-0005-0000-0000-0000E4050000}"/>
    <cellStyle name="40% - Énfasis5 3 3 3 2" xfId="1954" xr:uid="{00000000-0005-0000-0000-0000E5050000}"/>
    <cellStyle name="40% - Énfasis5 3 3 4" xfId="1412" xr:uid="{00000000-0005-0000-0000-0000E6050000}"/>
    <cellStyle name="40% - Énfasis5 3 4" xfId="325" xr:uid="{00000000-0005-0000-0000-0000E7050000}"/>
    <cellStyle name="40% - Énfasis5 3 4 2" xfId="664" xr:uid="{00000000-0005-0000-0000-0000E8050000}"/>
    <cellStyle name="40% - Énfasis5 3 4 2 2" xfId="1206" xr:uid="{00000000-0005-0000-0000-0000E9050000}"/>
    <cellStyle name="40% - Énfasis5 3 4 2 2 2" xfId="2297" xr:uid="{00000000-0005-0000-0000-0000EA050000}"/>
    <cellStyle name="40% - Énfasis5 3 4 2 3" xfId="1755" xr:uid="{00000000-0005-0000-0000-0000EB050000}"/>
    <cellStyle name="40% - Énfasis5 3 4 3" xfId="935" xr:uid="{00000000-0005-0000-0000-0000EC050000}"/>
    <cellStyle name="40% - Énfasis5 3 4 3 2" xfId="2026" xr:uid="{00000000-0005-0000-0000-0000ED050000}"/>
    <cellStyle name="40% - Énfasis5 3 4 4" xfId="1484" xr:uid="{00000000-0005-0000-0000-0000EE050000}"/>
    <cellStyle name="40% - Énfasis5 3 5" xfId="463" xr:uid="{00000000-0005-0000-0000-0000EF050000}"/>
    <cellStyle name="40% - Énfasis5 3 5 2" xfId="1006" xr:uid="{00000000-0005-0000-0000-0000F0050000}"/>
    <cellStyle name="40% - Énfasis5 3 5 2 2" xfId="2097" xr:uid="{00000000-0005-0000-0000-0000F1050000}"/>
    <cellStyle name="40% - Énfasis5 3 5 3" xfId="1555" xr:uid="{00000000-0005-0000-0000-0000F2050000}"/>
    <cellStyle name="40% - Énfasis5 3 6" xfId="735" xr:uid="{00000000-0005-0000-0000-0000F3050000}"/>
    <cellStyle name="40% - Énfasis5 3 6 2" xfId="1826" xr:uid="{00000000-0005-0000-0000-0000F4050000}"/>
    <cellStyle name="40% - Énfasis5 3 7" xfId="1284" xr:uid="{00000000-0005-0000-0000-0000F5050000}"/>
    <cellStyle name="40% - Énfasis5 3 8" xfId="2361" xr:uid="{00000000-0005-0000-0000-0000F6050000}"/>
    <cellStyle name="40% - Énfasis5 3 9" xfId="2424" xr:uid="{00000000-0005-0000-0000-0000F7050000}"/>
    <cellStyle name="40% - Énfasis5 3_Cuadro Talleres" xfId="326" xr:uid="{00000000-0005-0000-0000-0000F8050000}"/>
    <cellStyle name="40% - Énfasis5 4" xfId="90" xr:uid="{00000000-0005-0000-0000-0000F9050000}"/>
    <cellStyle name="40% - Énfasis5 4 2" xfId="168" xr:uid="{00000000-0005-0000-0000-0000FA050000}"/>
    <cellStyle name="40% - Énfasis5 4 2 2" xfId="544" xr:uid="{00000000-0005-0000-0000-0000FB050000}"/>
    <cellStyle name="40% - Énfasis5 4 2 2 2" xfId="1086" xr:uid="{00000000-0005-0000-0000-0000FC050000}"/>
    <cellStyle name="40% - Énfasis5 4 2 2 2 2" xfId="2177" xr:uid="{00000000-0005-0000-0000-0000FD050000}"/>
    <cellStyle name="40% - Énfasis5 4 2 2 3" xfId="1635" xr:uid="{00000000-0005-0000-0000-0000FE050000}"/>
    <cellStyle name="40% - Énfasis5 4 2 3" xfId="815" xr:uid="{00000000-0005-0000-0000-0000FF050000}"/>
    <cellStyle name="40% - Énfasis5 4 2 3 2" xfId="1906" xr:uid="{00000000-0005-0000-0000-000000060000}"/>
    <cellStyle name="40% - Énfasis5 4 2 4" xfId="1364" xr:uid="{00000000-0005-0000-0000-000001060000}"/>
    <cellStyle name="40% - Énfasis5 4 3" xfId="233" xr:uid="{00000000-0005-0000-0000-000002060000}"/>
    <cellStyle name="40% - Énfasis5 4 3 2" xfId="608" xr:uid="{00000000-0005-0000-0000-000003060000}"/>
    <cellStyle name="40% - Énfasis5 4 3 2 2" xfId="1150" xr:uid="{00000000-0005-0000-0000-000004060000}"/>
    <cellStyle name="40% - Énfasis5 4 3 2 2 2" xfId="2241" xr:uid="{00000000-0005-0000-0000-000005060000}"/>
    <cellStyle name="40% - Énfasis5 4 3 2 3" xfId="1699" xr:uid="{00000000-0005-0000-0000-000006060000}"/>
    <cellStyle name="40% - Énfasis5 4 3 3" xfId="879" xr:uid="{00000000-0005-0000-0000-000007060000}"/>
    <cellStyle name="40% - Énfasis5 4 3 3 2" xfId="1970" xr:uid="{00000000-0005-0000-0000-000008060000}"/>
    <cellStyle name="40% - Énfasis5 4 3 4" xfId="1428" xr:uid="{00000000-0005-0000-0000-000009060000}"/>
    <cellStyle name="40% - Énfasis5 4 4" xfId="327" xr:uid="{00000000-0005-0000-0000-00000A060000}"/>
    <cellStyle name="40% - Énfasis5 4 4 2" xfId="665" xr:uid="{00000000-0005-0000-0000-00000B060000}"/>
    <cellStyle name="40% - Énfasis5 4 4 2 2" xfId="1207" xr:uid="{00000000-0005-0000-0000-00000C060000}"/>
    <cellStyle name="40% - Énfasis5 4 4 2 2 2" xfId="2298" xr:uid="{00000000-0005-0000-0000-00000D060000}"/>
    <cellStyle name="40% - Énfasis5 4 4 2 3" xfId="1756" xr:uid="{00000000-0005-0000-0000-00000E060000}"/>
    <cellStyle name="40% - Énfasis5 4 4 3" xfId="936" xr:uid="{00000000-0005-0000-0000-00000F060000}"/>
    <cellStyle name="40% - Énfasis5 4 4 3 2" xfId="2027" xr:uid="{00000000-0005-0000-0000-000010060000}"/>
    <cellStyle name="40% - Énfasis5 4 4 4" xfId="1485" xr:uid="{00000000-0005-0000-0000-000011060000}"/>
    <cellStyle name="40% - Énfasis5 4 5" xfId="479" xr:uid="{00000000-0005-0000-0000-000012060000}"/>
    <cellStyle name="40% - Énfasis5 4 5 2" xfId="1022" xr:uid="{00000000-0005-0000-0000-000013060000}"/>
    <cellStyle name="40% - Énfasis5 4 5 2 2" xfId="2113" xr:uid="{00000000-0005-0000-0000-000014060000}"/>
    <cellStyle name="40% - Énfasis5 4 5 3" xfId="1571" xr:uid="{00000000-0005-0000-0000-000015060000}"/>
    <cellStyle name="40% - Énfasis5 4 6" xfId="751" xr:uid="{00000000-0005-0000-0000-000016060000}"/>
    <cellStyle name="40% - Énfasis5 4 6 2" xfId="1842" xr:uid="{00000000-0005-0000-0000-000017060000}"/>
    <cellStyle name="40% - Énfasis5 4 7" xfId="1300" xr:uid="{00000000-0005-0000-0000-000018060000}"/>
    <cellStyle name="40% - Énfasis5 4_Cuadro Talleres" xfId="328" xr:uid="{00000000-0005-0000-0000-000019060000}"/>
    <cellStyle name="40% - Énfasis5 5" xfId="120" xr:uid="{00000000-0005-0000-0000-00001A060000}"/>
    <cellStyle name="40% - Énfasis5 5 2" xfId="497" xr:uid="{00000000-0005-0000-0000-00001B060000}"/>
    <cellStyle name="40% - Énfasis5 5 2 2" xfId="1040" xr:uid="{00000000-0005-0000-0000-00001C060000}"/>
    <cellStyle name="40% - Énfasis5 5 2 2 2" xfId="2131" xr:uid="{00000000-0005-0000-0000-00001D060000}"/>
    <cellStyle name="40% - Énfasis5 5 2 3" xfId="1589" xr:uid="{00000000-0005-0000-0000-00001E060000}"/>
    <cellStyle name="40% - Énfasis5 5 3" xfId="769" xr:uid="{00000000-0005-0000-0000-00001F060000}"/>
    <cellStyle name="40% - Énfasis5 5 3 2" xfId="1860" xr:uid="{00000000-0005-0000-0000-000020060000}"/>
    <cellStyle name="40% - Énfasis5 5 4" xfId="1318" xr:uid="{00000000-0005-0000-0000-000021060000}"/>
    <cellStyle name="40% - Énfasis5 6" xfId="184" xr:uid="{00000000-0005-0000-0000-000022060000}"/>
    <cellStyle name="40% - Énfasis5 6 2" xfId="560" xr:uid="{00000000-0005-0000-0000-000023060000}"/>
    <cellStyle name="40% - Énfasis5 6 2 2" xfId="1102" xr:uid="{00000000-0005-0000-0000-000024060000}"/>
    <cellStyle name="40% - Énfasis5 6 2 2 2" xfId="2193" xr:uid="{00000000-0005-0000-0000-000025060000}"/>
    <cellStyle name="40% - Énfasis5 6 2 3" xfId="1651" xr:uid="{00000000-0005-0000-0000-000026060000}"/>
    <cellStyle name="40% - Énfasis5 6 3" xfId="831" xr:uid="{00000000-0005-0000-0000-000027060000}"/>
    <cellStyle name="40% - Énfasis5 6 3 2" xfId="1922" xr:uid="{00000000-0005-0000-0000-000028060000}"/>
    <cellStyle name="40% - Énfasis5 6 4" xfId="1380" xr:uid="{00000000-0005-0000-0000-000029060000}"/>
    <cellStyle name="40% - Énfasis5 7" xfId="329" xr:uid="{00000000-0005-0000-0000-00002A060000}"/>
    <cellStyle name="40% - Énfasis5 7 2" xfId="666" xr:uid="{00000000-0005-0000-0000-00002B060000}"/>
    <cellStyle name="40% - Énfasis5 7 2 2" xfId="1208" xr:uid="{00000000-0005-0000-0000-00002C060000}"/>
    <cellStyle name="40% - Énfasis5 7 2 2 2" xfId="2299" xr:uid="{00000000-0005-0000-0000-00002D060000}"/>
    <cellStyle name="40% - Énfasis5 7 2 3" xfId="1757" xr:uid="{00000000-0005-0000-0000-00002E060000}"/>
    <cellStyle name="40% - Énfasis5 7 3" xfId="937" xr:uid="{00000000-0005-0000-0000-00002F060000}"/>
    <cellStyle name="40% - Énfasis5 7 3 2" xfId="2028" xr:uid="{00000000-0005-0000-0000-000030060000}"/>
    <cellStyle name="40% - Énfasis5 7 4" xfId="1486" xr:uid="{00000000-0005-0000-0000-000031060000}"/>
    <cellStyle name="40% - Énfasis5 8" xfId="330" xr:uid="{00000000-0005-0000-0000-000032060000}"/>
    <cellStyle name="40% - Énfasis5 8 2" xfId="667" xr:uid="{00000000-0005-0000-0000-000033060000}"/>
    <cellStyle name="40% - Énfasis5 8 2 2" xfId="1209" xr:uid="{00000000-0005-0000-0000-000034060000}"/>
    <cellStyle name="40% - Énfasis5 8 2 2 2" xfId="2300" xr:uid="{00000000-0005-0000-0000-000035060000}"/>
    <cellStyle name="40% - Énfasis5 8 2 3" xfId="1758" xr:uid="{00000000-0005-0000-0000-000036060000}"/>
    <cellStyle name="40% - Énfasis5 8 3" xfId="938" xr:uid="{00000000-0005-0000-0000-000037060000}"/>
    <cellStyle name="40% - Énfasis5 8 3 2" xfId="2029" xr:uid="{00000000-0005-0000-0000-000038060000}"/>
    <cellStyle name="40% - Énfasis5 8 4" xfId="1487" xr:uid="{00000000-0005-0000-0000-000039060000}"/>
    <cellStyle name="40% - Énfasis5 9" xfId="431" xr:uid="{00000000-0005-0000-0000-00003A060000}"/>
    <cellStyle name="40% - Énfasis5 9 2" xfId="974" xr:uid="{00000000-0005-0000-0000-00003B060000}"/>
    <cellStyle name="40% - Énfasis5 9 2 2" xfId="2065" xr:uid="{00000000-0005-0000-0000-00003C060000}"/>
    <cellStyle name="40% - Énfasis5 9 3" xfId="1523" xr:uid="{00000000-0005-0000-0000-00003D060000}"/>
    <cellStyle name="40% - Énfasis6" xfId="40" builtinId="51" customBuiltin="1"/>
    <cellStyle name="40% - Énfasis6 10" xfId="705" xr:uid="{00000000-0005-0000-0000-00003F060000}"/>
    <cellStyle name="40% - Énfasis6 10 2" xfId="1796" xr:uid="{00000000-0005-0000-0000-000040060000}"/>
    <cellStyle name="40% - Énfasis6 11" xfId="1254" xr:uid="{00000000-0005-0000-0000-000041060000}"/>
    <cellStyle name="40% - Énfasis6 12" xfId="2362" xr:uid="{00000000-0005-0000-0000-000042060000}"/>
    <cellStyle name="40% - Énfasis6 13" xfId="2425" xr:uid="{00000000-0005-0000-0000-000043060000}"/>
    <cellStyle name="40% - Énfasis6 2" xfId="60" xr:uid="{00000000-0005-0000-0000-000044060000}"/>
    <cellStyle name="40% - Énfasis6 2 2" xfId="138" xr:uid="{00000000-0005-0000-0000-000045060000}"/>
    <cellStyle name="40% - Énfasis6 2 2 2" xfId="515" xr:uid="{00000000-0005-0000-0000-000046060000}"/>
    <cellStyle name="40% - Énfasis6 2 2 2 2" xfId="1057" xr:uid="{00000000-0005-0000-0000-000047060000}"/>
    <cellStyle name="40% - Énfasis6 2 2 2 2 2" xfId="2148" xr:uid="{00000000-0005-0000-0000-000048060000}"/>
    <cellStyle name="40% - Énfasis6 2 2 2 3" xfId="1606" xr:uid="{00000000-0005-0000-0000-000049060000}"/>
    <cellStyle name="40% - Énfasis6 2 2 3" xfId="786" xr:uid="{00000000-0005-0000-0000-00004A060000}"/>
    <cellStyle name="40% - Énfasis6 2 2 3 2" xfId="1877" xr:uid="{00000000-0005-0000-0000-00004B060000}"/>
    <cellStyle name="40% - Énfasis6 2 2 4" xfId="1335" xr:uid="{00000000-0005-0000-0000-00004C060000}"/>
    <cellStyle name="40% - Énfasis6 2 3" xfId="203" xr:uid="{00000000-0005-0000-0000-00004D060000}"/>
    <cellStyle name="40% - Énfasis6 2 3 2" xfId="578" xr:uid="{00000000-0005-0000-0000-00004E060000}"/>
    <cellStyle name="40% - Énfasis6 2 3 2 2" xfId="1120" xr:uid="{00000000-0005-0000-0000-00004F060000}"/>
    <cellStyle name="40% - Énfasis6 2 3 2 2 2" xfId="2211" xr:uid="{00000000-0005-0000-0000-000050060000}"/>
    <cellStyle name="40% - Énfasis6 2 3 2 3" xfId="1669" xr:uid="{00000000-0005-0000-0000-000051060000}"/>
    <cellStyle name="40% - Énfasis6 2 3 3" xfId="849" xr:uid="{00000000-0005-0000-0000-000052060000}"/>
    <cellStyle name="40% - Énfasis6 2 3 3 2" xfId="1940" xr:uid="{00000000-0005-0000-0000-000053060000}"/>
    <cellStyle name="40% - Énfasis6 2 3 4" xfId="1398" xr:uid="{00000000-0005-0000-0000-000054060000}"/>
    <cellStyle name="40% - Énfasis6 2 4" xfId="331" xr:uid="{00000000-0005-0000-0000-000055060000}"/>
    <cellStyle name="40% - Énfasis6 2 4 2" xfId="668" xr:uid="{00000000-0005-0000-0000-000056060000}"/>
    <cellStyle name="40% - Énfasis6 2 4 2 2" xfId="1210" xr:uid="{00000000-0005-0000-0000-000057060000}"/>
    <cellStyle name="40% - Énfasis6 2 4 2 2 2" xfId="2301" xr:uid="{00000000-0005-0000-0000-000058060000}"/>
    <cellStyle name="40% - Énfasis6 2 4 2 3" xfId="1759" xr:uid="{00000000-0005-0000-0000-000059060000}"/>
    <cellStyle name="40% - Énfasis6 2 4 3" xfId="939" xr:uid="{00000000-0005-0000-0000-00005A060000}"/>
    <cellStyle name="40% - Énfasis6 2 4 3 2" xfId="2030" xr:uid="{00000000-0005-0000-0000-00005B060000}"/>
    <cellStyle name="40% - Énfasis6 2 4 4" xfId="1488" xr:uid="{00000000-0005-0000-0000-00005C060000}"/>
    <cellStyle name="40% - Énfasis6 2 5" xfId="449" xr:uid="{00000000-0005-0000-0000-00005D060000}"/>
    <cellStyle name="40% - Énfasis6 2 5 2" xfId="992" xr:uid="{00000000-0005-0000-0000-00005E060000}"/>
    <cellStyle name="40% - Énfasis6 2 5 2 2" xfId="2083" xr:uid="{00000000-0005-0000-0000-00005F060000}"/>
    <cellStyle name="40% - Énfasis6 2 5 3" xfId="1541" xr:uid="{00000000-0005-0000-0000-000060060000}"/>
    <cellStyle name="40% - Énfasis6 2 6" xfId="721" xr:uid="{00000000-0005-0000-0000-000061060000}"/>
    <cellStyle name="40% - Énfasis6 2 6 2" xfId="1812" xr:uid="{00000000-0005-0000-0000-000062060000}"/>
    <cellStyle name="40% - Énfasis6 2 7" xfId="1270" xr:uid="{00000000-0005-0000-0000-000063060000}"/>
    <cellStyle name="40% - Énfasis6 2 8" xfId="2363" xr:uid="{00000000-0005-0000-0000-000064060000}"/>
    <cellStyle name="40% - Énfasis6 2 9" xfId="2426" xr:uid="{00000000-0005-0000-0000-000065060000}"/>
    <cellStyle name="40% - Énfasis6 2_Cuadro Talleres" xfId="332" xr:uid="{00000000-0005-0000-0000-000066060000}"/>
    <cellStyle name="40% - Énfasis6 3" xfId="76" xr:uid="{00000000-0005-0000-0000-000067060000}"/>
    <cellStyle name="40% - Énfasis6 3 2" xfId="155" xr:uid="{00000000-0005-0000-0000-000068060000}"/>
    <cellStyle name="40% - Énfasis6 3 2 2" xfId="531" xr:uid="{00000000-0005-0000-0000-000069060000}"/>
    <cellStyle name="40% - Énfasis6 3 2 2 2" xfId="1073" xr:uid="{00000000-0005-0000-0000-00006A060000}"/>
    <cellStyle name="40% - Énfasis6 3 2 2 2 2" xfId="2164" xr:uid="{00000000-0005-0000-0000-00006B060000}"/>
    <cellStyle name="40% - Énfasis6 3 2 2 3" xfId="1622" xr:uid="{00000000-0005-0000-0000-00006C060000}"/>
    <cellStyle name="40% - Énfasis6 3 2 3" xfId="802" xr:uid="{00000000-0005-0000-0000-00006D060000}"/>
    <cellStyle name="40% - Énfasis6 3 2 3 2" xfId="1893" xr:uid="{00000000-0005-0000-0000-00006E060000}"/>
    <cellStyle name="40% - Énfasis6 3 2 4" xfId="1351" xr:uid="{00000000-0005-0000-0000-00006F060000}"/>
    <cellStyle name="40% - Énfasis6 3 3" xfId="219" xr:uid="{00000000-0005-0000-0000-000070060000}"/>
    <cellStyle name="40% - Énfasis6 3 3 2" xfId="594" xr:uid="{00000000-0005-0000-0000-000071060000}"/>
    <cellStyle name="40% - Énfasis6 3 3 2 2" xfId="1136" xr:uid="{00000000-0005-0000-0000-000072060000}"/>
    <cellStyle name="40% - Énfasis6 3 3 2 2 2" xfId="2227" xr:uid="{00000000-0005-0000-0000-000073060000}"/>
    <cellStyle name="40% - Énfasis6 3 3 2 3" xfId="1685" xr:uid="{00000000-0005-0000-0000-000074060000}"/>
    <cellStyle name="40% - Énfasis6 3 3 3" xfId="865" xr:uid="{00000000-0005-0000-0000-000075060000}"/>
    <cellStyle name="40% - Énfasis6 3 3 3 2" xfId="1956" xr:uid="{00000000-0005-0000-0000-000076060000}"/>
    <cellStyle name="40% - Énfasis6 3 3 4" xfId="1414" xr:uid="{00000000-0005-0000-0000-000077060000}"/>
    <cellStyle name="40% - Énfasis6 3 4" xfId="333" xr:uid="{00000000-0005-0000-0000-000078060000}"/>
    <cellStyle name="40% - Énfasis6 3 4 2" xfId="669" xr:uid="{00000000-0005-0000-0000-000079060000}"/>
    <cellStyle name="40% - Énfasis6 3 4 2 2" xfId="1211" xr:uid="{00000000-0005-0000-0000-00007A060000}"/>
    <cellStyle name="40% - Énfasis6 3 4 2 2 2" xfId="2302" xr:uid="{00000000-0005-0000-0000-00007B060000}"/>
    <cellStyle name="40% - Énfasis6 3 4 2 3" xfId="1760" xr:uid="{00000000-0005-0000-0000-00007C060000}"/>
    <cellStyle name="40% - Énfasis6 3 4 3" xfId="940" xr:uid="{00000000-0005-0000-0000-00007D060000}"/>
    <cellStyle name="40% - Énfasis6 3 4 3 2" xfId="2031" xr:uid="{00000000-0005-0000-0000-00007E060000}"/>
    <cellStyle name="40% - Énfasis6 3 4 4" xfId="1489" xr:uid="{00000000-0005-0000-0000-00007F060000}"/>
    <cellStyle name="40% - Énfasis6 3 5" xfId="465" xr:uid="{00000000-0005-0000-0000-000080060000}"/>
    <cellStyle name="40% - Énfasis6 3 5 2" xfId="1008" xr:uid="{00000000-0005-0000-0000-000081060000}"/>
    <cellStyle name="40% - Énfasis6 3 5 2 2" xfId="2099" xr:uid="{00000000-0005-0000-0000-000082060000}"/>
    <cellStyle name="40% - Énfasis6 3 5 3" xfId="1557" xr:uid="{00000000-0005-0000-0000-000083060000}"/>
    <cellStyle name="40% - Énfasis6 3 6" xfId="737" xr:uid="{00000000-0005-0000-0000-000084060000}"/>
    <cellStyle name="40% - Énfasis6 3 6 2" xfId="1828" xr:uid="{00000000-0005-0000-0000-000085060000}"/>
    <cellStyle name="40% - Énfasis6 3 7" xfId="1286" xr:uid="{00000000-0005-0000-0000-000086060000}"/>
    <cellStyle name="40% - Énfasis6 3 8" xfId="2364" xr:uid="{00000000-0005-0000-0000-000087060000}"/>
    <cellStyle name="40% - Énfasis6 3 9" xfId="2427" xr:uid="{00000000-0005-0000-0000-000088060000}"/>
    <cellStyle name="40% - Énfasis6 3_Cuadro Talleres" xfId="334" xr:uid="{00000000-0005-0000-0000-000089060000}"/>
    <cellStyle name="40% - Énfasis6 4" xfId="92" xr:uid="{00000000-0005-0000-0000-00008A060000}"/>
    <cellStyle name="40% - Énfasis6 4 2" xfId="170" xr:uid="{00000000-0005-0000-0000-00008B060000}"/>
    <cellStyle name="40% - Énfasis6 4 2 2" xfId="546" xr:uid="{00000000-0005-0000-0000-00008C060000}"/>
    <cellStyle name="40% - Énfasis6 4 2 2 2" xfId="1088" xr:uid="{00000000-0005-0000-0000-00008D060000}"/>
    <cellStyle name="40% - Énfasis6 4 2 2 2 2" xfId="2179" xr:uid="{00000000-0005-0000-0000-00008E060000}"/>
    <cellStyle name="40% - Énfasis6 4 2 2 3" xfId="1637" xr:uid="{00000000-0005-0000-0000-00008F060000}"/>
    <cellStyle name="40% - Énfasis6 4 2 3" xfId="817" xr:uid="{00000000-0005-0000-0000-000090060000}"/>
    <cellStyle name="40% - Énfasis6 4 2 3 2" xfId="1908" xr:uid="{00000000-0005-0000-0000-000091060000}"/>
    <cellStyle name="40% - Énfasis6 4 2 4" xfId="1366" xr:uid="{00000000-0005-0000-0000-000092060000}"/>
    <cellStyle name="40% - Énfasis6 4 3" xfId="235" xr:uid="{00000000-0005-0000-0000-000093060000}"/>
    <cellStyle name="40% - Énfasis6 4 3 2" xfId="610" xr:uid="{00000000-0005-0000-0000-000094060000}"/>
    <cellStyle name="40% - Énfasis6 4 3 2 2" xfId="1152" xr:uid="{00000000-0005-0000-0000-000095060000}"/>
    <cellStyle name="40% - Énfasis6 4 3 2 2 2" xfId="2243" xr:uid="{00000000-0005-0000-0000-000096060000}"/>
    <cellStyle name="40% - Énfasis6 4 3 2 3" xfId="1701" xr:uid="{00000000-0005-0000-0000-000097060000}"/>
    <cellStyle name="40% - Énfasis6 4 3 3" xfId="881" xr:uid="{00000000-0005-0000-0000-000098060000}"/>
    <cellStyle name="40% - Énfasis6 4 3 3 2" xfId="1972" xr:uid="{00000000-0005-0000-0000-000099060000}"/>
    <cellStyle name="40% - Énfasis6 4 3 4" xfId="1430" xr:uid="{00000000-0005-0000-0000-00009A060000}"/>
    <cellStyle name="40% - Énfasis6 4 4" xfId="335" xr:uid="{00000000-0005-0000-0000-00009B060000}"/>
    <cellStyle name="40% - Énfasis6 4 4 2" xfId="670" xr:uid="{00000000-0005-0000-0000-00009C060000}"/>
    <cellStyle name="40% - Énfasis6 4 4 2 2" xfId="1212" xr:uid="{00000000-0005-0000-0000-00009D060000}"/>
    <cellStyle name="40% - Énfasis6 4 4 2 2 2" xfId="2303" xr:uid="{00000000-0005-0000-0000-00009E060000}"/>
    <cellStyle name="40% - Énfasis6 4 4 2 3" xfId="1761" xr:uid="{00000000-0005-0000-0000-00009F060000}"/>
    <cellStyle name="40% - Énfasis6 4 4 3" xfId="941" xr:uid="{00000000-0005-0000-0000-0000A0060000}"/>
    <cellStyle name="40% - Énfasis6 4 4 3 2" xfId="2032" xr:uid="{00000000-0005-0000-0000-0000A1060000}"/>
    <cellStyle name="40% - Énfasis6 4 4 4" xfId="1490" xr:uid="{00000000-0005-0000-0000-0000A2060000}"/>
    <cellStyle name="40% - Énfasis6 4 5" xfId="481" xr:uid="{00000000-0005-0000-0000-0000A3060000}"/>
    <cellStyle name="40% - Énfasis6 4 5 2" xfId="1024" xr:uid="{00000000-0005-0000-0000-0000A4060000}"/>
    <cellStyle name="40% - Énfasis6 4 5 2 2" xfId="2115" xr:uid="{00000000-0005-0000-0000-0000A5060000}"/>
    <cellStyle name="40% - Énfasis6 4 5 3" xfId="1573" xr:uid="{00000000-0005-0000-0000-0000A6060000}"/>
    <cellStyle name="40% - Énfasis6 4 6" xfId="753" xr:uid="{00000000-0005-0000-0000-0000A7060000}"/>
    <cellStyle name="40% - Énfasis6 4 6 2" xfId="1844" xr:uid="{00000000-0005-0000-0000-0000A8060000}"/>
    <cellStyle name="40% - Énfasis6 4 7" xfId="1302" xr:uid="{00000000-0005-0000-0000-0000A9060000}"/>
    <cellStyle name="40% - Énfasis6 4_Cuadro Talleres" xfId="336" xr:uid="{00000000-0005-0000-0000-0000AA060000}"/>
    <cellStyle name="40% - Énfasis6 5" xfId="122" xr:uid="{00000000-0005-0000-0000-0000AB060000}"/>
    <cellStyle name="40% - Énfasis6 5 2" xfId="499" xr:uid="{00000000-0005-0000-0000-0000AC060000}"/>
    <cellStyle name="40% - Énfasis6 5 2 2" xfId="1042" xr:uid="{00000000-0005-0000-0000-0000AD060000}"/>
    <cellStyle name="40% - Énfasis6 5 2 2 2" xfId="2133" xr:uid="{00000000-0005-0000-0000-0000AE060000}"/>
    <cellStyle name="40% - Énfasis6 5 2 3" xfId="1591" xr:uid="{00000000-0005-0000-0000-0000AF060000}"/>
    <cellStyle name="40% - Énfasis6 5 3" xfId="771" xr:uid="{00000000-0005-0000-0000-0000B0060000}"/>
    <cellStyle name="40% - Énfasis6 5 3 2" xfId="1862" xr:uid="{00000000-0005-0000-0000-0000B1060000}"/>
    <cellStyle name="40% - Énfasis6 5 4" xfId="1320" xr:uid="{00000000-0005-0000-0000-0000B2060000}"/>
    <cellStyle name="40% - Énfasis6 6" xfId="186" xr:uid="{00000000-0005-0000-0000-0000B3060000}"/>
    <cellStyle name="40% - Énfasis6 6 2" xfId="562" xr:uid="{00000000-0005-0000-0000-0000B4060000}"/>
    <cellStyle name="40% - Énfasis6 6 2 2" xfId="1104" xr:uid="{00000000-0005-0000-0000-0000B5060000}"/>
    <cellStyle name="40% - Énfasis6 6 2 2 2" xfId="2195" xr:uid="{00000000-0005-0000-0000-0000B6060000}"/>
    <cellStyle name="40% - Énfasis6 6 2 3" xfId="1653" xr:uid="{00000000-0005-0000-0000-0000B7060000}"/>
    <cellStyle name="40% - Énfasis6 6 3" xfId="833" xr:uid="{00000000-0005-0000-0000-0000B8060000}"/>
    <cellStyle name="40% - Énfasis6 6 3 2" xfId="1924" xr:uid="{00000000-0005-0000-0000-0000B9060000}"/>
    <cellStyle name="40% - Énfasis6 6 4" xfId="1382" xr:uid="{00000000-0005-0000-0000-0000BA060000}"/>
    <cellStyle name="40% - Énfasis6 7" xfId="337" xr:uid="{00000000-0005-0000-0000-0000BB060000}"/>
    <cellStyle name="40% - Énfasis6 7 2" xfId="671" xr:uid="{00000000-0005-0000-0000-0000BC060000}"/>
    <cellStyle name="40% - Énfasis6 7 2 2" xfId="1213" xr:uid="{00000000-0005-0000-0000-0000BD060000}"/>
    <cellStyle name="40% - Énfasis6 7 2 2 2" xfId="2304" xr:uid="{00000000-0005-0000-0000-0000BE060000}"/>
    <cellStyle name="40% - Énfasis6 7 2 3" xfId="1762" xr:uid="{00000000-0005-0000-0000-0000BF060000}"/>
    <cellStyle name="40% - Énfasis6 7 3" xfId="942" xr:uid="{00000000-0005-0000-0000-0000C0060000}"/>
    <cellStyle name="40% - Énfasis6 7 3 2" xfId="2033" xr:uid="{00000000-0005-0000-0000-0000C1060000}"/>
    <cellStyle name="40% - Énfasis6 7 4" xfId="1491" xr:uid="{00000000-0005-0000-0000-0000C2060000}"/>
    <cellStyle name="40% - Énfasis6 8" xfId="338" xr:uid="{00000000-0005-0000-0000-0000C3060000}"/>
    <cellStyle name="40% - Énfasis6 8 2" xfId="672" xr:uid="{00000000-0005-0000-0000-0000C4060000}"/>
    <cellStyle name="40% - Énfasis6 8 2 2" xfId="1214" xr:uid="{00000000-0005-0000-0000-0000C5060000}"/>
    <cellStyle name="40% - Énfasis6 8 2 2 2" xfId="2305" xr:uid="{00000000-0005-0000-0000-0000C6060000}"/>
    <cellStyle name="40% - Énfasis6 8 2 3" xfId="1763" xr:uid="{00000000-0005-0000-0000-0000C7060000}"/>
    <cellStyle name="40% - Énfasis6 8 3" xfId="943" xr:uid="{00000000-0005-0000-0000-0000C8060000}"/>
    <cellStyle name="40% - Énfasis6 8 3 2" xfId="2034" xr:uid="{00000000-0005-0000-0000-0000C9060000}"/>
    <cellStyle name="40% - Énfasis6 8 4" xfId="1492" xr:uid="{00000000-0005-0000-0000-0000CA060000}"/>
    <cellStyle name="40% - Énfasis6 9" xfId="433" xr:uid="{00000000-0005-0000-0000-0000CB060000}"/>
    <cellStyle name="40% - Énfasis6 9 2" xfId="976" xr:uid="{00000000-0005-0000-0000-0000CC060000}"/>
    <cellStyle name="40% - Énfasis6 9 2 2" xfId="2067" xr:uid="{00000000-0005-0000-0000-0000CD060000}"/>
    <cellStyle name="40% - Énfasis6 9 3" xfId="1525" xr:uid="{00000000-0005-0000-0000-0000CE060000}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álculo 2" xfId="100" xr:uid="{00000000-0005-0000-0000-0000D7060000}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ntrada 2" xfId="99" xr:uid="{00000000-0005-0000-0000-0000E2060000}"/>
    <cellStyle name="Hipervínculo 2" xfId="107" xr:uid="{00000000-0005-0000-0000-0000E3060000}"/>
    <cellStyle name="Hipervínculo 3" xfId="1234" xr:uid="{00000000-0005-0000-0000-0000E4060000}"/>
    <cellStyle name="Incorrecto" xfId="7" builtinId="27" customBuiltin="1"/>
    <cellStyle name="Millares [0] 2" xfId="2366" xr:uid="{00000000-0005-0000-0000-0000E6060000}"/>
    <cellStyle name="Millares [0] 3" xfId="2428" xr:uid="{00000000-0005-0000-0000-0000E7060000}"/>
    <cellStyle name="Millares 2" xfId="109" xr:uid="{00000000-0005-0000-0000-0000E8060000}"/>
    <cellStyle name="Millares 2 2" xfId="172" xr:uid="{00000000-0005-0000-0000-0000E9060000}"/>
    <cellStyle name="Millares 2 2 2" xfId="548" xr:uid="{00000000-0005-0000-0000-0000EA060000}"/>
    <cellStyle name="Millares 2 2 2 2" xfId="1090" xr:uid="{00000000-0005-0000-0000-0000EB060000}"/>
    <cellStyle name="Millares 2 2 2 2 2" xfId="2181" xr:uid="{00000000-0005-0000-0000-0000EC060000}"/>
    <cellStyle name="Millares 2 2 2 3" xfId="1639" xr:uid="{00000000-0005-0000-0000-0000ED060000}"/>
    <cellStyle name="Millares 2 2 3" xfId="819" xr:uid="{00000000-0005-0000-0000-0000EE060000}"/>
    <cellStyle name="Millares 2 2 3 2" xfId="1910" xr:uid="{00000000-0005-0000-0000-0000EF060000}"/>
    <cellStyle name="Millares 2 2 4" xfId="1368" xr:uid="{00000000-0005-0000-0000-0000F0060000}"/>
    <cellStyle name="Millares 2 3" xfId="486" xr:uid="{00000000-0005-0000-0000-0000F1060000}"/>
    <cellStyle name="Millares 2 3 2" xfId="1029" xr:uid="{00000000-0005-0000-0000-0000F2060000}"/>
    <cellStyle name="Millares 2 3 2 2" xfId="2120" xr:uid="{00000000-0005-0000-0000-0000F3060000}"/>
    <cellStyle name="Millares 2 3 3" xfId="1578" xr:uid="{00000000-0005-0000-0000-0000F4060000}"/>
    <cellStyle name="Millares 2 4" xfId="758" xr:uid="{00000000-0005-0000-0000-0000F5060000}"/>
    <cellStyle name="Millares 2 4 2" xfId="1849" xr:uid="{00000000-0005-0000-0000-0000F6060000}"/>
    <cellStyle name="Millares 2 5" xfId="1307" xr:uid="{00000000-0005-0000-0000-0000F7060000}"/>
    <cellStyle name="Millares 3" xfId="1235" xr:uid="{00000000-0005-0000-0000-0000F8060000}"/>
    <cellStyle name="Millares 4" xfId="2365" xr:uid="{00000000-0005-0000-0000-0000F9060000}"/>
    <cellStyle name="Millares 5" xfId="2385" xr:uid="{00000000-0005-0000-0000-0000FA060000}"/>
    <cellStyle name="Millares 6" xfId="2389" xr:uid="{00000000-0005-0000-0000-0000FB060000}"/>
    <cellStyle name="Millares 7" xfId="2388" xr:uid="{00000000-0005-0000-0000-0000FC060000}"/>
    <cellStyle name="Millares 8" xfId="2447" xr:uid="{FD67989A-6CA4-4D64-A77C-9DD9D61C72BB}"/>
    <cellStyle name="Millares 9" xfId="2448" xr:uid="{4F1C304D-80C2-424B-8485-421636194DAD}"/>
    <cellStyle name="Moneda [0]" xfId="2454" builtinId="7"/>
    <cellStyle name="Moneda [0] 2" xfId="408" xr:uid="{00000000-0005-0000-0000-0000FD060000}"/>
    <cellStyle name="Moneda [0] 2 2" xfId="2369" xr:uid="{00000000-0005-0000-0000-0000FE060000}"/>
    <cellStyle name="Moneda [0] 2 2 2" xfId="2450" xr:uid="{6360679B-2DE6-460F-A930-F372B767A8A0}"/>
    <cellStyle name="Moneda [0] 2 3" xfId="2431" xr:uid="{00000000-0005-0000-0000-0000FF060000}"/>
    <cellStyle name="Moneda [0] 2 3 2" xfId="2452" xr:uid="{FB160300-A9CF-4E52-8CA4-C20EEB84F5EA}"/>
    <cellStyle name="Moneda [0] 2 4" xfId="2449" xr:uid="{066641BC-4BD5-4252-A758-B28C1AFE8C84}"/>
    <cellStyle name="Moneda [0] 3" xfId="2368" xr:uid="{00000000-0005-0000-0000-000000070000}"/>
    <cellStyle name="Moneda [0] 4" xfId="2430" xr:uid="{00000000-0005-0000-0000-000001070000}"/>
    <cellStyle name="Moneda 10" xfId="2387" xr:uid="{00000000-0005-0000-0000-000002070000}"/>
    <cellStyle name="Moneda 11" xfId="2429" xr:uid="{00000000-0005-0000-0000-000003070000}"/>
    <cellStyle name="Moneda 12" xfId="2445" xr:uid="{00000000-0005-0000-0000-000004070000}"/>
    <cellStyle name="Moneda 2" xfId="43" xr:uid="{00000000-0005-0000-0000-000005070000}"/>
    <cellStyle name="Moneda 2 2" xfId="1237" xr:uid="{00000000-0005-0000-0000-000006070000}"/>
    <cellStyle name="Moneda 2 2 2" xfId="2325" xr:uid="{00000000-0005-0000-0000-000007070000}"/>
    <cellStyle name="Moneda 3" xfId="94" xr:uid="{00000000-0005-0000-0000-000008070000}"/>
    <cellStyle name="Moneda 3 2" xfId="339" xr:uid="{00000000-0005-0000-0000-000009070000}"/>
    <cellStyle name="Moneda 3 2 2" xfId="673" xr:uid="{00000000-0005-0000-0000-00000A070000}"/>
    <cellStyle name="Moneda 3 2 2 2" xfId="1215" xr:uid="{00000000-0005-0000-0000-00000B070000}"/>
    <cellStyle name="Moneda 3 2 2 2 2" xfId="2306" xr:uid="{00000000-0005-0000-0000-00000C070000}"/>
    <cellStyle name="Moneda 3 2 2 3" xfId="1764" xr:uid="{00000000-0005-0000-0000-00000D070000}"/>
    <cellStyle name="Moneda 3 2 3" xfId="944" xr:uid="{00000000-0005-0000-0000-00000E070000}"/>
    <cellStyle name="Moneda 3 2 3 2" xfId="2035" xr:uid="{00000000-0005-0000-0000-00000F070000}"/>
    <cellStyle name="Moneda 3 2 4" xfId="1493" xr:uid="{00000000-0005-0000-0000-000010070000}"/>
    <cellStyle name="Moneda 3 3" xfId="482" xr:uid="{00000000-0005-0000-0000-000011070000}"/>
    <cellStyle name="Moneda 3 3 2" xfId="1025" xr:uid="{00000000-0005-0000-0000-000012070000}"/>
    <cellStyle name="Moneda 3 3 2 2" xfId="2116" xr:uid="{00000000-0005-0000-0000-000013070000}"/>
    <cellStyle name="Moneda 3 3 3" xfId="1574" xr:uid="{00000000-0005-0000-0000-000014070000}"/>
    <cellStyle name="Moneda 3 4" xfId="754" xr:uid="{00000000-0005-0000-0000-000015070000}"/>
    <cellStyle name="Moneda 3 4 2" xfId="1845" xr:uid="{00000000-0005-0000-0000-000016070000}"/>
    <cellStyle name="Moneda 3 5" xfId="1303" xr:uid="{00000000-0005-0000-0000-000017070000}"/>
    <cellStyle name="Moneda 3 6" xfId="2370" xr:uid="{00000000-0005-0000-0000-000018070000}"/>
    <cellStyle name="Moneda 3 7" xfId="2432" xr:uid="{00000000-0005-0000-0000-000019070000}"/>
    <cellStyle name="Moneda 4" xfId="97" xr:uid="{00000000-0005-0000-0000-00001A070000}"/>
    <cellStyle name="Moneda 4 2" xfId="105" xr:uid="{00000000-0005-0000-0000-00001B070000}"/>
    <cellStyle name="Moneda 4 3" xfId="381" xr:uid="{00000000-0005-0000-0000-00001C070000}"/>
    <cellStyle name="Moneda 4 3 2" xfId="401" xr:uid="{00000000-0005-0000-0000-00001D070000}"/>
    <cellStyle name="Moneda 4 3 3" xfId="392" xr:uid="{00000000-0005-0000-0000-00001E070000}"/>
    <cellStyle name="Moneda 4 3 3 2" xfId="412" xr:uid="{00000000-0005-0000-0000-00001F070000}"/>
    <cellStyle name="Moneda 4 4" xfId="2371" xr:uid="{00000000-0005-0000-0000-000020070000}"/>
    <cellStyle name="Moneda 4 4 2" xfId="2451" xr:uid="{6BDE8C7B-91A5-4115-99FD-6FD0BBB2AC93}"/>
    <cellStyle name="Moneda 4 5" xfId="2433" xr:uid="{00000000-0005-0000-0000-000021070000}"/>
    <cellStyle name="Moneda 4 5 2" xfId="2453" xr:uid="{F79690E3-CF52-43E3-82F2-5DFEC895BECF}"/>
    <cellStyle name="Moneda 5" xfId="1236" xr:uid="{00000000-0005-0000-0000-000022070000}"/>
    <cellStyle name="Moneda 6" xfId="1240" xr:uid="{00000000-0005-0000-0000-000023070000}"/>
    <cellStyle name="Moneda 7" xfId="2367" xr:uid="{00000000-0005-0000-0000-000024070000}"/>
    <cellStyle name="Moneda 8" xfId="2386" xr:uid="{00000000-0005-0000-0000-000025070000}"/>
    <cellStyle name="Moneda 9" xfId="2390" xr:uid="{00000000-0005-0000-0000-000026070000}"/>
    <cellStyle name="Neutral" xfId="8" builtinId="28" customBuiltin="1"/>
    <cellStyle name="Normal" xfId="0" builtinId="0"/>
    <cellStyle name="Normal 10" xfId="173" xr:uid="{00000000-0005-0000-0000-000029070000}"/>
    <cellStyle name="Normal 10 2" xfId="549" xr:uid="{00000000-0005-0000-0000-00002A070000}"/>
    <cellStyle name="Normal 10 2 2" xfId="1091" xr:uid="{00000000-0005-0000-0000-00002B070000}"/>
    <cellStyle name="Normal 10 2 2 2" xfId="2182" xr:uid="{00000000-0005-0000-0000-00002C070000}"/>
    <cellStyle name="Normal 10 2 3" xfId="1640" xr:uid="{00000000-0005-0000-0000-00002D070000}"/>
    <cellStyle name="Normal 10 3" xfId="820" xr:uid="{00000000-0005-0000-0000-00002E070000}"/>
    <cellStyle name="Normal 10 3 2" xfId="1911" xr:uid="{00000000-0005-0000-0000-00002F070000}"/>
    <cellStyle name="Normal 10 4" xfId="1369" xr:uid="{00000000-0005-0000-0000-000030070000}"/>
    <cellStyle name="Normal 11" xfId="340" xr:uid="{00000000-0005-0000-0000-000031070000}"/>
    <cellStyle name="Normal 11 2" xfId="674" xr:uid="{00000000-0005-0000-0000-000032070000}"/>
    <cellStyle name="Normal 11 2 2" xfId="1216" xr:uid="{00000000-0005-0000-0000-000033070000}"/>
    <cellStyle name="Normal 11 2 2 2" xfId="2307" xr:uid="{00000000-0005-0000-0000-000034070000}"/>
    <cellStyle name="Normal 11 2 3" xfId="1765" xr:uid="{00000000-0005-0000-0000-000035070000}"/>
    <cellStyle name="Normal 11 3" xfId="945" xr:uid="{00000000-0005-0000-0000-000036070000}"/>
    <cellStyle name="Normal 11 3 2" xfId="2036" xr:uid="{00000000-0005-0000-0000-000037070000}"/>
    <cellStyle name="Normal 11 4" xfId="1494" xr:uid="{00000000-0005-0000-0000-000038070000}"/>
    <cellStyle name="Normal 12" xfId="341" xr:uid="{00000000-0005-0000-0000-000039070000}"/>
    <cellStyle name="Normal 12 2" xfId="675" xr:uid="{00000000-0005-0000-0000-00003A070000}"/>
    <cellStyle name="Normal 12 2 2" xfId="1217" xr:uid="{00000000-0005-0000-0000-00003B070000}"/>
    <cellStyle name="Normal 12 2 2 2" xfId="2308" xr:uid="{00000000-0005-0000-0000-00003C070000}"/>
    <cellStyle name="Normal 12 2 3" xfId="1766" xr:uid="{00000000-0005-0000-0000-00003D070000}"/>
    <cellStyle name="Normal 12 3" xfId="946" xr:uid="{00000000-0005-0000-0000-00003E070000}"/>
    <cellStyle name="Normal 12 3 2" xfId="2037" xr:uid="{00000000-0005-0000-0000-00003F070000}"/>
    <cellStyle name="Normal 12 4" xfId="1495" xr:uid="{00000000-0005-0000-0000-000040070000}"/>
    <cellStyle name="Normal 13" xfId="372" xr:uid="{00000000-0005-0000-0000-000041070000}"/>
    <cellStyle name="Normal 14" xfId="375" xr:uid="{00000000-0005-0000-0000-000042070000}"/>
    <cellStyle name="Normal 14 2" xfId="388" xr:uid="{00000000-0005-0000-0000-000043070000}"/>
    <cellStyle name="Normal 15" xfId="420" xr:uid="{00000000-0005-0000-0000-000044070000}"/>
    <cellStyle name="Normal 15 2" xfId="963" xr:uid="{00000000-0005-0000-0000-000045070000}"/>
    <cellStyle name="Normal 15 2 2" xfId="2054" xr:uid="{00000000-0005-0000-0000-000046070000}"/>
    <cellStyle name="Normal 15 3" xfId="1512" xr:uid="{00000000-0005-0000-0000-000047070000}"/>
    <cellStyle name="Normal 16" xfId="692" xr:uid="{00000000-0005-0000-0000-000048070000}"/>
    <cellStyle name="Normal 16 2" xfId="1783" xr:uid="{00000000-0005-0000-0000-000049070000}"/>
    <cellStyle name="Normal 17" xfId="1241" xr:uid="{00000000-0005-0000-0000-00004A070000}"/>
    <cellStyle name="Normal 18" xfId="2327" xr:uid="{00000000-0005-0000-0000-00004B070000}"/>
    <cellStyle name="Normal 19" xfId="2328" xr:uid="{00000000-0005-0000-0000-00004C070000}"/>
    <cellStyle name="Normal 2" xfId="44" xr:uid="{00000000-0005-0000-0000-00004D070000}"/>
    <cellStyle name="Normal 2 10" xfId="706" xr:uid="{00000000-0005-0000-0000-00004E070000}"/>
    <cellStyle name="Normal 2 10 2" xfId="1797" xr:uid="{00000000-0005-0000-0000-00004F070000}"/>
    <cellStyle name="Normal 2 11" xfId="1238" xr:uid="{00000000-0005-0000-0000-000050070000}"/>
    <cellStyle name="Normal 2 12" xfId="1255" xr:uid="{00000000-0005-0000-0000-000051070000}"/>
    <cellStyle name="Normal 2 13" xfId="2326" xr:uid="{00000000-0005-0000-0000-000052070000}"/>
    <cellStyle name="Normal 2 13 2" xfId="2372" xr:uid="{00000000-0005-0000-0000-000053070000}"/>
    <cellStyle name="Normal 2 14" xfId="2434" xr:uid="{00000000-0005-0000-0000-000054070000}"/>
    <cellStyle name="Normal 2 2" xfId="61" xr:uid="{00000000-0005-0000-0000-000055070000}"/>
    <cellStyle name="Normal 2 2 2" xfId="140" xr:uid="{00000000-0005-0000-0000-000056070000}"/>
    <cellStyle name="Normal 2 2 2 2" xfId="516" xr:uid="{00000000-0005-0000-0000-000057070000}"/>
    <cellStyle name="Normal 2 2 2 2 2" xfId="1058" xr:uid="{00000000-0005-0000-0000-000058070000}"/>
    <cellStyle name="Normal 2 2 2 2 2 2" xfId="2149" xr:uid="{00000000-0005-0000-0000-000059070000}"/>
    <cellStyle name="Normal 2 2 2 2 3" xfId="1607" xr:uid="{00000000-0005-0000-0000-00005A070000}"/>
    <cellStyle name="Normal 2 2 2 3" xfId="787" xr:uid="{00000000-0005-0000-0000-00005B070000}"/>
    <cellStyle name="Normal 2 2 2 3 2" xfId="1878" xr:uid="{00000000-0005-0000-0000-00005C070000}"/>
    <cellStyle name="Normal 2 2 2 4" xfId="1336" xr:uid="{00000000-0005-0000-0000-00005D070000}"/>
    <cellStyle name="Normal 2 2 3" xfId="204" xr:uid="{00000000-0005-0000-0000-00005E070000}"/>
    <cellStyle name="Normal 2 2 3 2" xfId="579" xr:uid="{00000000-0005-0000-0000-00005F070000}"/>
    <cellStyle name="Normal 2 2 3 2 2" xfId="1121" xr:uid="{00000000-0005-0000-0000-000060070000}"/>
    <cellStyle name="Normal 2 2 3 2 2 2" xfId="2212" xr:uid="{00000000-0005-0000-0000-000061070000}"/>
    <cellStyle name="Normal 2 2 3 2 3" xfId="1670" xr:uid="{00000000-0005-0000-0000-000062070000}"/>
    <cellStyle name="Normal 2 2 3 3" xfId="850" xr:uid="{00000000-0005-0000-0000-000063070000}"/>
    <cellStyle name="Normal 2 2 3 3 2" xfId="1941" xr:uid="{00000000-0005-0000-0000-000064070000}"/>
    <cellStyle name="Normal 2 2 3 4" xfId="1399" xr:uid="{00000000-0005-0000-0000-000065070000}"/>
    <cellStyle name="Normal 2 2 4" xfId="342" xr:uid="{00000000-0005-0000-0000-000066070000}"/>
    <cellStyle name="Normal 2 2 4 2" xfId="676" xr:uid="{00000000-0005-0000-0000-000067070000}"/>
    <cellStyle name="Normal 2 2 4 2 2" xfId="1218" xr:uid="{00000000-0005-0000-0000-000068070000}"/>
    <cellStyle name="Normal 2 2 4 2 2 2" xfId="2309" xr:uid="{00000000-0005-0000-0000-000069070000}"/>
    <cellStyle name="Normal 2 2 4 2 3" xfId="1767" xr:uid="{00000000-0005-0000-0000-00006A070000}"/>
    <cellStyle name="Normal 2 2 4 3" xfId="947" xr:uid="{00000000-0005-0000-0000-00006B070000}"/>
    <cellStyle name="Normal 2 2 4 3 2" xfId="2038" xr:uid="{00000000-0005-0000-0000-00006C070000}"/>
    <cellStyle name="Normal 2 2 4 4" xfId="1496" xr:uid="{00000000-0005-0000-0000-00006D070000}"/>
    <cellStyle name="Normal 2 2 5" xfId="450" xr:uid="{00000000-0005-0000-0000-00006E070000}"/>
    <cellStyle name="Normal 2 2 5 2" xfId="993" xr:uid="{00000000-0005-0000-0000-00006F070000}"/>
    <cellStyle name="Normal 2 2 5 2 2" xfId="2084" xr:uid="{00000000-0005-0000-0000-000070070000}"/>
    <cellStyle name="Normal 2 2 5 3" xfId="1542" xr:uid="{00000000-0005-0000-0000-000071070000}"/>
    <cellStyle name="Normal 2 2 6" xfId="722" xr:uid="{00000000-0005-0000-0000-000072070000}"/>
    <cellStyle name="Normal 2 2 6 2" xfId="1813" xr:uid="{00000000-0005-0000-0000-000073070000}"/>
    <cellStyle name="Normal 2 2 7" xfId="1271" xr:uid="{00000000-0005-0000-0000-000074070000}"/>
    <cellStyle name="Normal 2 2 8" xfId="2373" xr:uid="{00000000-0005-0000-0000-000075070000}"/>
    <cellStyle name="Normal 2 2 9" xfId="2435" xr:uid="{00000000-0005-0000-0000-000076070000}"/>
    <cellStyle name="Normal 2 2_Cuadro Talleres" xfId="343" xr:uid="{00000000-0005-0000-0000-000077070000}"/>
    <cellStyle name="Normal 2 3" xfId="77" xr:uid="{00000000-0005-0000-0000-000078070000}"/>
    <cellStyle name="Normal 2 3 2" xfId="156" xr:uid="{00000000-0005-0000-0000-000079070000}"/>
    <cellStyle name="Normal 2 3 2 2" xfId="532" xr:uid="{00000000-0005-0000-0000-00007A070000}"/>
    <cellStyle name="Normal 2 3 2 2 2" xfId="1074" xr:uid="{00000000-0005-0000-0000-00007B070000}"/>
    <cellStyle name="Normal 2 3 2 2 2 2" xfId="2165" xr:uid="{00000000-0005-0000-0000-00007C070000}"/>
    <cellStyle name="Normal 2 3 2 2 3" xfId="1623" xr:uid="{00000000-0005-0000-0000-00007D070000}"/>
    <cellStyle name="Normal 2 3 2 3" xfId="803" xr:uid="{00000000-0005-0000-0000-00007E070000}"/>
    <cellStyle name="Normal 2 3 2 3 2" xfId="1894" xr:uid="{00000000-0005-0000-0000-00007F070000}"/>
    <cellStyle name="Normal 2 3 2 4" xfId="1352" xr:uid="{00000000-0005-0000-0000-000080070000}"/>
    <cellStyle name="Normal 2 3 3" xfId="220" xr:uid="{00000000-0005-0000-0000-000081070000}"/>
    <cellStyle name="Normal 2 3 3 2" xfId="595" xr:uid="{00000000-0005-0000-0000-000082070000}"/>
    <cellStyle name="Normal 2 3 3 2 2" xfId="1137" xr:uid="{00000000-0005-0000-0000-000083070000}"/>
    <cellStyle name="Normal 2 3 3 2 2 2" xfId="2228" xr:uid="{00000000-0005-0000-0000-000084070000}"/>
    <cellStyle name="Normal 2 3 3 2 3" xfId="1686" xr:uid="{00000000-0005-0000-0000-000085070000}"/>
    <cellStyle name="Normal 2 3 3 3" xfId="866" xr:uid="{00000000-0005-0000-0000-000086070000}"/>
    <cellStyle name="Normal 2 3 3 3 2" xfId="1957" xr:uid="{00000000-0005-0000-0000-000087070000}"/>
    <cellStyle name="Normal 2 3 3 4" xfId="1415" xr:uid="{00000000-0005-0000-0000-000088070000}"/>
    <cellStyle name="Normal 2 3 4" xfId="344" xr:uid="{00000000-0005-0000-0000-000089070000}"/>
    <cellStyle name="Normal 2 3 4 2" xfId="677" xr:uid="{00000000-0005-0000-0000-00008A070000}"/>
    <cellStyle name="Normal 2 3 4 2 2" xfId="1219" xr:uid="{00000000-0005-0000-0000-00008B070000}"/>
    <cellStyle name="Normal 2 3 4 2 2 2" xfId="2310" xr:uid="{00000000-0005-0000-0000-00008C070000}"/>
    <cellStyle name="Normal 2 3 4 2 3" xfId="1768" xr:uid="{00000000-0005-0000-0000-00008D070000}"/>
    <cellStyle name="Normal 2 3 4 3" xfId="948" xr:uid="{00000000-0005-0000-0000-00008E070000}"/>
    <cellStyle name="Normal 2 3 4 3 2" xfId="2039" xr:uid="{00000000-0005-0000-0000-00008F070000}"/>
    <cellStyle name="Normal 2 3 4 4" xfId="1497" xr:uid="{00000000-0005-0000-0000-000090070000}"/>
    <cellStyle name="Normal 2 3 5" xfId="466" xr:uid="{00000000-0005-0000-0000-000091070000}"/>
    <cellStyle name="Normal 2 3 5 2" xfId="1009" xr:uid="{00000000-0005-0000-0000-000092070000}"/>
    <cellStyle name="Normal 2 3 5 2 2" xfId="2100" xr:uid="{00000000-0005-0000-0000-000093070000}"/>
    <cellStyle name="Normal 2 3 5 3" xfId="1558" xr:uid="{00000000-0005-0000-0000-000094070000}"/>
    <cellStyle name="Normal 2 3 6" xfId="738" xr:uid="{00000000-0005-0000-0000-000095070000}"/>
    <cellStyle name="Normal 2 3 6 2" xfId="1829" xr:uid="{00000000-0005-0000-0000-000096070000}"/>
    <cellStyle name="Normal 2 3 7" xfId="1287" xr:uid="{00000000-0005-0000-0000-000097070000}"/>
    <cellStyle name="Normal 2 3 8" xfId="2374" xr:uid="{00000000-0005-0000-0000-000098070000}"/>
    <cellStyle name="Normal 2 3 9" xfId="2436" xr:uid="{00000000-0005-0000-0000-000099070000}"/>
    <cellStyle name="Normal 2 3_Cuadro Talleres" xfId="345" xr:uid="{00000000-0005-0000-0000-00009A070000}"/>
    <cellStyle name="Normal 2 4" xfId="103" xr:uid="{00000000-0005-0000-0000-00009B070000}"/>
    <cellStyle name="Normal 2 4 2" xfId="239" xr:uid="{00000000-0005-0000-0000-00009C070000}"/>
    <cellStyle name="Normal 2 4 2 2" xfId="612" xr:uid="{00000000-0005-0000-0000-00009D070000}"/>
    <cellStyle name="Normal 2 4 2 2 2" xfId="1154" xr:uid="{00000000-0005-0000-0000-00009E070000}"/>
    <cellStyle name="Normal 2 4 2 2 2 2" xfId="2245" xr:uid="{00000000-0005-0000-0000-00009F070000}"/>
    <cellStyle name="Normal 2 4 2 2 3" xfId="1703" xr:uid="{00000000-0005-0000-0000-0000A0070000}"/>
    <cellStyle name="Normal 2 4 2 3" xfId="883" xr:uid="{00000000-0005-0000-0000-0000A1070000}"/>
    <cellStyle name="Normal 2 4 2 3 2" xfId="1974" xr:uid="{00000000-0005-0000-0000-0000A2070000}"/>
    <cellStyle name="Normal 2 4 2 4" xfId="1432" xr:uid="{00000000-0005-0000-0000-0000A3070000}"/>
    <cellStyle name="Normal 2 4 3" xfId="346" xr:uid="{00000000-0005-0000-0000-0000A4070000}"/>
    <cellStyle name="Normal 2 4 3 2" xfId="678" xr:uid="{00000000-0005-0000-0000-0000A5070000}"/>
    <cellStyle name="Normal 2 4 3 2 2" xfId="1220" xr:uid="{00000000-0005-0000-0000-0000A6070000}"/>
    <cellStyle name="Normal 2 4 3 2 2 2" xfId="2311" xr:uid="{00000000-0005-0000-0000-0000A7070000}"/>
    <cellStyle name="Normal 2 4 3 2 3" xfId="1769" xr:uid="{00000000-0005-0000-0000-0000A8070000}"/>
    <cellStyle name="Normal 2 4 3 3" xfId="949" xr:uid="{00000000-0005-0000-0000-0000A9070000}"/>
    <cellStyle name="Normal 2 4 3 3 2" xfId="2040" xr:uid="{00000000-0005-0000-0000-0000AA070000}"/>
    <cellStyle name="Normal 2 4 3 4" xfId="1498" xr:uid="{00000000-0005-0000-0000-0000AB070000}"/>
    <cellStyle name="Normal 2 4 4" xfId="484" xr:uid="{00000000-0005-0000-0000-0000AC070000}"/>
    <cellStyle name="Normal 2 4 4 2" xfId="1027" xr:uid="{00000000-0005-0000-0000-0000AD070000}"/>
    <cellStyle name="Normal 2 4 4 2 2" xfId="2118" xr:uid="{00000000-0005-0000-0000-0000AE070000}"/>
    <cellStyle name="Normal 2 4 4 3" xfId="1576" xr:uid="{00000000-0005-0000-0000-0000AF070000}"/>
    <cellStyle name="Normal 2 4 5" xfId="756" xr:uid="{00000000-0005-0000-0000-0000B0070000}"/>
    <cellStyle name="Normal 2 4 5 2" xfId="1847" xr:uid="{00000000-0005-0000-0000-0000B1070000}"/>
    <cellStyle name="Normal 2 4 6" xfId="1305" xr:uid="{00000000-0005-0000-0000-0000B2070000}"/>
    <cellStyle name="Normal 2 4_Cuadro Talleres" xfId="347" xr:uid="{00000000-0005-0000-0000-0000B3070000}"/>
    <cellStyle name="Normal 2 5" xfId="102" xr:uid="{00000000-0005-0000-0000-0000B4070000}"/>
    <cellStyle name="Normal 2 6" xfId="106" xr:uid="{00000000-0005-0000-0000-0000B5070000}"/>
    <cellStyle name="Normal 2 6 2" xfId="241" xr:uid="{00000000-0005-0000-0000-0000B6070000}"/>
    <cellStyle name="Normal 2 6 3" xfId="382" xr:uid="{00000000-0005-0000-0000-0000B7070000}"/>
    <cellStyle name="Normal 2 6 3 2" xfId="402" xr:uid="{00000000-0005-0000-0000-0000B8070000}"/>
    <cellStyle name="Normal 2 6 3 3" xfId="393" xr:uid="{00000000-0005-0000-0000-0000B9070000}"/>
    <cellStyle name="Normal 2 6 3 3 2" xfId="413" xr:uid="{00000000-0005-0000-0000-0000BA070000}"/>
    <cellStyle name="Normal 2 6_CORTADO COLE 1000" xfId="366" xr:uid="{00000000-0005-0000-0000-0000BB070000}"/>
    <cellStyle name="Normal 2 7" xfId="187" xr:uid="{00000000-0005-0000-0000-0000BC070000}"/>
    <cellStyle name="Normal 2 7 2" xfId="563" xr:uid="{00000000-0005-0000-0000-0000BD070000}"/>
    <cellStyle name="Normal 2 7 2 2" xfId="1105" xr:uid="{00000000-0005-0000-0000-0000BE070000}"/>
    <cellStyle name="Normal 2 7 2 2 2" xfId="2196" xr:uid="{00000000-0005-0000-0000-0000BF070000}"/>
    <cellStyle name="Normal 2 7 2 3" xfId="1654" xr:uid="{00000000-0005-0000-0000-0000C0070000}"/>
    <cellStyle name="Normal 2 7 3" xfId="834" xr:uid="{00000000-0005-0000-0000-0000C1070000}"/>
    <cellStyle name="Normal 2 7 3 2" xfId="1925" xr:uid="{00000000-0005-0000-0000-0000C2070000}"/>
    <cellStyle name="Normal 2 7 4" xfId="1383" xr:uid="{00000000-0005-0000-0000-0000C3070000}"/>
    <cellStyle name="Normal 2 8" xfId="348" xr:uid="{00000000-0005-0000-0000-0000C4070000}"/>
    <cellStyle name="Normal 2 8 2" xfId="679" xr:uid="{00000000-0005-0000-0000-0000C5070000}"/>
    <cellStyle name="Normal 2 8 2 2" xfId="1221" xr:uid="{00000000-0005-0000-0000-0000C6070000}"/>
    <cellStyle name="Normal 2 8 2 2 2" xfId="2312" xr:uid="{00000000-0005-0000-0000-0000C7070000}"/>
    <cellStyle name="Normal 2 8 2 3" xfId="1770" xr:uid="{00000000-0005-0000-0000-0000C8070000}"/>
    <cellStyle name="Normal 2 8 3" xfId="950" xr:uid="{00000000-0005-0000-0000-0000C9070000}"/>
    <cellStyle name="Normal 2 8 3 2" xfId="2041" xr:uid="{00000000-0005-0000-0000-0000CA070000}"/>
    <cellStyle name="Normal 2 8 4" xfId="1499" xr:uid="{00000000-0005-0000-0000-0000CB070000}"/>
    <cellStyle name="Normal 2 9" xfId="434" xr:uid="{00000000-0005-0000-0000-0000CC070000}"/>
    <cellStyle name="Normal 2 9 2" xfId="977" xr:uid="{00000000-0005-0000-0000-0000CD070000}"/>
    <cellStyle name="Normal 2 9 2 2" xfId="2068" xr:uid="{00000000-0005-0000-0000-0000CE070000}"/>
    <cellStyle name="Normal 2 9 3" xfId="1526" xr:uid="{00000000-0005-0000-0000-0000CF070000}"/>
    <cellStyle name="Normal 2_Cuadro Talleres" xfId="349" xr:uid="{00000000-0005-0000-0000-0000D0070000}"/>
    <cellStyle name="Normal 20" xfId="2391" xr:uid="{00000000-0005-0000-0000-0000D1070000}"/>
    <cellStyle name="Normal 21" xfId="2446" xr:uid="{00000000-0005-0000-0000-0000D2070000}"/>
    <cellStyle name="Normal 3" xfId="42" xr:uid="{00000000-0005-0000-0000-0000D3070000}"/>
    <cellStyle name="Normal 3 2" xfId="139" xr:uid="{00000000-0005-0000-0000-0000D4070000}"/>
    <cellStyle name="Normal 3 3" xfId="123" xr:uid="{00000000-0005-0000-0000-0000D5070000}"/>
    <cellStyle name="Normal 3 3 2" xfId="376" xr:uid="{00000000-0005-0000-0000-0000D6070000}"/>
    <cellStyle name="Normal 3 3 2 2" xfId="389" xr:uid="{00000000-0005-0000-0000-0000D7070000}"/>
    <cellStyle name="Normal 3 3 3" xfId="500" xr:uid="{00000000-0005-0000-0000-0000D8070000}"/>
    <cellStyle name="Normal 4" xfId="47" xr:uid="{00000000-0005-0000-0000-0000D9070000}"/>
    <cellStyle name="Normal 4 10" xfId="2437" xr:uid="{00000000-0005-0000-0000-0000DA070000}"/>
    <cellStyle name="Normal 4 2" xfId="125" xr:uid="{00000000-0005-0000-0000-0000DB070000}"/>
    <cellStyle name="Normal 4 2 2" xfId="502" xr:uid="{00000000-0005-0000-0000-0000DC070000}"/>
    <cellStyle name="Normal 4 2 2 2" xfId="1044" xr:uid="{00000000-0005-0000-0000-0000DD070000}"/>
    <cellStyle name="Normal 4 2 2 2 2" xfId="2135" xr:uid="{00000000-0005-0000-0000-0000DE070000}"/>
    <cellStyle name="Normal 4 2 2 3" xfId="1593" xr:uid="{00000000-0005-0000-0000-0000DF070000}"/>
    <cellStyle name="Normal 4 2 3" xfId="773" xr:uid="{00000000-0005-0000-0000-0000E0070000}"/>
    <cellStyle name="Normal 4 2 3 2" xfId="1864" xr:uid="{00000000-0005-0000-0000-0000E1070000}"/>
    <cellStyle name="Normal 4 2 4" xfId="1322" xr:uid="{00000000-0005-0000-0000-0000E2070000}"/>
    <cellStyle name="Normal 4 3" xfId="190" xr:uid="{00000000-0005-0000-0000-0000E3070000}"/>
    <cellStyle name="Normal 4 3 2" xfId="565" xr:uid="{00000000-0005-0000-0000-0000E4070000}"/>
    <cellStyle name="Normal 4 3 2 2" xfId="1107" xr:uid="{00000000-0005-0000-0000-0000E5070000}"/>
    <cellStyle name="Normal 4 3 2 2 2" xfId="2198" xr:uid="{00000000-0005-0000-0000-0000E6070000}"/>
    <cellStyle name="Normal 4 3 2 3" xfId="1656" xr:uid="{00000000-0005-0000-0000-0000E7070000}"/>
    <cellStyle name="Normal 4 3 3" xfId="836" xr:uid="{00000000-0005-0000-0000-0000E8070000}"/>
    <cellStyle name="Normal 4 3 3 2" xfId="1927" xr:uid="{00000000-0005-0000-0000-0000E9070000}"/>
    <cellStyle name="Normal 4 3 4" xfId="1385" xr:uid="{00000000-0005-0000-0000-0000EA070000}"/>
    <cellStyle name="Normal 4 4" xfId="350" xr:uid="{00000000-0005-0000-0000-0000EB070000}"/>
    <cellStyle name="Normal 4 4 2" xfId="680" xr:uid="{00000000-0005-0000-0000-0000EC070000}"/>
    <cellStyle name="Normal 4 4 2 2" xfId="1222" xr:uid="{00000000-0005-0000-0000-0000ED070000}"/>
    <cellStyle name="Normal 4 4 2 2 2" xfId="2313" xr:uid="{00000000-0005-0000-0000-0000EE070000}"/>
    <cellStyle name="Normal 4 4 2 3" xfId="1771" xr:uid="{00000000-0005-0000-0000-0000EF070000}"/>
    <cellStyle name="Normal 4 4 3" xfId="951" xr:uid="{00000000-0005-0000-0000-0000F0070000}"/>
    <cellStyle name="Normal 4 4 3 2" xfId="2042" xr:uid="{00000000-0005-0000-0000-0000F1070000}"/>
    <cellStyle name="Normal 4 4 4" xfId="1500" xr:uid="{00000000-0005-0000-0000-0000F2070000}"/>
    <cellStyle name="Normal 4 5" xfId="378" xr:uid="{00000000-0005-0000-0000-0000F3070000}"/>
    <cellStyle name="Normal 4 6" xfId="436" xr:uid="{00000000-0005-0000-0000-0000F4070000}"/>
    <cellStyle name="Normal 4 6 2" xfId="979" xr:uid="{00000000-0005-0000-0000-0000F5070000}"/>
    <cellStyle name="Normal 4 6 2 2" xfId="2070" xr:uid="{00000000-0005-0000-0000-0000F6070000}"/>
    <cellStyle name="Normal 4 6 3" xfId="1528" xr:uid="{00000000-0005-0000-0000-0000F7070000}"/>
    <cellStyle name="Normal 4 7" xfId="708" xr:uid="{00000000-0005-0000-0000-0000F8070000}"/>
    <cellStyle name="Normal 4 7 2" xfId="1799" xr:uid="{00000000-0005-0000-0000-0000F9070000}"/>
    <cellStyle name="Normal 4 8" xfId="1257" xr:uid="{00000000-0005-0000-0000-0000FA070000}"/>
    <cellStyle name="Normal 4 9" xfId="2375" xr:uid="{00000000-0005-0000-0000-0000FB070000}"/>
    <cellStyle name="Normal 4_Cuadro Talleres" xfId="351" xr:uid="{00000000-0005-0000-0000-0000FC070000}"/>
    <cellStyle name="Normal 5" xfId="63" xr:uid="{00000000-0005-0000-0000-0000FD070000}"/>
    <cellStyle name="Normal 5 2" xfId="142" xr:uid="{00000000-0005-0000-0000-0000FE070000}"/>
    <cellStyle name="Normal 5 2 2" xfId="518" xr:uid="{00000000-0005-0000-0000-0000FF070000}"/>
    <cellStyle name="Normal 5 2 2 2" xfId="1060" xr:uid="{00000000-0005-0000-0000-000000080000}"/>
    <cellStyle name="Normal 5 2 2 2 2" xfId="2151" xr:uid="{00000000-0005-0000-0000-000001080000}"/>
    <cellStyle name="Normal 5 2 2 3" xfId="1609" xr:uid="{00000000-0005-0000-0000-000002080000}"/>
    <cellStyle name="Normal 5 2 3" xfId="789" xr:uid="{00000000-0005-0000-0000-000003080000}"/>
    <cellStyle name="Normal 5 2 3 2" xfId="1880" xr:uid="{00000000-0005-0000-0000-000004080000}"/>
    <cellStyle name="Normal 5 2 4" xfId="1338" xr:uid="{00000000-0005-0000-0000-000005080000}"/>
    <cellStyle name="Normal 5 3" xfId="206" xr:uid="{00000000-0005-0000-0000-000006080000}"/>
    <cellStyle name="Normal 5 3 2" xfId="581" xr:uid="{00000000-0005-0000-0000-000007080000}"/>
    <cellStyle name="Normal 5 3 2 2" xfId="1123" xr:uid="{00000000-0005-0000-0000-000008080000}"/>
    <cellStyle name="Normal 5 3 2 2 2" xfId="2214" xr:uid="{00000000-0005-0000-0000-000009080000}"/>
    <cellStyle name="Normal 5 3 2 3" xfId="1672" xr:uid="{00000000-0005-0000-0000-00000A080000}"/>
    <cellStyle name="Normal 5 3 3" xfId="852" xr:uid="{00000000-0005-0000-0000-00000B080000}"/>
    <cellStyle name="Normal 5 3 3 2" xfId="1943" xr:uid="{00000000-0005-0000-0000-00000C080000}"/>
    <cellStyle name="Normal 5 3 4" xfId="1401" xr:uid="{00000000-0005-0000-0000-00000D080000}"/>
    <cellStyle name="Normal 5 4" xfId="352" xr:uid="{00000000-0005-0000-0000-00000E080000}"/>
    <cellStyle name="Normal 5 4 2" xfId="681" xr:uid="{00000000-0005-0000-0000-00000F080000}"/>
    <cellStyle name="Normal 5 4 2 2" xfId="1223" xr:uid="{00000000-0005-0000-0000-000010080000}"/>
    <cellStyle name="Normal 5 4 2 2 2" xfId="2314" xr:uid="{00000000-0005-0000-0000-000011080000}"/>
    <cellStyle name="Normal 5 4 2 3" xfId="1772" xr:uid="{00000000-0005-0000-0000-000012080000}"/>
    <cellStyle name="Normal 5 4 3" xfId="952" xr:uid="{00000000-0005-0000-0000-000013080000}"/>
    <cellStyle name="Normal 5 4 3 2" xfId="2043" xr:uid="{00000000-0005-0000-0000-000014080000}"/>
    <cellStyle name="Normal 5 4 4" xfId="1501" xr:uid="{00000000-0005-0000-0000-000015080000}"/>
    <cellStyle name="Normal 5 5" xfId="452" xr:uid="{00000000-0005-0000-0000-000016080000}"/>
    <cellStyle name="Normal 5 5 2" xfId="995" xr:uid="{00000000-0005-0000-0000-000017080000}"/>
    <cellStyle name="Normal 5 5 2 2" xfId="2086" xr:uid="{00000000-0005-0000-0000-000018080000}"/>
    <cellStyle name="Normal 5 5 3" xfId="1544" xr:uid="{00000000-0005-0000-0000-000019080000}"/>
    <cellStyle name="Normal 5 6" xfId="724" xr:uid="{00000000-0005-0000-0000-00001A080000}"/>
    <cellStyle name="Normal 5 6 2" xfId="1815" xr:uid="{00000000-0005-0000-0000-00001B080000}"/>
    <cellStyle name="Normal 5 7" xfId="1273" xr:uid="{00000000-0005-0000-0000-00001C080000}"/>
    <cellStyle name="Normal 5 8" xfId="2376" xr:uid="{00000000-0005-0000-0000-00001D080000}"/>
    <cellStyle name="Normal 5 9" xfId="2438" xr:uid="{00000000-0005-0000-0000-00001E080000}"/>
    <cellStyle name="Normal 5_Cuadro Talleres" xfId="353" xr:uid="{00000000-0005-0000-0000-00001F080000}"/>
    <cellStyle name="Normal 6" xfId="79" xr:uid="{00000000-0005-0000-0000-000020080000}"/>
    <cellStyle name="Normal 6 10" xfId="1289" xr:uid="{00000000-0005-0000-0000-000021080000}"/>
    <cellStyle name="Normal 6 11" xfId="2377" xr:uid="{00000000-0005-0000-0000-000022080000}"/>
    <cellStyle name="Normal 6 2" xfId="95" xr:uid="{00000000-0005-0000-0000-000023080000}"/>
    <cellStyle name="Normal 6 2 2" xfId="236" xr:uid="{00000000-0005-0000-0000-000024080000}"/>
    <cellStyle name="Normal 6 2 2 2" xfId="611" xr:uid="{00000000-0005-0000-0000-000025080000}"/>
    <cellStyle name="Normal 6 2 2 2 2" xfId="1153" xr:uid="{00000000-0005-0000-0000-000026080000}"/>
    <cellStyle name="Normal 6 2 2 2 2 2" xfId="2244" xr:uid="{00000000-0005-0000-0000-000027080000}"/>
    <cellStyle name="Normal 6 2 2 2 3" xfId="1702" xr:uid="{00000000-0005-0000-0000-000028080000}"/>
    <cellStyle name="Normal 6 2 2 3" xfId="882" xr:uid="{00000000-0005-0000-0000-000029080000}"/>
    <cellStyle name="Normal 6 2 2 3 2" xfId="1973" xr:uid="{00000000-0005-0000-0000-00002A080000}"/>
    <cellStyle name="Normal 6 2 2 4" xfId="1431" xr:uid="{00000000-0005-0000-0000-00002B080000}"/>
    <cellStyle name="Normal 6 2 3" xfId="354" xr:uid="{00000000-0005-0000-0000-00002C080000}"/>
    <cellStyle name="Normal 6 2 3 2" xfId="682" xr:uid="{00000000-0005-0000-0000-00002D080000}"/>
    <cellStyle name="Normal 6 2 3 2 2" xfId="1224" xr:uid="{00000000-0005-0000-0000-00002E080000}"/>
    <cellStyle name="Normal 6 2 3 2 2 2" xfId="2315" xr:uid="{00000000-0005-0000-0000-00002F080000}"/>
    <cellStyle name="Normal 6 2 3 2 3" xfId="1773" xr:uid="{00000000-0005-0000-0000-000030080000}"/>
    <cellStyle name="Normal 6 2 3 3" xfId="953" xr:uid="{00000000-0005-0000-0000-000031080000}"/>
    <cellStyle name="Normal 6 2 3 3 2" xfId="2044" xr:uid="{00000000-0005-0000-0000-000032080000}"/>
    <cellStyle name="Normal 6 2 3 4" xfId="1502" xr:uid="{00000000-0005-0000-0000-000033080000}"/>
    <cellStyle name="Normal 6 2 4" xfId="483" xr:uid="{00000000-0005-0000-0000-000034080000}"/>
    <cellStyle name="Normal 6 2 4 2" xfId="1026" xr:uid="{00000000-0005-0000-0000-000035080000}"/>
    <cellStyle name="Normal 6 2 4 2 2" xfId="2117" xr:uid="{00000000-0005-0000-0000-000036080000}"/>
    <cellStyle name="Normal 6 2 4 3" xfId="1575" xr:uid="{00000000-0005-0000-0000-000037080000}"/>
    <cellStyle name="Normal 6 2 5" xfId="755" xr:uid="{00000000-0005-0000-0000-000038080000}"/>
    <cellStyle name="Normal 6 2 5 2" xfId="1846" xr:uid="{00000000-0005-0000-0000-000039080000}"/>
    <cellStyle name="Normal 6 2 6" xfId="1304" xr:uid="{00000000-0005-0000-0000-00003A080000}"/>
    <cellStyle name="Normal 6 2 7" xfId="2378" xr:uid="{00000000-0005-0000-0000-00003B080000}"/>
    <cellStyle name="Normal 6 2_Cuadro Talleres" xfId="355" xr:uid="{00000000-0005-0000-0000-00003C080000}"/>
    <cellStyle name="Normal 6 3" xfId="93" xr:uid="{00000000-0005-0000-0000-00003D080000}"/>
    <cellStyle name="Normal 6 4" xfId="222" xr:uid="{00000000-0005-0000-0000-00003E080000}"/>
    <cellStyle name="Normal 6 4 2" xfId="597" xr:uid="{00000000-0005-0000-0000-00003F080000}"/>
    <cellStyle name="Normal 6 4 2 2" xfId="1139" xr:uid="{00000000-0005-0000-0000-000040080000}"/>
    <cellStyle name="Normal 6 4 2 2 2" xfId="2230" xr:uid="{00000000-0005-0000-0000-000041080000}"/>
    <cellStyle name="Normal 6 4 2 3" xfId="1688" xr:uid="{00000000-0005-0000-0000-000042080000}"/>
    <cellStyle name="Normal 6 4 3" xfId="868" xr:uid="{00000000-0005-0000-0000-000043080000}"/>
    <cellStyle name="Normal 6 4 3 2" xfId="1959" xr:uid="{00000000-0005-0000-0000-000044080000}"/>
    <cellStyle name="Normal 6 4 4" xfId="1417" xr:uid="{00000000-0005-0000-0000-000045080000}"/>
    <cellStyle name="Normal 6 5" xfId="242" xr:uid="{00000000-0005-0000-0000-000046080000}"/>
    <cellStyle name="Normal 6 5 2" xfId="371" xr:uid="{00000000-0005-0000-0000-000047080000}"/>
    <cellStyle name="Normal 6 5 3" xfId="373" xr:uid="{00000000-0005-0000-0000-000048080000}"/>
    <cellStyle name="Normal 6 5 3 2" xfId="691" xr:uid="{00000000-0005-0000-0000-000049080000}"/>
    <cellStyle name="Normal 6 5 3 2 2" xfId="1233" xr:uid="{00000000-0005-0000-0000-00004A080000}"/>
    <cellStyle name="Normal 6 5 3 2 2 2" xfId="2324" xr:uid="{00000000-0005-0000-0000-00004B080000}"/>
    <cellStyle name="Normal 6 5 3 2 3" xfId="1782" xr:uid="{00000000-0005-0000-0000-00004C080000}"/>
    <cellStyle name="Normal 6 5 3 3" xfId="962" xr:uid="{00000000-0005-0000-0000-00004D080000}"/>
    <cellStyle name="Normal 6 5 3 3 2" xfId="2053" xr:uid="{00000000-0005-0000-0000-00004E080000}"/>
    <cellStyle name="Normal 6 5 3 4" xfId="1511" xr:uid="{00000000-0005-0000-0000-00004F080000}"/>
    <cellStyle name="Normal 6 5 4" xfId="385" xr:uid="{00000000-0005-0000-0000-000050080000}"/>
    <cellStyle name="Normal 6 5 4 2" xfId="405" xr:uid="{00000000-0005-0000-0000-000051080000}"/>
    <cellStyle name="Normal 6 5 4 3" xfId="396" xr:uid="{00000000-0005-0000-0000-000052080000}"/>
    <cellStyle name="Normal 6 5 4 3 2" xfId="416" xr:uid="{00000000-0005-0000-0000-000053080000}"/>
    <cellStyle name="Normal 6 5_Corte Divas" xfId="374" xr:uid="{00000000-0005-0000-0000-000054080000}"/>
    <cellStyle name="Normal 6 6" xfId="370" xr:uid="{00000000-0005-0000-0000-000055080000}"/>
    <cellStyle name="Normal 6 7" xfId="409" xr:uid="{00000000-0005-0000-0000-000056080000}"/>
    <cellStyle name="Normal 6 7 2" xfId="419" xr:uid="{00000000-0005-0000-0000-000057080000}"/>
    <cellStyle name="Normal 6 8" xfId="468" xr:uid="{00000000-0005-0000-0000-000058080000}"/>
    <cellStyle name="Normal 6 8 2" xfId="1011" xr:uid="{00000000-0005-0000-0000-000059080000}"/>
    <cellStyle name="Normal 6 8 2 2" xfId="2102" xr:uid="{00000000-0005-0000-0000-00005A080000}"/>
    <cellStyle name="Normal 6 8 3" xfId="1560" xr:uid="{00000000-0005-0000-0000-00005B080000}"/>
    <cellStyle name="Normal 6 9" xfId="740" xr:uid="{00000000-0005-0000-0000-00005C080000}"/>
    <cellStyle name="Normal 6 9 2" xfId="1831" xr:uid="{00000000-0005-0000-0000-00005D080000}"/>
    <cellStyle name="Normal 6_Cuadro Talleres" xfId="356" xr:uid="{00000000-0005-0000-0000-00005E080000}"/>
    <cellStyle name="Normal 7" xfId="46" xr:uid="{00000000-0005-0000-0000-00005F080000}"/>
    <cellStyle name="Normal 7 10" xfId="387" xr:uid="{00000000-0005-0000-0000-000060080000}"/>
    <cellStyle name="Normal 7 10 2" xfId="407" xr:uid="{00000000-0005-0000-0000-000061080000}"/>
    <cellStyle name="Normal 7 10 3" xfId="398" xr:uid="{00000000-0005-0000-0000-000062080000}"/>
    <cellStyle name="Normal 7 10 3 2" xfId="418" xr:uid="{00000000-0005-0000-0000-000063080000}"/>
    <cellStyle name="Normal 7 2" xfId="104" xr:uid="{00000000-0005-0000-0000-000064080000}"/>
    <cellStyle name="Normal 7 2 2" xfId="240" xr:uid="{00000000-0005-0000-0000-000065080000}"/>
    <cellStyle name="Normal 7 2 3" xfId="171" xr:uid="{00000000-0005-0000-0000-000066080000}"/>
    <cellStyle name="Normal 7 2 3 2" xfId="547" xr:uid="{00000000-0005-0000-0000-000067080000}"/>
    <cellStyle name="Normal 7 2 3 2 2" xfId="1089" xr:uid="{00000000-0005-0000-0000-000068080000}"/>
    <cellStyle name="Normal 7 2 3 2 2 2" xfId="2180" xr:uid="{00000000-0005-0000-0000-000069080000}"/>
    <cellStyle name="Normal 7 2 3 2 3" xfId="1638" xr:uid="{00000000-0005-0000-0000-00006A080000}"/>
    <cellStyle name="Normal 7 2 3 3" xfId="818" xr:uid="{00000000-0005-0000-0000-00006B080000}"/>
    <cellStyle name="Normal 7 2 3 3 2" xfId="1909" xr:uid="{00000000-0005-0000-0000-00006C080000}"/>
    <cellStyle name="Normal 7 2 3 4" xfId="1367" xr:uid="{00000000-0005-0000-0000-00006D080000}"/>
    <cellStyle name="Normal 7 2_CORTADO COLE 1000" xfId="368" xr:uid="{00000000-0005-0000-0000-00006E080000}"/>
    <cellStyle name="Normal 7 3" xfId="189" xr:uid="{00000000-0005-0000-0000-00006F080000}"/>
    <cellStyle name="Normal 7 4" xfId="108" xr:uid="{00000000-0005-0000-0000-000070080000}"/>
    <cellStyle name="Normal 7 4 2" xfId="485" xr:uid="{00000000-0005-0000-0000-000071080000}"/>
    <cellStyle name="Normal 7 4 2 2" xfId="1028" xr:uid="{00000000-0005-0000-0000-000072080000}"/>
    <cellStyle name="Normal 7 4 2 2 2" xfId="2119" xr:uid="{00000000-0005-0000-0000-000073080000}"/>
    <cellStyle name="Normal 7 4 2 3" xfId="1577" xr:uid="{00000000-0005-0000-0000-000074080000}"/>
    <cellStyle name="Normal 7 4 3" xfId="757" xr:uid="{00000000-0005-0000-0000-000075080000}"/>
    <cellStyle name="Normal 7 4 3 2" xfId="1848" xr:uid="{00000000-0005-0000-0000-000076080000}"/>
    <cellStyle name="Normal 7 4 4" xfId="1306" xr:uid="{00000000-0005-0000-0000-000077080000}"/>
    <cellStyle name="Normal 7 5" xfId="379" xr:uid="{00000000-0005-0000-0000-000078080000}"/>
    <cellStyle name="Normal 7 5 2" xfId="399" xr:uid="{00000000-0005-0000-0000-000079080000}"/>
    <cellStyle name="Normal 7 5 3" xfId="390" xr:uid="{00000000-0005-0000-0000-00007A080000}"/>
    <cellStyle name="Normal 7 5 3 2" xfId="410" xr:uid="{00000000-0005-0000-0000-00007B080000}"/>
    <cellStyle name="Normal 7 6" xfId="384" xr:uid="{00000000-0005-0000-0000-00007C080000}"/>
    <cellStyle name="Normal 7 6 2" xfId="404" xr:uid="{00000000-0005-0000-0000-00007D080000}"/>
    <cellStyle name="Normal 7 6 3" xfId="395" xr:uid="{00000000-0005-0000-0000-00007E080000}"/>
    <cellStyle name="Normal 7 6 3 2" xfId="415" xr:uid="{00000000-0005-0000-0000-00007F080000}"/>
    <cellStyle name="Normal 7 7" xfId="383" xr:uid="{00000000-0005-0000-0000-000080080000}"/>
    <cellStyle name="Normal 7 7 2" xfId="403" xr:uid="{00000000-0005-0000-0000-000081080000}"/>
    <cellStyle name="Normal 7 7 3" xfId="394" xr:uid="{00000000-0005-0000-0000-000082080000}"/>
    <cellStyle name="Normal 7 7 3 2" xfId="414" xr:uid="{00000000-0005-0000-0000-000083080000}"/>
    <cellStyle name="Normal 7 8" xfId="386" xr:uid="{00000000-0005-0000-0000-000084080000}"/>
    <cellStyle name="Normal 7 8 2" xfId="406" xr:uid="{00000000-0005-0000-0000-000085080000}"/>
    <cellStyle name="Normal 7 8 3" xfId="397" xr:uid="{00000000-0005-0000-0000-000086080000}"/>
    <cellStyle name="Normal 7 8 3 2" xfId="417" xr:uid="{00000000-0005-0000-0000-000087080000}"/>
    <cellStyle name="Normal 7 9" xfId="380" xr:uid="{00000000-0005-0000-0000-000088080000}"/>
    <cellStyle name="Normal 7 9 2" xfId="400" xr:uid="{00000000-0005-0000-0000-000089080000}"/>
    <cellStyle name="Normal 7 9 3" xfId="391" xr:uid="{00000000-0005-0000-0000-00008A080000}"/>
    <cellStyle name="Normal 7 9 3 2" xfId="411" xr:uid="{00000000-0005-0000-0000-00008B080000}"/>
    <cellStyle name="Normal 7_CORTADO COLE 1000" xfId="367" xr:uid="{00000000-0005-0000-0000-00008C080000}"/>
    <cellStyle name="Normal 8" xfId="96" xr:uid="{00000000-0005-0000-0000-00008D080000}"/>
    <cellStyle name="Normal 8 2" xfId="237" xr:uid="{00000000-0005-0000-0000-00008E080000}"/>
    <cellStyle name="Normal 8 3" xfId="110" xr:uid="{00000000-0005-0000-0000-00008F080000}"/>
    <cellStyle name="Normal 8 3 2" xfId="487" xr:uid="{00000000-0005-0000-0000-000090080000}"/>
    <cellStyle name="Normal 8 3 2 2" xfId="1030" xr:uid="{00000000-0005-0000-0000-000091080000}"/>
    <cellStyle name="Normal 8 3 2 2 2" xfId="2121" xr:uid="{00000000-0005-0000-0000-000092080000}"/>
    <cellStyle name="Normal 8 3 2 3" xfId="1579" xr:uid="{00000000-0005-0000-0000-000093080000}"/>
    <cellStyle name="Normal 8 3 3" xfId="759" xr:uid="{00000000-0005-0000-0000-000094080000}"/>
    <cellStyle name="Normal 8 3 3 2" xfId="1850" xr:uid="{00000000-0005-0000-0000-000095080000}"/>
    <cellStyle name="Normal 8 3 4" xfId="1308" xr:uid="{00000000-0005-0000-0000-000096080000}"/>
    <cellStyle name="Normal 8_CORTADO COLE 1000" xfId="369" xr:uid="{00000000-0005-0000-0000-000097080000}"/>
    <cellStyle name="Normal 9" xfId="101" xr:uid="{00000000-0005-0000-0000-000098080000}"/>
    <cellStyle name="Notas" xfId="15" builtinId="10" customBuiltin="1"/>
    <cellStyle name="Notas 10" xfId="693" xr:uid="{00000000-0005-0000-0000-00009A080000}"/>
    <cellStyle name="Notas 10 2" xfId="1784" xr:uid="{00000000-0005-0000-0000-00009B080000}"/>
    <cellStyle name="Notas 11" xfId="1242" xr:uid="{00000000-0005-0000-0000-00009C080000}"/>
    <cellStyle name="Notas 2" xfId="45" xr:uid="{00000000-0005-0000-0000-00009D080000}"/>
    <cellStyle name="Notas 2 10" xfId="2379" xr:uid="{00000000-0005-0000-0000-00009E080000}"/>
    <cellStyle name="Notas 2 11" xfId="2439" xr:uid="{00000000-0005-0000-0000-00009F080000}"/>
    <cellStyle name="Notas 2 2" xfId="62" xr:uid="{00000000-0005-0000-0000-0000A0080000}"/>
    <cellStyle name="Notas 2 2 2" xfId="141" xr:uid="{00000000-0005-0000-0000-0000A1080000}"/>
    <cellStyle name="Notas 2 2 2 2" xfId="517" xr:uid="{00000000-0005-0000-0000-0000A2080000}"/>
    <cellStyle name="Notas 2 2 2 2 2" xfId="1059" xr:uid="{00000000-0005-0000-0000-0000A3080000}"/>
    <cellStyle name="Notas 2 2 2 2 2 2" xfId="2150" xr:uid="{00000000-0005-0000-0000-0000A4080000}"/>
    <cellStyle name="Notas 2 2 2 2 3" xfId="1608" xr:uid="{00000000-0005-0000-0000-0000A5080000}"/>
    <cellStyle name="Notas 2 2 2 3" xfId="788" xr:uid="{00000000-0005-0000-0000-0000A6080000}"/>
    <cellStyle name="Notas 2 2 2 3 2" xfId="1879" xr:uid="{00000000-0005-0000-0000-0000A7080000}"/>
    <cellStyle name="Notas 2 2 2 4" xfId="1337" xr:uid="{00000000-0005-0000-0000-0000A8080000}"/>
    <cellStyle name="Notas 2 2 3" xfId="205" xr:uid="{00000000-0005-0000-0000-0000A9080000}"/>
    <cellStyle name="Notas 2 2 3 2" xfId="580" xr:uid="{00000000-0005-0000-0000-0000AA080000}"/>
    <cellStyle name="Notas 2 2 3 2 2" xfId="1122" xr:uid="{00000000-0005-0000-0000-0000AB080000}"/>
    <cellStyle name="Notas 2 2 3 2 2 2" xfId="2213" xr:uid="{00000000-0005-0000-0000-0000AC080000}"/>
    <cellStyle name="Notas 2 2 3 2 3" xfId="1671" xr:uid="{00000000-0005-0000-0000-0000AD080000}"/>
    <cellStyle name="Notas 2 2 3 3" xfId="851" xr:uid="{00000000-0005-0000-0000-0000AE080000}"/>
    <cellStyle name="Notas 2 2 3 3 2" xfId="1942" xr:uid="{00000000-0005-0000-0000-0000AF080000}"/>
    <cellStyle name="Notas 2 2 3 4" xfId="1400" xr:uid="{00000000-0005-0000-0000-0000B0080000}"/>
    <cellStyle name="Notas 2 2 4" xfId="357" xr:uid="{00000000-0005-0000-0000-0000B1080000}"/>
    <cellStyle name="Notas 2 2 4 2" xfId="683" xr:uid="{00000000-0005-0000-0000-0000B2080000}"/>
    <cellStyle name="Notas 2 2 4 2 2" xfId="1225" xr:uid="{00000000-0005-0000-0000-0000B3080000}"/>
    <cellStyle name="Notas 2 2 4 2 2 2" xfId="2316" xr:uid="{00000000-0005-0000-0000-0000B4080000}"/>
    <cellStyle name="Notas 2 2 4 2 3" xfId="1774" xr:uid="{00000000-0005-0000-0000-0000B5080000}"/>
    <cellStyle name="Notas 2 2 4 3" xfId="954" xr:uid="{00000000-0005-0000-0000-0000B6080000}"/>
    <cellStyle name="Notas 2 2 4 3 2" xfId="2045" xr:uid="{00000000-0005-0000-0000-0000B7080000}"/>
    <cellStyle name="Notas 2 2 4 4" xfId="1503" xr:uid="{00000000-0005-0000-0000-0000B8080000}"/>
    <cellStyle name="Notas 2 2 5" xfId="451" xr:uid="{00000000-0005-0000-0000-0000B9080000}"/>
    <cellStyle name="Notas 2 2 5 2" xfId="994" xr:uid="{00000000-0005-0000-0000-0000BA080000}"/>
    <cellStyle name="Notas 2 2 5 2 2" xfId="2085" xr:uid="{00000000-0005-0000-0000-0000BB080000}"/>
    <cellStyle name="Notas 2 2 5 3" xfId="1543" xr:uid="{00000000-0005-0000-0000-0000BC080000}"/>
    <cellStyle name="Notas 2 2 6" xfId="723" xr:uid="{00000000-0005-0000-0000-0000BD080000}"/>
    <cellStyle name="Notas 2 2 6 2" xfId="1814" xr:uid="{00000000-0005-0000-0000-0000BE080000}"/>
    <cellStyle name="Notas 2 2 7" xfId="1272" xr:uid="{00000000-0005-0000-0000-0000BF080000}"/>
    <cellStyle name="Notas 2 2 8" xfId="2380" xr:uid="{00000000-0005-0000-0000-0000C0080000}"/>
    <cellStyle name="Notas 2 2 9" xfId="2440" xr:uid="{00000000-0005-0000-0000-0000C1080000}"/>
    <cellStyle name="Notas 2 3" xfId="78" xr:uid="{00000000-0005-0000-0000-0000C2080000}"/>
    <cellStyle name="Notas 2 3 2" xfId="157" xr:uid="{00000000-0005-0000-0000-0000C3080000}"/>
    <cellStyle name="Notas 2 3 2 2" xfId="533" xr:uid="{00000000-0005-0000-0000-0000C4080000}"/>
    <cellStyle name="Notas 2 3 2 2 2" xfId="1075" xr:uid="{00000000-0005-0000-0000-0000C5080000}"/>
    <cellStyle name="Notas 2 3 2 2 2 2" xfId="2166" xr:uid="{00000000-0005-0000-0000-0000C6080000}"/>
    <cellStyle name="Notas 2 3 2 2 3" xfId="1624" xr:uid="{00000000-0005-0000-0000-0000C7080000}"/>
    <cellStyle name="Notas 2 3 2 3" xfId="804" xr:uid="{00000000-0005-0000-0000-0000C8080000}"/>
    <cellStyle name="Notas 2 3 2 3 2" xfId="1895" xr:uid="{00000000-0005-0000-0000-0000C9080000}"/>
    <cellStyle name="Notas 2 3 2 4" xfId="1353" xr:uid="{00000000-0005-0000-0000-0000CA080000}"/>
    <cellStyle name="Notas 2 3 3" xfId="221" xr:uid="{00000000-0005-0000-0000-0000CB080000}"/>
    <cellStyle name="Notas 2 3 3 2" xfId="596" xr:uid="{00000000-0005-0000-0000-0000CC080000}"/>
    <cellStyle name="Notas 2 3 3 2 2" xfId="1138" xr:uid="{00000000-0005-0000-0000-0000CD080000}"/>
    <cellStyle name="Notas 2 3 3 2 2 2" xfId="2229" xr:uid="{00000000-0005-0000-0000-0000CE080000}"/>
    <cellStyle name="Notas 2 3 3 2 3" xfId="1687" xr:uid="{00000000-0005-0000-0000-0000CF080000}"/>
    <cellStyle name="Notas 2 3 3 3" xfId="867" xr:uid="{00000000-0005-0000-0000-0000D0080000}"/>
    <cellStyle name="Notas 2 3 3 3 2" xfId="1958" xr:uid="{00000000-0005-0000-0000-0000D1080000}"/>
    <cellStyle name="Notas 2 3 3 4" xfId="1416" xr:uid="{00000000-0005-0000-0000-0000D2080000}"/>
    <cellStyle name="Notas 2 3 4" xfId="358" xr:uid="{00000000-0005-0000-0000-0000D3080000}"/>
    <cellStyle name="Notas 2 3 4 2" xfId="684" xr:uid="{00000000-0005-0000-0000-0000D4080000}"/>
    <cellStyle name="Notas 2 3 4 2 2" xfId="1226" xr:uid="{00000000-0005-0000-0000-0000D5080000}"/>
    <cellStyle name="Notas 2 3 4 2 2 2" xfId="2317" xr:uid="{00000000-0005-0000-0000-0000D6080000}"/>
    <cellStyle name="Notas 2 3 4 2 3" xfId="1775" xr:uid="{00000000-0005-0000-0000-0000D7080000}"/>
    <cellStyle name="Notas 2 3 4 3" xfId="955" xr:uid="{00000000-0005-0000-0000-0000D8080000}"/>
    <cellStyle name="Notas 2 3 4 3 2" xfId="2046" xr:uid="{00000000-0005-0000-0000-0000D9080000}"/>
    <cellStyle name="Notas 2 3 4 4" xfId="1504" xr:uid="{00000000-0005-0000-0000-0000DA080000}"/>
    <cellStyle name="Notas 2 3 5" xfId="467" xr:uid="{00000000-0005-0000-0000-0000DB080000}"/>
    <cellStyle name="Notas 2 3 5 2" xfId="1010" xr:uid="{00000000-0005-0000-0000-0000DC080000}"/>
    <cellStyle name="Notas 2 3 5 2 2" xfId="2101" xr:uid="{00000000-0005-0000-0000-0000DD080000}"/>
    <cellStyle name="Notas 2 3 5 3" xfId="1559" xr:uid="{00000000-0005-0000-0000-0000DE080000}"/>
    <cellStyle name="Notas 2 3 6" xfId="739" xr:uid="{00000000-0005-0000-0000-0000DF080000}"/>
    <cellStyle name="Notas 2 3 6 2" xfId="1830" xr:uid="{00000000-0005-0000-0000-0000E0080000}"/>
    <cellStyle name="Notas 2 3 7" xfId="1288" xr:uid="{00000000-0005-0000-0000-0000E1080000}"/>
    <cellStyle name="Notas 2 3 8" xfId="2381" xr:uid="{00000000-0005-0000-0000-0000E2080000}"/>
    <cellStyle name="Notas 2 3 9" xfId="2441" xr:uid="{00000000-0005-0000-0000-0000E3080000}"/>
    <cellStyle name="Notas 2 4" xfId="124" xr:uid="{00000000-0005-0000-0000-0000E4080000}"/>
    <cellStyle name="Notas 2 4 2" xfId="501" xr:uid="{00000000-0005-0000-0000-0000E5080000}"/>
    <cellStyle name="Notas 2 4 2 2" xfId="1043" xr:uid="{00000000-0005-0000-0000-0000E6080000}"/>
    <cellStyle name="Notas 2 4 2 2 2" xfId="2134" xr:uid="{00000000-0005-0000-0000-0000E7080000}"/>
    <cellStyle name="Notas 2 4 2 3" xfId="1592" xr:uid="{00000000-0005-0000-0000-0000E8080000}"/>
    <cellStyle name="Notas 2 4 3" xfId="772" xr:uid="{00000000-0005-0000-0000-0000E9080000}"/>
    <cellStyle name="Notas 2 4 3 2" xfId="1863" xr:uid="{00000000-0005-0000-0000-0000EA080000}"/>
    <cellStyle name="Notas 2 4 4" xfId="1321" xr:uid="{00000000-0005-0000-0000-0000EB080000}"/>
    <cellStyle name="Notas 2 5" xfId="188" xr:uid="{00000000-0005-0000-0000-0000EC080000}"/>
    <cellStyle name="Notas 2 5 2" xfId="564" xr:uid="{00000000-0005-0000-0000-0000ED080000}"/>
    <cellStyle name="Notas 2 5 2 2" xfId="1106" xr:uid="{00000000-0005-0000-0000-0000EE080000}"/>
    <cellStyle name="Notas 2 5 2 2 2" xfId="2197" xr:uid="{00000000-0005-0000-0000-0000EF080000}"/>
    <cellStyle name="Notas 2 5 2 3" xfId="1655" xr:uid="{00000000-0005-0000-0000-0000F0080000}"/>
    <cellStyle name="Notas 2 5 3" xfId="835" xr:uid="{00000000-0005-0000-0000-0000F1080000}"/>
    <cellStyle name="Notas 2 5 3 2" xfId="1926" xr:uid="{00000000-0005-0000-0000-0000F2080000}"/>
    <cellStyle name="Notas 2 5 4" xfId="1384" xr:uid="{00000000-0005-0000-0000-0000F3080000}"/>
    <cellStyle name="Notas 2 6" xfId="359" xr:uid="{00000000-0005-0000-0000-0000F4080000}"/>
    <cellStyle name="Notas 2 6 2" xfId="685" xr:uid="{00000000-0005-0000-0000-0000F5080000}"/>
    <cellStyle name="Notas 2 6 2 2" xfId="1227" xr:uid="{00000000-0005-0000-0000-0000F6080000}"/>
    <cellStyle name="Notas 2 6 2 2 2" xfId="2318" xr:uid="{00000000-0005-0000-0000-0000F7080000}"/>
    <cellStyle name="Notas 2 6 2 3" xfId="1776" xr:uid="{00000000-0005-0000-0000-0000F8080000}"/>
    <cellStyle name="Notas 2 6 3" xfId="956" xr:uid="{00000000-0005-0000-0000-0000F9080000}"/>
    <cellStyle name="Notas 2 6 3 2" xfId="2047" xr:uid="{00000000-0005-0000-0000-0000FA080000}"/>
    <cellStyle name="Notas 2 6 4" xfId="1505" xr:uid="{00000000-0005-0000-0000-0000FB080000}"/>
    <cellStyle name="Notas 2 7" xfId="435" xr:uid="{00000000-0005-0000-0000-0000FC080000}"/>
    <cellStyle name="Notas 2 7 2" xfId="978" xr:uid="{00000000-0005-0000-0000-0000FD080000}"/>
    <cellStyle name="Notas 2 7 2 2" xfId="2069" xr:uid="{00000000-0005-0000-0000-0000FE080000}"/>
    <cellStyle name="Notas 2 7 3" xfId="1527" xr:uid="{00000000-0005-0000-0000-0000FF080000}"/>
    <cellStyle name="Notas 2 8" xfId="707" xr:uid="{00000000-0005-0000-0000-000000090000}"/>
    <cellStyle name="Notas 2 8 2" xfId="1798" xr:uid="{00000000-0005-0000-0000-000001090000}"/>
    <cellStyle name="Notas 2 9" xfId="1256" xr:uid="{00000000-0005-0000-0000-000002090000}"/>
    <cellStyle name="Notas 3" xfId="48" xr:uid="{00000000-0005-0000-0000-000003090000}"/>
    <cellStyle name="Notas 3 2" xfId="126" xr:uid="{00000000-0005-0000-0000-000004090000}"/>
    <cellStyle name="Notas 3 2 2" xfId="503" xr:uid="{00000000-0005-0000-0000-000005090000}"/>
    <cellStyle name="Notas 3 2 2 2" xfId="1045" xr:uid="{00000000-0005-0000-0000-000006090000}"/>
    <cellStyle name="Notas 3 2 2 2 2" xfId="2136" xr:uid="{00000000-0005-0000-0000-000007090000}"/>
    <cellStyle name="Notas 3 2 2 3" xfId="1594" xr:uid="{00000000-0005-0000-0000-000008090000}"/>
    <cellStyle name="Notas 3 2 3" xfId="774" xr:uid="{00000000-0005-0000-0000-000009090000}"/>
    <cellStyle name="Notas 3 2 3 2" xfId="1865" xr:uid="{00000000-0005-0000-0000-00000A090000}"/>
    <cellStyle name="Notas 3 2 4" xfId="1323" xr:uid="{00000000-0005-0000-0000-00000B090000}"/>
    <cellStyle name="Notas 3 3" xfId="191" xr:uid="{00000000-0005-0000-0000-00000C090000}"/>
    <cellStyle name="Notas 3 3 2" xfId="566" xr:uid="{00000000-0005-0000-0000-00000D090000}"/>
    <cellStyle name="Notas 3 3 2 2" xfId="1108" xr:uid="{00000000-0005-0000-0000-00000E090000}"/>
    <cellStyle name="Notas 3 3 2 2 2" xfId="2199" xr:uid="{00000000-0005-0000-0000-00000F090000}"/>
    <cellStyle name="Notas 3 3 2 3" xfId="1657" xr:uid="{00000000-0005-0000-0000-000010090000}"/>
    <cellStyle name="Notas 3 3 3" xfId="837" xr:uid="{00000000-0005-0000-0000-000011090000}"/>
    <cellStyle name="Notas 3 3 3 2" xfId="1928" xr:uid="{00000000-0005-0000-0000-000012090000}"/>
    <cellStyle name="Notas 3 3 4" xfId="1386" xr:uid="{00000000-0005-0000-0000-000013090000}"/>
    <cellStyle name="Notas 3 4" xfId="360" xr:uid="{00000000-0005-0000-0000-000014090000}"/>
    <cellStyle name="Notas 3 4 2" xfId="686" xr:uid="{00000000-0005-0000-0000-000015090000}"/>
    <cellStyle name="Notas 3 4 2 2" xfId="1228" xr:uid="{00000000-0005-0000-0000-000016090000}"/>
    <cellStyle name="Notas 3 4 2 2 2" xfId="2319" xr:uid="{00000000-0005-0000-0000-000017090000}"/>
    <cellStyle name="Notas 3 4 2 3" xfId="1777" xr:uid="{00000000-0005-0000-0000-000018090000}"/>
    <cellStyle name="Notas 3 4 3" xfId="957" xr:uid="{00000000-0005-0000-0000-000019090000}"/>
    <cellStyle name="Notas 3 4 3 2" xfId="2048" xr:uid="{00000000-0005-0000-0000-00001A090000}"/>
    <cellStyle name="Notas 3 4 4" xfId="1506" xr:uid="{00000000-0005-0000-0000-00001B090000}"/>
    <cellStyle name="Notas 3 5" xfId="437" xr:uid="{00000000-0005-0000-0000-00001C090000}"/>
    <cellStyle name="Notas 3 5 2" xfId="980" xr:uid="{00000000-0005-0000-0000-00001D090000}"/>
    <cellStyle name="Notas 3 5 2 2" xfId="2071" xr:uid="{00000000-0005-0000-0000-00001E090000}"/>
    <cellStyle name="Notas 3 5 3" xfId="1529" xr:uid="{00000000-0005-0000-0000-00001F090000}"/>
    <cellStyle name="Notas 3 6" xfId="709" xr:uid="{00000000-0005-0000-0000-000020090000}"/>
    <cellStyle name="Notas 3 6 2" xfId="1800" xr:uid="{00000000-0005-0000-0000-000021090000}"/>
    <cellStyle name="Notas 3 7" xfId="1258" xr:uid="{00000000-0005-0000-0000-000022090000}"/>
    <cellStyle name="Notas 3 8" xfId="2382" xr:uid="{00000000-0005-0000-0000-000023090000}"/>
    <cellStyle name="Notas 3 9" xfId="2442" xr:uid="{00000000-0005-0000-0000-000024090000}"/>
    <cellStyle name="Notas 4" xfId="64" xr:uid="{00000000-0005-0000-0000-000025090000}"/>
    <cellStyle name="Notas 4 2" xfId="143" xr:uid="{00000000-0005-0000-0000-000026090000}"/>
    <cellStyle name="Notas 4 2 2" xfId="519" xr:uid="{00000000-0005-0000-0000-000027090000}"/>
    <cellStyle name="Notas 4 2 2 2" xfId="1061" xr:uid="{00000000-0005-0000-0000-000028090000}"/>
    <cellStyle name="Notas 4 2 2 2 2" xfId="2152" xr:uid="{00000000-0005-0000-0000-000029090000}"/>
    <cellStyle name="Notas 4 2 2 3" xfId="1610" xr:uid="{00000000-0005-0000-0000-00002A090000}"/>
    <cellStyle name="Notas 4 2 3" xfId="790" xr:uid="{00000000-0005-0000-0000-00002B090000}"/>
    <cellStyle name="Notas 4 2 3 2" xfId="1881" xr:uid="{00000000-0005-0000-0000-00002C090000}"/>
    <cellStyle name="Notas 4 2 4" xfId="1339" xr:uid="{00000000-0005-0000-0000-00002D090000}"/>
    <cellStyle name="Notas 4 3" xfId="207" xr:uid="{00000000-0005-0000-0000-00002E090000}"/>
    <cellStyle name="Notas 4 3 2" xfId="582" xr:uid="{00000000-0005-0000-0000-00002F090000}"/>
    <cellStyle name="Notas 4 3 2 2" xfId="1124" xr:uid="{00000000-0005-0000-0000-000030090000}"/>
    <cellStyle name="Notas 4 3 2 2 2" xfId="2215" xr:uid="{00000000-0005-0000-0000-000031090000}"/>
    <cellStyle name="Notas 4 3 2 3" xfId="1673" xr:uid="{00000000-0005-0000-0000-000032090000}"/>
    <cellStyle name="Notas 4 3 3" xfId="853" xr:uid="{00000000-0005-0000-0000-000033090000}"/>
    <cellStyle name="Notas 4 3 3 2" xfId="1944" xr:uid="{00000000-0005-0000-0000-000034090000}"/>
    <cellStyle name="Notas 4 3 4" xfId="1402" xr:uid="{00000000-0005-0000-0000-000035090000}"/>
    <cellStyle name="Notas 4 4" xfId="361" xr:uid="{00000000-0005-0000-0000-000036090000}"/>
    <cellStyle name="Notas 4 4 2" xfId="687" xr:uid="{00000000-0005-0000-0000-000037090000}"/>
    <cellStyle name="Notas 4 4 2 2" xfId="1229" xr:uid="{00000000-0005-0000-0000-000038090000}"/>
    <cellStyle name="Notas 4 4 2 2 2" xfId="2320" xr:uid="{00000000-0005-0000-0000-000039090000}"/>
    <cellStyle name="Notas 4 4 2 3" xfId="1778" xr:uid="{00000000-0005-0000-0000-00003A090000}"/>
    <cellStyle name="Notas 4 4 3" xfId="958" xr:uid="{00000000-0005-0000-0000-00003B090000}"/>
    <cellStyle name="Notas 4 4 3 2" xfId="2049" xr:uid="{00000000-0005-0000-0000-00003C090000}"/>
    <cellStyle name="Notas 4 4 4" xfId="1507" xr:uid="{00000000-0005-0000-0000-00003D090000}"/>
    <cellStyle name="Notas 4 5" xfId="453" xr:uid="{00000000-0005-0000-0000-00003E090000}"/>
    <cellStyle name="Notas 4 5 2" xfId="996" xr:uid="{00000000-0005-0000-0000-00003F090000}"/>
    <cellStyle name="Notas 4 5 2 2" xfId="2087" xr:uid="{00000000-0005-0000-0000-000040090000}"/>
    <cellStyle name="Notas 4 5 3" xfId="1545" xr:uid="{00000000-0005-0000-0000-000041090000}"/>
    <cellStyle name="Notas 4 6" xfId="725" xr:uid="{00000000-0005-0000-0000-000042090000}"/>
    <cellStyle name="Notas 4 6 2" xfId="1816" xr:uid="{00000000-0005-0000-0000-000043090000}"/>
    <cellStyle name="Notas 4 7" xfId="1274" xr:uid="{00000000-0005-0000-0000-000044090000}"/>
    <cellStyle name="Notas 4 8" xfId="2383" xr:uid="{00000000-0005-0000-0000-000045090000}"/>
    <cellStyle name="Notas 4 9" xfId="2443" xr:uid="{00000000-0005-0000-0000-000046090000}"/>
    <cellStyle name="Notas 5" xfId="80" xr:uid="{00000000-0005-0000-0000-000047090000}"/>
    <cellStyle name="Notas 5 2" xfId="158" xr:uid="{00000000-0005-0000-0000-000048090000}"/>
    <cellStyle name="Notas 5 2 2" xfId="534" xr:uid="{00000000-0005-0000-0000-000049090000}"/>
    <cellStyle name="Notas 5 2 2 2" xfId="1076" xr:uid="{00000000-0005-0000-0000-00004A090000}"/>
    <cellStyle name="Notas 5 2 2 2 2" xfId="2167" xr:uid="{00000000-0005-0000-0000-00004B090000}"/>
    <cellStyle name="Notas 5 2 2 3" xfId="1625" xr:uid="{00000000-0005-0000-0000-00004C090000}"/>
    <cellStyle name="Notas 5 2 3" xfId="805" xr:uid="{00000000-0005-0000-0000-00004D090000}"/>
    <cellStyle name="Notas 5 2 3 2" xfId="1896" xr:uid="{00000000-0005-0000-0000-00004E090000}"/>
    <cellStyle name="Notas 5 2 4" xfId="1354" xr:uid="{00000000-0005-0000-0000-00004F090000}"/>
    <cellStyle name="Notas 5 3" xfId="223" xr:uid="{00000000-0005-0000-0000-000050090000}"/>
    <cellStyle name="Notas 5 3 2" xfId="598" xr:uid="{00000000-0005-0000-0000-000051090000}"/>
    <cellStyle name="Notas 5 3 2 2" xfId="1140" xr:uid="{00000000-0005-0000-0000-000052090000}"/>
    <cellStyle name="Notas 5 3 2 2 2" xfId="2231" xr:uid="{00000000-0005-0000-0000-000053090000}"/>
    <cellStyle name="Notas 5 3 2 3" xfId="1689" xr:uid="{00000000-0005-0000-0000-000054090000}"/>
    <cellStyle name="Notas 5 3 3" xfId="869" xr:uid="{00000000-0005-0000-0000-000055090000}"/>
    <cellStyle name="Notas 5 3 3 2" xfId="1960" xr:uid="{00000000-0005-0000-0000-000056090000}"/>
    <cellStyle name="Notas 5 3 4" xfId="1418" xr:uid="{00000000-0005-0000-0000-000057090000}"/>
    <cellStyle name="Notas 5 4" xfId="362" xr:uid="{00000000-0005-0000-0000-000058090000}"/>
    <cellStyle name="Notas 5 4 2" xfId="688" xr:uid="{00000000-0005-0000-0000-000059090000}"/>
    <cellStyle name="Notas 5 4 2 2" xfId="1230" xr:uid="{00000000-0005-0000-0000-00005A090000}"/>
    <cellStyle name="Notas 5 4 2 2 2" xfId="2321" xr:uid="{00000000-0005-0000-0000-00005B090000}"/>
    <cellStyle name="Notas 5 4 2 3" xfId="1779" xr:uid="{00000000-0005-0000-0000-00005C090000}"/>
    <cellStyle name="Notas 5 4 3" xfId="959" xr:uid="{00000000-0005-0000-0000-00005D090000}"/>
    <cellStyle name="Notas 5 4 3 2" xfId="2050" xr:uid="{00000000-0005-0000-0000-00005E090000}"/>
    <cellStyle name="Notas 5 4 4" xfId="1508" xr:uid="{00000000-0005-0000-0000-00005F090000}"/>
    <cellStyle name="Notas 5 5" xfId="469" xr:uid="{00000000-0005-0000-0000-000060090000}"/>
    <cellStyle name="Notas 5 5 2" xfId="1012" xr:uid="{00000000-0005-0000-0000-000061090000}"/>
    <cellStyle name="Notas 5 5 2 2" xfId="2103" xr:uid="{00000000-0005-0000-0000-000062090000}"/>
    <cellStyle name="Notas 5 5 3" xfId="1561" xr:uid="{00000000-0005-0000-0000-000063090000}"/>
    <cellStyle name="Notas 5 6" xfId="741" xr:uid="{00000000-0005-0000-0000-000064090000}"/>
    <cellStyle name="Notas 5 6 2" xfId="1832" xr:uid="{00000000-0005-0000-0000-000065090000}"/>
    <cellStyle name="Notas 5 7" xfId="1290" xr:uid="{00000000-0005-0000-0000-000066090000}"/>
    <cellStyle name="Notas 6" xfId="174" xr:uid="{00000000-0005-0000-0000-000067090000}"/>
    <cellStyle name="Notas 6 2" xfId="550" xr:uid="{00000000-0005-0000-0000-000068090000}"/>
    <cellStyle name="Notas 6 2 2" xfId="1092" xr:uid="{00000000-0005-0000-0000-000069090000}"/>
    <cellStyle name="Notas 6 2 2 2" xfId="2183" xr:uid="{00000000-0005-0000-0000-00006A090000}"/>
    <cellStyle name="Notas 6 2 3" xfId="1641" xr:uid="{00000000-0005-0000-0000-00006B090000}"/>
    <cellStyle name="Notas 6 3" xfId="821" xr:uid="{00000000-0005-0000-0000-00006C090000}"/>
    <cellStyle name="Notas 6 3 2" xfId="1912" xr:uid="{00000000-0005-0000-0000-00006D090000}"/>
    <cellStyle name="Notas 6 4" xfId="1370" xr:uid="{00000000-0005-0000-0000-00006E090000}"/>
    <cellStyle name="Notas 7" xfId="363" xr:uid="{00000000-0005-0000-0000-00006F090000}"/>
    <cellStyle name="Notas 7 2" xfId="689" xr:uid="{00000000-0005-0000-0000-000070090000}"/>
    <cellStyle name="Notas 7 2 2" xfId="1231" xr:uid="{00000000-0005-0000-0000-000071090000}"/>
    <cellStyle name="Notas 7 2 2 2" xfId="2322" xr:uid="{00000000-0005-0000-0000-000072090000}"/>
    <cellStyle name="Notas 7 2 3" xfId="1780" xr:uid="{00000000-0005-0000-0000-000073090000}"/>
    <cellStyle name="Notas 7 3" xfId="960" xr:uid="{00000000-0005-0000-0000-000074090000}"/>
    <cellStyle name="Notas 7 3 2" xfId="2051" xr:uid="{00000000-0005-0000-0000-000075090000}"/>
    <cellStyle name="Notas 7 4" xfId="1509" xr:uid="{00000000-0005-0000-0000-000076090000}"/>
    <cellStyle name="Notas 8" xfId="364" xr:uid="{00000000-0005-0000-0000-000077090000}"/>
    <cellStyle name="Notas 8 2" xfId="690" xr:uid="{00000000-0005-0000-0000-000078090000}"/>
    <cellStyle name="Notas 8 2 2" xfId="1232" xr:uid="{00000000-0005-0000-0000-000079090000}"/>
    <cellStyle name="Notas 8 2 2 2" xfId="2323" xr:uid="{00000000-0005-0000-0000-00007A090000}"/>
    <cellStyle name="Notas 8 2 3" xfId="1781" xr:uid="{00000000-0005-0000-0000-00007B090000}"/>
    <cellStyle name="Notas 8 3" xfId="961" xr:uid="{00000000-0005-0000-0000-00007C090000}"/>
    <cellStyle name="Notas 8 3 2" xfId="2052" xr:uid="{00000000-0005-0000-0000-00007D090000}"/>
    <cellStyle name="Notas 8 4" xfId="1510" xr:uid="{00000000-0005-0000-0000-00007E090000}"/>
    <cellStyle name="Notas 9" xfId="421" xr:uid="{00000000-0005-0000-0000-00007F090000}"/>
    <cellStyle name="Notas 9 2" xfId="964" xr:uid="{00000000-0005-0000-0000-000080090000}"/>
    <cellStyle name="Notas 9 2 2" xfId="2055" xr:uid="{00000000-0005-0000-0000-000081090000}"/>
    <cellStyle name="Notas 9 3" xfId="1513" xr:uid="{00000000-0005-0000-0000-000082090000}"/>
    <cellStyle name="Porcentaje 2" xfId="1239" xr:uid="{00000000-0005-0000-0000-000083090000}"/>
    <cellStyle name="Porcentaje 3" xfId="2384" xr:uid="{00000000-0005-0000-0000-000084090000}"/>
    <cellStyle name="Porcentaje 4" xfId="2444" xr:uid="{00000000-0005-0000-0000-000085090000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ítulo 4" xfId="377" xr:uid="{00000000-0005-0000-0000-00008D090000}"/>
    <cellStyle name="Total" xfId="17" builtinId="25" customBuiltin="1"/>
  </cellStyles>
  <dxfs count="5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 style="double">
          <color rgb="FF00B05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00B050"/>
        </left>
        <right style="double">
          <color rgb="FF00B05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BEEF3"/>
          <bgColor rgb="FFDBEEF3"/>
        </patternFill>
      </fill>
    </dxf>
    <dxf>
      <fill>
        <patternFill patternType="solid">
          <fgColor rgb="FFDBEEF3"/>
          <bgColor rgb="FFDBEEF3"/>
        </patternFill>
      </fill>
    </dxf>
    <dxf>
      <font>
        <b/>
        <color rgb="FF31849B"/>
      </font>
    </dxf>
    <dxf>
      <font>
        <b/>
        <color rgb="FF31849B"/>
      </font>
    </dxf>
    <dxf>
      <font>
        <b/>
        <color rgb="FF31849B"/>
      </font>
      <border>
        <top style="thin">
          <color rgb="FF4BACC6"/>
        </top>
      </border>
    </dxf>
    <dxf>
      <font>
        <b/>
        <color rgb="FF31849B"/>
      </font>
      <border>
        <bottom style="thin">
          <color rgb="FF4BACC6"/>
        </bottom>
      </border>
    </dxf>
    <dxf>
      <font>
        <color rgb="FF31849B"/>
      </font>
      <border>
        <top style="thin">
          <color rgb="FF4BACC6"/>
        </top>
        <bottom style="thin">
          <color rgb="FF4BACC6"/>
        </bottom>
      </border>
    </dxf>
    <dxf>
      <fill>
        <patternFill patternType="solid">
          <fgColor rgb="FFDBEEF3"/>
          <bgColor rgb="FFDBEEF3"/>
        </patternFill>
      </fill>
    </dxf>
    <dxf>
      <fill>
        <patternFill patternType="solid">
          <fgColor rgb="FFDBEEF3"/>
          <bgColor rgb="FFDBEEF3"/>
        </patternFill>
      </fill>
    </dxf>
    <dxf>
      <font>
        <b/>
        <color rgb="FF31849B"/>
      </font>
    </dxf>
    <dxf>
      <font>
        <b/>
        <color rgb="FF31849B"/>
      </font>
    </dxf>
    <dxf>
      <font>
        <b/>
        <color rgb="FF31849B"/>
      </font>
      <border>
        <top style="thin">
          <color rgb="FF4BACC6"/>
        </top>
      </border>
    </dxf>
    <dxf>
      <font>
        <b/>
        <color rgb="FF31849B"/>
      </font>
      <border>
        <bottom style="thin">
          <color rgb="FF4BACC6"/>
        </bottom>
      </border>
    </dxf>
    <dxf>
      <font>
        <color rgb="FF31849B"/>
      </font>
      <border>
        <top style="thin">
          <color rgb="FF4BACC6"/>
        </top>
        <bottom style="thin">
          <color rgb="FF4BACC6"/>
        </bottom>
      </border>
    </dxf>
  </dxfs>
  <tableStyles count="5" defaultTableStyle="TableStyleMedium9" defaultPivotStyle="PivotStyleLight16">
    <tableStyle name="TableStyleLight6 2" pivot="0" count="7" xr9:uid="{00000000-0011-0000-FFFF-FFFF00000000}">
      <tableStyleElement type="wholeTable" dxfId="57"/>
      <tableStyleElement type="headerRow" dxfId="56"/>
      <tableStyleElement type="totalRow" dxfId="55"/>
      <tableStyleElement type="firstColumn" dxfId="54"/>
      <tableStyleElement type="lastColumn" dxfId="53"/>
      <tableStyleElement type="firstRowStripe" dxfId="52"/>
      <tableStyleElement type="firstColumnStripe" dxfId="51"/>
    </tableStyle>
    <tableStyle name="TableStyleLight6 3" pivot="0" count="7" xr9:uid="{00000000-0011-0000-FFFF-FFFF01000000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firstRowStripe" dxfId="45"/>
      <tableStyleElement type="firstColumnStripe" dxfId="44"/>
    </tableStyle>
    <tableStyle name="TableStyleLight8 2" pivot="0" count="9" xr9:uid="{00000000-0011-0000-FFFF-FFFF02000000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secondRowStripe" dxfId="37"/>
      <tableStyleElement type="firstColumnStripe" dxfId="36"/>
      <tableStyleElement type="secondColumnStripe" dxfId="35"/>
    </tableStyle>
    <tableStyle name="TableStyleLight8 3" pivot="0" count="9" xr9:uid="{00000000-0011-0000-FFFF-FFFF03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secondRowStripe" dxfId="28"/>
      <tableStyleElement type="firstColumnStripe" dxfId="27"/>
      <tableStyleElement type="secondColumnStripe" dxfId="26"/>
    </tableStyle>
    <tableStyle name="Estilo de tabla dinámica 1" table="0" count="0" xr9:uid="{00000000-0011-0000-FFFF-FFFF04000000}"/>
  </tableStyles>
  <colors>
    <mruColors>
      <color rgb="FFF9F987"/>
      <color rgb="FF66FFFF"/>
      <color rgb="FFFFEFFF"/>
      <color rgb="FFC3FDBF"/>
      <color rgb="FF0CEE0C"/>
      <color rgb="FFFFFF66"/>
      <color rgb="FF00CCFF"/>
      <color rgb="FFFFDB93"/>
      <color rgb="FFFF00FF"/>
      <color rgb="FFEF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0000000}" name="Tabla15" displayName="Tabla15" ref="A3:J98" totalsRowCount="1" headerRowDxfId="25" dataDxfId="24" totalsRowDxfId="23">
  <tableColumns count="10">
    <tableColumn id="1" xr3:uid="{00000000-0010-0000-0000-000001000000}" name="c" dataDxfId="21" totalsRowDxfId="22"/>
    <tableColumn id="2" xr3:uid="{00000000-0010-0000-0000-000002000000}" name="c2" dataDxfId="19" totalsRowDxfId="20"/>
    <tableColumn id="5" xr3:uid="{00000000-0010-0000-0000-000005000000}" name="c3" dataDxfId="17" totalsRowDxfId="18"/>
    <tableColumn id="6" xr3:uid="{00000000-0010-0000-0000-000006000000}" name="c4" dataDxfId="15" totalsRowDxfId="16"/>
    <tableColumn id="7" xr3:uid="{00000000-0010-0000-0000-000007000000}" name="c5" dataDxfId="13" totalsRowDxfId="14"/>
    <tableColumn id="8" xr3:uid="{00000000-0010-0000-0000-000008000000}" name="c6" dataDxfId="11" totalsRowDxfId="12"/>
    <tableColumn id="9" xr3:uid="{00000000-0010-0000-0000-000009000000}" name="c7" dataDxfId="9" totalsRowDxfId="10"/>
    <tableColumn id="10" xr3:uid="{00000000-0010-0000-0000-00000A000000}" name="c8" dataDxfId="7" totalsRowDxfId="8"/>
    <tableColumn id="3" xr3:uid="{962B6C58-59D8-40D8-8D96-71BBC8E7DD99}" name="c9" dataDxfId="5" totalsRowDxfId="6"/>
    <tableColumn id="15" xr3:uid="{00000000-0010-0000-0000-00000F000000}" name="c10" totalsRowFunction="custom" dataDxfId="3" totalsRowDxfId="4">
      <calculatedColumnFormula>SUM(C4:H4)</calculatedColumnFormula>
      <totalsRowFormula>+SUM(J4:J97)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6817AC-D90B-4A2F-9BB3-557D4DE4DFE8}">
  <we:reference id="wa200005502" version="1.0.0.11" store="es-ES" storeType="OMEX"/>
  <we:alternateReferences>
    <we:reference id="wa200005502" version="1.0.0.11" store="wa200005502" storeType="OMEX"/>
  </we:alternateReferences>
  <we:properties>
    <we:property name="docId" value="&quot;JX9q6uMJL_2XHSPdnUXQ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1">
    <tabColor rgb="FF002060"/>
  </sheetPr>
  <dimension ref="A1:AR875"/>
  <sheetViews>
    <sheetView showZeros="0" zoomScale="89" zoomScaleNormal="89" workbookViewId="0">
      <pane xSplit="4" ySplit="4" topLeftCell="E678" activePane="bottomRight" state="frozen"/>
      <selection pane="bottomRight" activeCell="F712" sqref="F712:F713"/>
      <selection pane="bottomLeft" activeCell="A5" sqref="A5"/>
      <selection pane="topRight" activeCell="E1" sqref="E1"/>
    </sheetView>
  </sheetViews>
  <sheetFormatPr defaultColWidth="11.42578125" defaultRowHeight="13.5"/>
  <cols>
    <col min="1" max="1" width="8" style="244" bestFit="1" customWidth="1"/>
    <col min="2" max="2" width="13.85546875" style="239" bestFit="1" customWidth="1"/>
    <col min="3" max="3" width="4.5703125" style="239" bestFit="1" customWidth="1"/>
    <col min="4" max="4" width="22.42578125" style="239" bestFit="1" customWidth="1"/>
    <col min="5" max="5" width="5.7109375" style="234" bestFit="1" customWidth="1"/>
    <col min="6" max="6" width="17.85546875" style="235" bestFit="1" customWidth="1"/>
    <col min="7" max="7" width="4.28515625" style="235" bestFit="1" customWidth="1"/>
    <col min="8" max="8" width="4.28515625" style="234" bestFit="1" customWidth="1"/>
    <col min="9" max="10" width="5.28515625" style="234" bestFit="1" customWidth="1"/>
    <col min="11" max="11" width="5.140625" style="234" bestFit="1" customWidth="1"/>
    <col min="12" max="12" width="4.5703125" style="234" bestFit="1" customWidth="1"/>
    <col min="13" max="13" width="4.28515625" style="234" bestFit="1" customWidth="1"/>
    <col min="14" max="14" width="6.140625" style="234" bestFit="1" customWidth="1"/>
    <col min="15" max="15" width="6.5703125" style="234" bestFit="1" customWidth="1"/>
    <col min="16" max="16" width="4" style="232" customWidth="1"/>
    <col min="17" max="17" width="10.140625" style="250" bestFit="1" customWidth="1"/>
    <col min="18" max="18" width="12.42578125" style="250" bestFit="1" customWidth="1"/>
    <col min="19" max="19" width="3.7109375" style="250" bestFit="1" customWidth="1"/>
    <col min="20" max="22" width="4.28515625" style="250" bestFit="1" customWidth="1"/>
    <col min="23" max="24" width="3.7109375" style="250" bestFit="1" customWidth="1"/>
    <col min="25" max="25" width="4.7109375" style="250" bestFit="1" customWidth="1"/>
    <col min="26" max="26" width="6.28515625" style="250" bestFit="1" customWidth="1"/>
    <col min="27" max="27" width="5.7109375" style="250" customWidth="1"/>
    <col min="28" max="28" width="9.7109375" style="234" customWidth="1"/>
    <col min="29" max="29" width="7.42578125" style="250" bestFit="1" customWidth="1"/>
    <col min="30" max="30" width="20.42578125" style="250" bestFit="1" customWidth="1"/>
    <col min="31" max="34" width="4.140625" style="250" bestFit="1" customWidth="1"/>
    <col min="35" max="36" width="4.140625" style="234" bestFit="1" customWidth="1"/>
    <col min="37" max="37" width="5.140625" style="234" bestFit="1" customWidth="1"/>
    <col min="38" max="38" width="5.28515625" style="234" bestFit="1" customWidth="1"/>
    <col min="39" max="39" width="4.28515625" style="234" bestFit="1" customWidth="1"/>
    <col min="40" max="41" width="12.42578125" style="234" bestFit="1" customWidth="1"/>
    <col min="42" max="42" width="6.28515625" style="234" bestFit="1" customWidth="1"/>
    <col min="43" max="43" width="7.28515625" style="234" bestFit="1" customWidth="1"/>
    <col min="44" max="44" width="6.28515625" style="234" bestFit="1" customWidth="1"/>
    <col min="45" max="45" width="9" style="234" bestFit="1" customWidth="1"/>
    <col min="46" max="16384" width="11.42578125" style="234"/>
  </cols>
  <sheetData>
    <row r="1" spans="1:35" ht="15" thickTop="1" thickBot="1">
      <c r="B1" s="639" t="s">
        <v>0</v>
      </c>
      <c r="C1" s="238"/>
      <c r="D1" s="238"/>
      <c r="F1" s="234"/>
      <c r="G1" s="234"/>
      <c r="N1" s="229" t="s">
        <v>1</v>
      </c>
      <c r="O1" s="229">
        <f>+SUM(O10,O19,O28,O37,O46,O55,O64,O73,O82,O91,O100,O109,O118,O127,O136,O145,O154,O163,O172,O181,O190,O199,O217,O226,O244,O253,O262,O271,O280,O298,O307,O316,O325,O334,O343,O352,O361,O370,O379,O388,O397,O406,O415,O424,O433,O442,O451,O460,O469,O487,O496,O505,O523,O532,O541,O550,O559,O568,O577,O586,O595,O604,O613,O622,O631,O640,O649,O658,O667,O676,O685,O694,O703,O712,O721,O730,O739,O748,O757,O766,O775,O802,O820,O829,O838,'4219   Ex 4166'!AA4,O811,O784,O478,O235,O289,O793,O208,O514)</f>
        <v>21161</v>
      </c>
      <c r="Q1" s="233" t="s">
        <v>2</v>
      </c>
      <c r="R1" s="231"/>
      <c r="S1" s="230">
        <v>1.2</v>
      </c>
      <c r="T1" s="230">
        <v>2.1</v>
      </c>
      <c r="U1" s="230">
        <v>2.4</v>
      </c>
      <c r="V1" s="230">
        <v>2.1</v>
      </c>
      <c r="W1" s="230">
        <v>1.5</v>
      </c>
      <c r="X1" s="230">
        <v>0.9</v>
      </c>
      <c r="Y1" s="253">
        <f>SUM(S1:X1)</f>
        <v>10.199999999999999</v>
      </c>
    </row>
    <row r="2" spans="1:35" ht="15" thickTop="1" thickBot="1">
      <c r="A2" s="247"/>
      <c r="B2" s="640"/>
      <c r="C2" s="241"/>
      <c r="D2" s="237">
        <v>4200</v>
      </c>
      <c r="F2" s="234"/>
      <c r="G2" s="234"/>
      <c r="N2" s="252" t="s">
        <v>3</v>
      </c>
      <c r="O2" s="252"/>
      <c r="Q2" s="233" t="s">
        <v>4</v>
      </c>
      <c r="R2" s="249"/>
      <c r="S2" s="246">
        <v>3</v>
      </c>
      <c r="T2" s="246">
        <v>5</v>
      </c>
      <c r="U2" s="246">
        <v>5</v>
      </c>
      <c r="V2" s="246">
        <v>4</v>
      </c>
      <c r="W2" s="246">
        <v>1</v>
      </c>
      <c r="X2" s="246">
        <v>1</v>
      </c>
      <c r="Y2" s="243">
        <f>SUM(S2:X2)</f>
        <v>19</v>
      </c>
    </row>
    <row r="3" spans="1:35" ht="15" thickTop="1" thickBot="1">
      <c r="B3" s="234"/>
      <c r="C3" s="234"/>
      <c r="D3" s="234" t="s">
        <v>5</v>
      </c>
      <c r="F3" s="234"/>
      <c r="G3" s="234"/>
      <c r="Q3" s="233" t="s">
        <v>6</v>
      </c>
      <c r="R3" s="240"/>
      <c r="S3" s="240">
        <v>1</v>
      </c>
      <c r="T3" s="240">
        <v>2</v>
      </c>
      <c r="U3" s="240">
        <v>3</v>
      </c>
      <c r="V3" s="240">
        <v>2</v>
      </c>
      <c r="W3" s="240">
        <v>2</v>
      </c>
      <c r="X3" s="240">
        <v>1</v>
      </c>
      <c r="Y3" s="243">
        <f>SUM(S3:X3)</f>
        <v>11</v>
      </c>
    </row>
    <row r="4" spans="1:35" ht="15" thickTop="1" thickBot="1">
      <c r="A4" s="236"/>
      <c r="B4" s="251"/>
      <c r="C4" s="251"/>
      <c r="D4" s="248"/>
      <c r="E4" s="245"/>
      <c r="F4" s="242"/>
      <c r="G4" s="242"/>
      <c r="H4" s="245"/>
      <c r="I4" s="245"/>
      <c r="J4" s="245"/>
      <c r="K4" s="245"/>
      <c r="L4" s="245"/>
      <c r="M4" s="245"/>
      <c r="N4" s="245"/>
      <c r="O4" s="245"/>
    </row>
    <row r="5" spans="1:35" ht="14.25" thickTop="1"/>
    <row r="6" spans="1:35">
      <c r="A6" s="641">
        <v>4200</v>
      </c>
    </row>
    <row r="7" spans="1:35" ht="14.25" thickBot="1">
      <c r="A7" s="642"/>
    </row>
    <row r="8" spans="1:35" ht="15" thickTop="1" thickBot="1">
      <c r="A8" s="254" t="s">
        <v>7</v>
      </c>
      <c r="B8" s="43" t="s">
        <v>8</v>
      </c>
      <c r="C8" s="43"/>
      <c r="D8" s="43"/>
      <c r="E8" s="44" t="s">
        <v>9</v>
      </c>
      <c r="F8" s="45"/>
      <c r="G8" s="45"/>
      <c r="H8" s="44"/>
      <c r="I8" s="44"/>
      <c r="J8" s="44"/>
      <c r="K8" s="44"/>
      <c r="L8" s="44"/>
      <c r="M8" s="44"/>
      <c r="N8" s="44"/>
      <c r="O8" s="44"/>
    </row>
    <row r="9" spans="1:35" ht="15" thickTop="1" thickBot="1">
      <c r="A9" s="255" t="s">
        <v>10</v>
      </c>
      <c r="B9" s="38" t="s">
        <v>11</v>
      </c>
      <c r="C9" s="9" t="s">
        <v>12</v>
      </c>
      <c r="D9" s="9" t="s">
        <v>13</v>
      </c>
      <c r="E9" s="10"/>
      <c r="F9" s="256" t="s">
        <v>14</v>
      </c>
      <c r="G9" s="257">
        <v>34</v>
      </c>
      <c r="H9" s="257">
        <v>36</v>
      </c>
      <c r="I9" s="257">
        <v>38</v>
      </c>
      <c r="J9" s="257">
        <v>40</v>
      </c>
      <c r="K9" s="257">
        <v>42</v>
      </c>
      <c r="L9" s="257">
        <v>44</v>
      </c>
      <c r="M9" s="257">
        <v>46</v>
      </c>
      <c r="N9" s="257"/>
      <c r="O9" s="258" t="s">
        <v>15</v>
      </c>
      <c r="Q9" s="259" t="s">
        <v>14</v>
      </c>
      <c r="R9" s="259"/>
      <c r="S9" s="259">
        <v>36</v>
      </c>
      <c r="T9" s="259">
        <v>38</v>
      </c>
      <c r="U9" s="259">
        <v>40</v>
      </c>
      <c r="V9" s="259">
        <v>42</v>
      </c>
      <c r="W9" s="259">
        <v>44</v>
      </c>
      <c r="X9" s="259">
        <v>46</v>
      </c>
      <c r="Y9" s="259"/>
      <c r="Z9" s="259" t="s">
        <v>15</v>
      </c>
    </row>
    <row r="10" spans="1:35" ht="15" thickTop="1" thickBot="1">
      <c r="A10" s="260" t="str">
        <f t="shared" ref="A10:A16" si="0">+A9</f>
        <v>4201-00</v>
      </c>
      <c r="B10" s="39" t="s">
        <v>16</v>
      </c>
      <c r="C10" s="39"/>
      <c r="D10" s="39"/>
      <c r="E10" s="40"/>
      <c r="F10" s="261" t="s">
        <v>1</v>
      </c>
      <c r="G10" s="261"/>
      <c r="H10" s="262">
        <f>'BASE DATOS'!C4</f>
        <v>72</v>
      </c>
      <c r="I10" s="262">
        <f>'BASE DATOS'!D4</f>
        <v>158</v>
      </c>
      <c r="J10" s="262">
        <f>'BASE DATOS'!E4</f>
        <v>165</v>
      </c>
      <c r="K10" s="262">
        <f>'BASE DATOS'!F4</f>
        <v>158</v>
      </c>
      <c r="L10" s="262">
        <f>'BASE DATOS'!G4</f>
        <v>108</v>
      </c>
      <c r="M10" s="262">
        <f>'BASE DATOS'!H4</f>
        <v>87</v>
      </c>
      <c r="N10" s="262"/>
      <c r="O10" s="263">
        <f t="shared" ref="O10:O16" si="1">SUM(H10:N10)</f>
        <v>748</v>
      </c>
      <c r="Q10" s="264"/>
      <c r="R10" s="264"/>
      <c r="S10" s="264"/>
      <c r="T10" s="264"/>
      <c r="U10" s="264"/>
      <c r="V10" s="264"/>
      <c r="W10" s="264"/>
      <c r="X10" s="264"/>
      <c r="Y10" s="264"/>
      <c r="Z10" s="264">
        <f>SUBTOTAL(9,S10:Y10)</f>
        <v>0</v>
      </c>
      <c r="AD10" s="250">
        <v>1137</v>
      </c>
    </row>
    <row r="11" spans="1:35" ht="15" thickTop="1" thickBot="1">
      <c r="A11" s="260" t="str">
        <f t="shared" si="0"/>
        <v>4201-00</v>
      </c>
      <c r="B11" s="3">
        <v>45979</v>
      </c>
      <c r="C11" s="4" t="s">
        <v>17</v>
      </c>
      <c r="D11" s="4" t="s">
        <v>18</v>
      </c>
      <c r="E11" s="5" t="s">
        <v>3</v>
      </c>
      <c r="F11" s="265">
        <v>11507</v>
      </c>
      <c r="G11" s="2"/>
      <c r="H11" s="7">
        <f>78-H20</f>
        <v>39</v>
      </c>
      <c r="I11" s="7">
        <f>118-I20</f>
        <v>59</v>
      </c>
      <c r="J11" s="7">
        <f>124-J20</f>
        <v>62</v>
      </c>
      <c r="K11" s="7">
        <f>118-K20</f>
        <v>59</v>
      </c>
      <c r="L11" s="7">
        <f>78-L20</f>
        <v>39</v>
      </c>
      <c r="M11" s="7">
        <f>46-M20</f>
        <v>23</v>
      </c>
      <c r="N11" s="8"/>
      <c r="O11" s="14">
        <f t="shared" si="1"/>
        <v>281</v>
      </c>
      <c r="Q11" s="252" t="s">
        <v>19</v>
      </c>
      <c r="R11" s="266"/>
      <c r="S11" s="266"/>
      <c r="T11" s="266"/>
      <c r="U11" s="266"/>
      <c r="V11" s="266"/>
      <c r="W11" s="266"/>
      <c r="X11" s="266"/>
      <c r="Y11" s="267"/>
      <c r="Z11" s="268">
        <f t="shared" ref="Z11:Z16" si="2">SUM(S11:Y11)</f>
        <v>0</v>
      </c>
      <c r="AD11" s="250">
        <v>1579</v>
      </c>
      <c r="AI11" s="250"/>
    </row>
    <row r="12" spans="1:35" ht="15" thickTop="1" thickBot="1">
      <c r="A12" s="260" t="str">
        <f t="shared" si="0"/>
        <v>4201-00</v>
      </c>
      <c r="B12" s="3">
        <v>46043</v>
      </c>
      <c r="C12" s="3"/>
      <c r="D12" s="52"/>
      <c r="E12" s="5" t="s">
        <v>3</v>
      </c>
      <c r="F12" s="269" t="s">
        <v>20</v>
      </c>
      <c r="G12" s="6"/>
      <c r="H12" s="7">
        <f>50-H29-H21</f>
        <v>24</v>
      </c>
      <c r="I12" s="7">
        <f>100-I29-I21</f>
        <v>50</v>
      </c>
      <c r="J12" s="7">
        <f>120-J29-J21</f>
        <v>62</v>
      </c>
      <c r="K12" s="7">
        <f>100-K29-K21</f>
        <v>46</v>
      </c>
      <c r="L12" s="7">
        <f>90-L29-L21</f>
        <v>50</v>
      </c>
      <c r="M12" s="7">
        <f>60-M29-M21</f>
        <v>29</v>
      </c>
      <c r="N12" s="15"/>
      <c r="O12" s="14">
        <f t="shared" si="1"/>
        <v>261</v>
      </c>
      <c r="Q12" s="252" t="s">
        <v>4</v>
      </c>
      <c r="R12" s="266">
        <f>78/19</f>
        <v>4.1052631578947372</v>
      </c>
      <c r="S12" s="266"/>
      <c r="T12" s="266"/>
      <c r="U12" s="266"/>
      <c r="V12" s="266"/>
      <c r="W12" s="266"/>
      <c r="X12" s="266"/>
      <c r="Y12" s="266"/>
      <c r="Z12" s="266">
        <f t="shared" si="2"/>
        <v>0</v>
      </c>
      <c r="AD12" s="250">
        <f>+AD11-AD10</f>
        <v>442</v>
      </c>
    </row>
    <row r="13" spans="1:35" ht="15" thickTop="1" thickBot="1">
      <c r="A13" s="260" t="str">
        <f t="shared" si="0"/>
        <v>4201-00</v>
      </c>
      <c r="B13" s="3">
        <v>46055</v>
      </c>
      <c r="C13" s="3"/>
      <c r="D13" s="57" t="s">
        <v>21</v>
      </c>
      <c r="E13" s="5" t="s">
        <v>3</v>
      </c>
      <c r="F13" s="269" t="s">
        <v>22</v>
      </c>
      <c r="G13" s="6"/>
      <c r="H13" s="15">
        <v>55</v>
      </c>
      <c r="I13" s="15">
        <v>110</v>
      </c>
      <c r="J13" s="15">
        <v>129</v>
      </c>
      <c r="K13" s="15">
        <v>110</v>
      </c>
      <c r="L13" s="15">
        <v>55</v>
      </c>
      <c r="M13" s="15">
        <v>38</v>
      </c>
      <c r="N13" s="15"/>
      <c r="O13" s="16">
        <f t="shared" si="1"/>
        <v>497</v>
      </c>
      <c r="Q13" s="252" t="s">
        <v>6</v>
      </c>
      <c r="R13" s="266">
        <f>25/11</f>
        <v>2.2727272727272729</v>
      </c>
      <c r="S13" s="266"/>
      <c r="T13" s="266"/>
      <c r="U13" s="266"/>
      <c r="V13" s="266"/>
      <c r="W13" s="266"/>
      <c r="X13" s="266"/>
      <c r="Y13" s="266"/>
      <c r="Z13" s="266">
        <f t="shared" si="2"/>
        <v>0</v>
      </c>
    </row>
    <row r="14" spans="1:35" ht="15" thickTop="1" thickBot="1">
      <c r="A14" s="260" t="str">
        <f t="shared" si="0"/>
        <v>4201-00</v>
      </c>
      <c r="B14" s="3"/>
      <c r="C14" s="3"/>
      <c r="D14" s="3"/>
      <c r="E14" s="5" t="s">
        <v>3</v>
      </c>
      <c r="F14" s="269"/>
      <c r="G14" s="6"/>
      <c r="H14" s="8"/>
      <c r="I14" s="8"/>
      <c r="J14" s="8"/>
      <c r="K14" s="8"/>
      <c r="L14" s="8"/>
      <c r="M14" s="8"/>
      <c r="N14" s="15"/>
      <c r="O14" s="16">
        <f t="shared" si="1"/>
        <v>0</v>
      </c>
      <c r="Q14" s="266"/>
      <c r="R14" s="266"/>
      <c r="S14" s="266"/>
      <c r="T14" s="266"/>
      <c r="U14" s="266"/>
      <c r="V14" s="266"/>
      <c r="W14" s="266"/>
      <c r="X14" s="266"/>
      <c r="Y14" s="266"/>
      <c r="Z14" s="266">
        <f t="shared" si="2"/>
        <v>0</v>
      </c>
    </row>
    <row r="15" spans="1:35" ht="15" thickTop="1" thickBot="1">
      <c r="A15" s="270" t="str">
        <f t="shared" si="0"/>
        <v>4201-00</v>
      </c>
      <c r="B15" s="19"/>
      <c r="C15" s="19"/>
      <c r="D15" s="19"/>
      <c r="E15" s="20" t="s">
        <v>3</v>
      </c>
      <c r="F15" s="271"/>
      <c r="G15" s="21"/>
      <c r="H15" s="22"/>
      <c r="I15" s="22"/>
      <c r="J15" s="22"/>
      <c r="K15" s="22"/>
      <c r="L15" s="22"/>
      <c r="M15" s="22"/>
      <c r="N15" s="22"/>
      <c r="O15" s="23">
        <f t="shared" si="1"/>
        <v>0</v>
      </c>
      <c r="Q15" s="252" t="s">
        <v>2</v>
      </c>
      <c r="R15" s="272">
        <f>500/10.2</f>
        <v>49.019607843137258</v>
      </c>
      <c r="S15" s="252">
        <f>49*1.2</f>
        <v>58.8</v>
      </c>
      <c r="T15" s="252">
        <f>49*2.1</f>
        <v>102.9</v>
      </c>
      <c r="U15" s="252">
        <f>49*2.4</f>
        <v>117.6</v>
      </c>
      <c r="V15" s="252">
        <f>49*2.4</f>
        <v>117.6</v>
      </c>
      <c r="W15" s="252">
        <f>49*1.5</f>
        <v>73.5</v>
      </c>
      <c r="X15" s="252">
        <f>49*0.9</f>
        <v>44.1</v>
      </c>
      <c r="Y15" s="266"/>
      <c r="Z15" s="266">
        <f t="shared" si="2"/>
        <v>514.5</v>
      </c>
    </row>
    <row r="16" spans="1:35" ht="15" thickTop="1" thickBot="1">
      <c r="A16" s="273" t="str">
        <f t="shared" si="0"/>
        <v>4201-00</v>
      </c>
      <c r="B16" s="47"/>
      <c r="C16" s="47"/>
      <c r="D16" s="47"/>
      <c r="E16" s="48" t="s">
        <v>23</v>
      </c>
      <c r="F16" s="49" t="str">
        <f>+B9</f>
        <v>Ibiza Blue</v>
      </c>
      <c r="G16" s="48"/>
      <c r="H16" s="48">
        <f>+H10-H11-H12-H13-H15+H14</f>
        <v>-46</v>
      </c>
      <c r="I16" s="48">
        <f>+I10-I11-I12-I13-I15+I14</f>
        <v>-61</v>
      </c>
      <c r="J16" s="48">
        <f>+J10-J11-J12-J13-J15-J14</f>
        <v>-88</v>
      </c>
      <c r="K16" s="48">
        <f>+K10-K11-K12-K13-K15-K14</f>
        <v>-57</v>
      </c>
      <c r="L16" s="48">
        <f>+L10-L11-L12-L13-L15-L14</f>
        <v>-36</v>
      </c>
      <c r="M16" s="48">
        <f>+M10-M11-M12-M13-M15-M14</f>
        <v>-3</v>
      </c>
      <c r="N16" s="48"/>
      <c r="O16" s="48">
        <f t="shared" si="1"/>
        <v>-291</v>
      </c>
      <c r="Q16" s="266"/>
      <c r="R16" s="266"/>
      <c r="S16" s="252">
        <f t="shared" ref="S16:X16" si="3">SUM(S12:S15)</f>
        <v>58.8</v>
      </c>
      <c r="T16" s="252">
        <f t="shared" si="3"/>
        <v>102.9</v>
      </c>
      <c r="U16" s="252">
        <f t="shared" si="3"/>
        <v>117.6</v>
      </c>
      <c r="V16" s="252">
        <f t="shared" si="3"/>
        <v>117.6</v>
      </c>
      <c r="W16" s="252">
        <f t="shared" si="3"/>
        <v>73.5</v>
      </c>
      <c r="X16" s="252">
        <f t="shared" si="3"/>
        <v>44.1</v>
      </c>
      <c r="Y16" s="252"/>
      <c r="Z16" s="252">
        <f t="shared" si="2"/>
        <v>514.5</v>
      </c>
    </row>
    <row r="17" spans="1:26" ht="15" thickTop="1" thickBot="1">
      <c r="A17" s="254" t="s">
        <v>7</v>
      </c>
      <c r="B17" s="43" t="s">
        <v>8</v>
      </c>
      <c r="C17" s="43"/>
      <c r="D17" s="43"/>
      <c r="E17" s="44" t="s">
        <v>9</v>
      </c>
      <c r="F17" s="45"/>
      <c r="G17" s="45"/>
      <c r="H17" s="44"/>
      <c r="I17" s="44"/>
      <c r="J17" s="44"/>
      <c r="K17" s="44"/>
      <c r="L17" s="44"/>
      <c r="M17" s="44"/>
      <c r="N17" s="44"/>
      <c r="O17" s="44"/>
    </row>
    <row r="18" spans="1:26" ht="15" thickTop="1" thickBot="1">
      <c r="A18" s="255" t="s">
        <v>24</v>
      </c>
      <c r="B18" s="38" t="s">
        <v>11</v>
      </c>
      <c r="C18" s="9" t="s">
        <v>12</v>
      </c>
      <c r="D18" s="9" t="s">
        <v>13</v>
      </c>
      <c r="E18" s="10"/>
      <c r="F18" s="256" t="s">
        <v>14</v>
      </c>
      <c r="G18" s="257">
        <v>34</v>
      </c>
      <c r="H18" s="257">
        <v>36</v>
      </c>
      <c r="I18" s="257">
        <v>38</v>
      </c>
      <c r="J18" s="257">
        <v>40</v>
      </c>
      <c r="K18" s="257">
        <v>42</v>
      </c>
      <c r="L18" s="257">
        <v>44</v>
      </c>
      <c r="M18" s="257">
        <v>46</v>
      </c>
      <c r="N18" s="257"/>
      <c r="O18" s="258" t="s">
        <v>15</v>
      </c>
      <c r="Q18" s="259" t="s">
        <v>14</v>
      </c>
      <c r="R18" s="259"/>
      <c r="S18" s="259">
        <v>36</v>
      </c>
      <c r="T18" s="259">
        <v>38</v>
      </c>
      <c r="U18" s="259">
        <v>40</v>
      </c>
      <c r="V18" s="259">
        <v>42</v>
      </c>
      <c r="W18" s="259">
        <v>44</v>
      </c>
      <c r="X18" s="259">
        <v>46</v>
      </c>
      <c r="Y18" s="259"/>
      <c r="Z18" s="259" t="s">
        <v>15</v>
      </c>
    </row>
    <row r="19" spans="1:26" ht="15" thickTop="1" thickBot="1">
      <c r="A19" s="260" t="str">
        <f t="shared" ref="A19:A25" si="4">+A18</f>
        <v>4201-01</v>
      </c>
      <c r="B19" s="39" t="s">
        <v>16</v>
      </c>
      <c r="C19" s="39"/>
      <c r="D19" s="39"/>
      <c r="E19" s="40"/>
      <c r="F19" s="261" t="s">
        <v>1</v>
      </c>
      <c r="G19" s="261"/>
      <c r="H19" s="262">
        <f>'BASE DATOS'!C5</f>
        <v>34</v>
      </c>
      <c r="I19" s="262">
        <f>'BASE DATOS'!D5</f>
        <v>53</v>
      </c>
      <c r="J19" s="262">
        <f>'BASE DATOS'!E5</f>
        <v>60</v>
      </c>
      <c r="K19" s="262">
        <f>'BASE DATOS'!F5</f>
        <v>57</v>
      </c>
      <c r="L19" s="262">
        <f>'BASE DATOS'!G5</f>
        <v>41</v>
      </c>
      <c r="M19" s="262">
        <f>'BASE DATOS'!H5</f>
        <v>26</v>
      </c>
      <c r="N19" s="262"/>
      <c r="O19" s="263">
        <f t="shared" ref="O19:O25" si="5">SUM(H19:N19)</f>
        <v>271</v>
      </c>
      <c r="Q19" s="264"/>
      <c r="R19" s="264"/>
      <c r="S19" s="264"/>
      <c r="T19" s="264"/>
      <c r="U19" s="264"/>
      <c r="V19" s="264"/>
      <c r="W19" s="264"/>
      <c r="X19" s="264"/>
      <c r="Y19" s="264"/>
      <c r="Z19" s="264">
        <f>SUBTOTAL(9,S19:Y19)</f>
        <v>0</v>
      </c>
    </row>
    <row r="20" spans="1:26" ht="15" thickTop="1" thickBot="1">
      <c r="A20" s="260" t="str">
        <f t="shared" si="4"/>
        <v>4201-01</v>
      </c>
      <c r="B20" s="3">
        <v>45979</v>
      </c>
      <c r="C20" s="4" t="s">
        <v>17</v>
      </c>
      <c r="D20" s="4" t="s">
        <v>18</v>
      </c>
      <c r="E20" s="5" t="s">
        <v>3</v>
      </c>
      <c r="F20" s="265">
        <v>11507</v>
      </c>
      <c r="G20" s="2"/>
      <c r="H20" s="7">
        <v>39</v>
      </c>
      <c r="I20" s="7">
        <v>59</v>
      </c>
      <c r="J20" s="7">
        <v>62</v>
      </c>
      <c r="K20" s="7">
        <v>59</v>
      </c>
      <c r="L20" s="7">
        <v>39</v>
      </c>
      <c r="M20" s="7">
        <v>23</v>
      </c>
      <c r="N20" s="8"/>
      <c r="O20" s="14">
        <f t="shared" si="5"/>
        <v>281</v>
      </c>
      <c r="Q20" s="252" t="s">
        <v>19</v>
      </c>
      <c r="R20" s="266"/>
      <c r="S20" s="266"/>
      <c r="T20" s="266"/>
      <c r="U20" s="266"/>
      <c r="V20" s="266"/>
      <c r="W20" s="266"/>
      <c r="X20" s="266"/>
      <c r="Y20" s="267"/>
      <c r="Z20" s="268">
        <f t="shared" ref="Z20:Z25" si="6">SUM(S20:Y20)</f>
        <v>0</v>
      </c>
    </row>
    <row r="21" spans="1:26" ht="15" thickTop="1" thickBot="1">
      <c r="A21" s="260" t="str">
        <f t="shared" si="4"/>
        <v>4201-01</v>
      </c>
      <c r="B21" s="3"/>
      <c r="C21" s="3"/>
      <c r="D21" s="52"/>
      <c r="E21" s="5" t="s">
        <v>3</v>
      </c>
      <c r="F21" s="269" t="s">
        <v>20</v>
      </c>
      <c r="G21" s="6"/>
      <c r="H21" s="7">
        <v>2</v>
      </c>
      <c r="I21" s="7">
        <v>8</v>
      </c>
      <c r="J21" s="7">
        <v>12</v>
      </c>
      <c r="K21" s="7">
        <v>10</v>
      </c>
      <c r="L21" s="7">
        <v>7</v>
      </c>
      <c r="M21" s="7">
        <v>8</v>
      </c>
      <c r="N21" s="15"/>
      <c r="O21" s="14">
        <f t="shared" si="5"/>
        <v>47</v>
      </c>
      <c r="Q21" s="252" t="s">
        <v>4</v>
      </c>
      <c r="R21" s="266">
        <f>78/19</f>
        <v>4.1052631578947372</v>
      </c>
      <c r="S21" s="266"/>
      <c r="T21" s="266"/>
      <c r="U21" s="266"/>
      <c r="V21" s="266"/>
      <c r="W21" s="266"/>
      <c r="X21" s="266"/>
      <c r="Y21" s="266"/>
      <c r="Z21" s="266">
        <f t="shared" si="6"/>
        <v>0</v>
      </c>
    </row>
    <row r="22" spans="1:26" ht="15" thickTop="1" thickBot="1">
      <c r="A22" s="260" t="str">
        <f t="shared" si="4"/>
        <v>4201-01</v>
      </c>
      <c r="B22" s="3"/>
      <c r="C22" s="3"/>
      <c r="D22" s="57" t="s">
        <v>25</v>
      </c>
      <c r="E22" s="5" t="s">
        <v>3</v>
      </c>
      <c r="F22" s="269"/>
      <c r="G22" s="6"/>
      <c r="H22" s="15"/>
      <c r="I22" s="15"/>
      <c r="J22" s="15"/>
      <c r="K22" s="15"/>
      <c r="L22" s="15"/>
      <c r="M22" s="15"/>
      <c r="N22" s="15"/>
      <c r="O22" s="16">
        <f t="shared" si="5"/>
        <v>0</v>
      </c>
      <c r="Q22" s="252" t="s">
        <v>6</v>
      </c>
      <c r="R22" s="266">
        <f>25/11</f>
        <v>2.2727272727272729</v>
      </c>
      <c r="S22" s="266"/>
      <c r="T22" s="266"/>
      <c r="U22" s="266"/>
      <c r="V22" s="266"/>
      <c r="W22" s="266"/>
      <c r="X22" s="266"/>
      <c r="Y22" s="266"/>
      <c r="Z22" s="266">
        <f t="shared" si="6"/>
        <v>0</v>
      </c>
    </row>
    <row r="23" spans="1:26" ht="15" thickTop="1" thickBot="1">
      <c r="A23" s="260" t="str">
        <f t="shared" si="4"/>
        <v>4201-01</v>
      </c>
      <c r="B23" s="3"/>
      <c r="C23" s="3"/>
      <c r="D23" s="3"/>
      <c r="E23" s="5" t="s">
        <v>3</v>
      </c>
      <c r="F23" s="269"/>
      <c r="G23" s="6"/>
      <c r="H23" s="8"/>
      <c r="I23" s="8"/>
      <c r="J23" s="8"/>
      <c r="K23" s="8"/>
      <c r="L23" s="8"/>
      <c r="M23" s="8"/>
      <c r="N23" s="15"/>
      <c r="O23" s="16">
        <f t="shared" si="5"/>
        <v>0</v>
      </c>
      <c r="Q23" s="266"/>
      <c r="R23" s="266"/>
      <c r="S23" s="266"/>
      <c r="T23" s="266"/>
      <c r="U23" s="266"/>
      <c r="V23" s="266"/>
      <c r="W23" s="266"/>
      <c r="X23" s="266"/>
      <c r="Y23" s="266"/>
      <c r="Z23" s="266">
        <f t="shared" si="6"/>
        <v>0</v>
      </c>
    </row>
    <row r="24" spans="1:26" ht="15" thickTop="1" thickBot="1">
      <c r="A24" s="270" t="str">
        <f t="shared" si="4"/>
        <v>4201-01</v>
      </c>
      <c r="B24" s="19"/>
      <c r="C24" s="19"/>
      <c r="D24" s="19"/>
      <c r="E24" s="20" t="s">
        <v>3</v>
      </c>
      <c r="F24" s="271"/>
      <c r="G24" s="21"/>
      <c r="H24" s="22"/>
      <c r="I24" s="22"/>
      <c r="J24" s="22"/>
      <c r="K24" s="22"/>
      <c r="L24" s="22"/>
      <c r="M24" s="22"/>
      <c r="N24" s="22"/>
      <c r="O24" s="23">
        <f t="shared" si="5"/>
        <v>0</v>
      </c>
      <c r="Q24" s="252" t="s">
        <v>2</v>
      </c>
      <c r="R24" s="272">
        <f>500/10.2</f>
        <v>49.019607843137258</v>
      </c>
      <c r="S24" s="252">
        <f>49*1.2</f>
        <v>58.8</v>
      </c>
      <c r="T24" s="252">
        <f>49*2.1</f>
        <v>102.9</v>
      </c>
      <c r="U24" s="252">
        <f>49*2.4</f>
        <v>117.6</v>
      </c>
      <c r="V24" s="252">
        <f>49*2.4</f>
        <v>117.6</v>
      </c>
      <c r="W24" s="252">
        <f>49*1.5</f>
        <v>73.5</v>
      </c>
      <c r="X24" s="252">
        <f>49*0.9</f>
        <v>44.1</v>
      </c>
      <c r="Y24" s="266"/>
      <c r="Z24" s="266">
        <f t="shared" si="6"/>
        <v>514.5</v>
      </c>
    </row>
    <row r="25" spans="1:26" ht="15" thickTop="1" thickBot="1">
      <c r="A25" s="273" t="str">
        <f t="shared" si="4"/>
        <v>4201-01</v>
      </c>
      <c r="B25" s="47"/>
      <c r="C25" s="47"/>
      <c r="D25" s="47"/>
      <c r="E25" s="48" t="s">
        <v>23</v>
      </c>
      <c r="F25" s="49" t="str">
        <f>+B18</f>
        <v>Ibiza Blue</v>
      </c>
      <c r="G25" s="48"/>
      <c r="H25" s="48">
        <f>+H19-H20-H21-H22-H24+H23</f>
        <v>-7</v>
      </c>
      <c r="I25" s="48">
        <f>+I19-I20-I21-I22-I24+I23</f>
        <v>-14</v>
      </c>
      <c r="J25" s="48">
        <f>+J19-J20-J21-J22-J24-J23</f>
        <v>-14</v>
      </c>
      <c r="K25" s="48">
        <f>+K19-K20-K21-K22-K24-K23</f>
        <v>-12</v>
      </c>
      <c r="L25" s="48">
        <f>+L19-L20-L21-L22-L24-L23</f>
        <v>-5</v>
      </c>
      <c r="M25" s="48">
        <f>+M19-M20-M21-M22-M24-M23</f>
        <v>-5</v>
      </c>
      <c r="N25" s="48"/>
      <c r="O25" s="48">
        <f t="shared" si="5"/>
        <v>-57</v>
      </c>
      <c r="Q25" s="266"/>
      <c r="R25" s="266"/>
      <c r="S25" s="252">
        <f t="shared" ref="S25:X25" si="7">SUM(S21:S24)</f>
        <v>58.8</v>
      </c>
      <c r="T25" s="252">
        <f t="shared" si="7"/>
        <v>102.9</v>
      </c>
      <c r="U25" s="252">
        <f t="shared" si="7"/>
        <v>117.6</v>
      </c>
      <c r="V25" s="252">
        <f t="shared" si="7"/>
        <v>117.6</v>
      </c>
      <c r="W25" s="252">
        <f t="shared" si="7"/>
        <v>73.5</v>
      </c>
      <c r="X25" s="252">
        <f t="shared" si="7"/>
        <v>44.1</v>
      </c>
      <c r="Y25" s="252"/>
      <c r="Z25" s="252">
        <f t="shared" si="6"/>
        <v>514.5</v>
      </c>
    </row>
    <row r="26" spans="1:26" ht="15" thickTop="1" thickBot="1">
      <c r="A26" s="254" t="s">
        <v>7</v>
      </c>
      <c r="B26" s="43" t="s">
        <v>8</v>
      </c>
      <c r="C26" s="43"/>
      <c r="D26" s="43"/>
      <c r="E26" s="44" t="s">
        <v>9</v>
      </c>
      <c r="F26" s="45"/>
      <c r="G26" s="45"/>
      <c r="H26" s="44"/>
      <c r="I26" s="44"/>
      <c r="J26" s="44"/>
      <c r="K26" s="44"/>
      <c r="L26" s="44"/>
      <c r="M26" s="44"/>
      <c r="N26" s="44"/>
      <c r="O26" s="44"/>
    </row>
    <row r="27" spans="1:26" ht="15" thickTop="1" thickBot="1">
      <c r="A27" s="255" t="s">
        <v>26</v>
      </c>
      <c r="B27" s="38" t="s">
        <v>11</v>
      </c>
      <c r="C27" s="9" t="s">
        <v>12</v>
      </c>
      <c r="D27" s="9" t="s">
        <v>13</v>
      </c>
      <c r="E27" s="10"/>
      <c r="F27" s="256" t="s">
        <v>14</v>
      </c>
      <c r="G27" s="257">
        <v>34</v>
      </c>
      <c r="H27" s="257">
        <v>36</v>
      </c>
      <c r="I27" s="257">
        <v>38</v>
      </c>
      <c r="J27" s="257">
        <v>40</v>
      </c>
      <c r="K27" s="257">
        <v>42</v>
      </c>
      <c r="L27" s="257">
        <v>44</v>
      </c>
      <c r="M27" s="257">
        <v>46</v>
      </c>
      <c r="N27" s="257"/>
      <c r="O27" s="258" t="s">
        <v>15</v>
      </c>
      <c r="Q27" s="259" t="s">
        <v>14</v>
      </c>
      <c r="R27" s="259"/>
      <c r="S27" s="259">
        <v>36</v>
      </c>
      <c r="T27" s="259">
        <v>38</v>
      </c>
      <c r="U27" s="259">
        <v>40</v>
      </c>
      <c r="V27" s="259">
        <v>42</v>
      </c>
      <c r="W27" s="259">
        <v>44</v>
      </c>
      <c r="X27" s="259">
        <v>46</v>
      </c>
      <c r="Y27" s="259"/>
      <c r="Z27" s="259" t="s">
        <v>15</v>
      </c>
    </row>
    <row r="28" spans="1:26" ht="15" thickTop="1" thickBot="1">
      <c r="A28" s="260" t="str">
        <f t="shared" ref="A28:A34" si="8">+A27</f>
        <v>4201-60</v>
      </c>
      <c r="B28" s="39" t="s">
        <v>16</v>
      </c>
      <c r="C28" s="39"/>
      <c r="D28" s="39"/>
      <c r="E28" s="40"/>
      <c r="F28" s="261" t="s">
        <v>1</v>
      </c>
      <c r="G28" s="261"/>
      <c r="H28" s="262">
        <f>'BASE DATOS'!C6</f>
        <v>21</v>
      </c>
      <c r="I28" s="262">
        <f>'BASE DATOS'!D6</f>
        <v>38</v>
      </c>
      <c r="J28" s="262">
        <f>'BASE DATOS'!E6</f>
        <v>42</v>
      </c>
      <c r="K28" s="262">
        <f>'BASE DATOS'!F6</f>
        <v>40</v>
      </c>
      <c r="L28" s="262">
        <f>'BASE DATOS'!G6</f>
        <v>31</v>
      </c>
      <c r="M28" s="262">
        <f>'BASE DATOS'!H6</f>
        <v>22</v>
      </c>
      <c r="N28" s="262"/>
      <c r="O28" s="263">
        <f t="shared" ref="O28:O34" si="9">SUM(H28:N28)</f>
        <v>194</v>
      </c>
      <c r="Q28" s="264"/>
      <c r="R28" s="264"/>
      <c r="S28" s="264"/>
      <c r="T28" s="264"/>
      <c r="U28" s="264"/>
      <c r="V28" s="264"/>
      <c r="W28" s="264"/>
      <c r="X28" s="264"/>
      <c r="Y28" s="264"/>
      <c r="Z28" s="264">
        <f>SUBTOTAL(9,S28:Y28)</f>
        <v>0</v>
      </c>
    </row>
    <row r="29" spans="1:26" ht="15" thickTop="1" thickBot="1">
      <c r="A29" s="260" t="str">
        <f t="shared" si="8"/>
        <v>4201-60</v>
      </c>
      <c r="B29" s="3"/>
      <c r="C29" s="4" t="s">
        <v>17</v>
      </c>
      <c r="D29" s="4" t="s">
        <v>18</v>
      </c>
      <c r="E29" s="5" t="s">
        <v>3</v>
      </c>
      <c r="F29" s="265">
        <v>11550</v>
      </c>
      <c r="G29" s="2"/>
      <c r="H29" s="7">
        <v>24</v>
      </c>
      <c r="I29" s="7">
        <v>42</v>
      </c>
      <c r="J29" s="7">
        <v>46</v>
      </c>
      <c r="K29" s="7">
        <v>44</v>
      </c>
      <c r="L29" s="7">
        <v>33</v>
      </c>
      <c r="M29" s="7">
        <v>23</v>
      </c>
      <c r="N29" s="8"/>
      <c r="O29" s="14">
        <f t="shared" si="9"/>
        <v>212</v>
      </c>
      <c r="Q29" s="252" t="s">
        <v>19</v>
      </c>
      <c r="R29" s="266"/>
      <c r="S29" s="266"/>
      <c r="T29" s="266"/>
      <c r="U29" s="266"/>
      <c r="V29" s="266"/>
      <c r="W29" s="266"/>
      <c r="X29" s="266"/>
      <c r="Y29" s="267"/>
      <c r="Z29" s="268">
        <f t="shared" ref="Z29:Z34" si="10">SUM(S29:Y29)</f>
        <v>0</v>
      </c>
    </row>
    <row r="30" spans="1:26" ht="15" thickTop="1" thickBot="1">
      <c r="A30" s="260" t="str">
        <f t="shared" si="8"/>
        <v>4201-60</v>
      </c>
      <c r="B30" s="3"/>
      <c r="C30" s="3"/>
      <c r="D30" s="52"/>
      <c r="E30" s="5" t="s">
        <v>3</v>
      </c>
      <c r="F30" s="269"/>
      <c r="G30" s="6"/>
      <c r="H30" s="7"/>
      <c r="I30" s="7"/>
      <c r="J30" s="7"/>
      <c r="K30" s="7"/>
      <c r="L30" s="7"/>
      <c r="M30" s="7"/>
      <c r="N30" s="15"/>
      <c r="O30" s="14">
        <f t="shared" si="9"/>
        <v>0</v>
      </c>
      <c r="Q30" s="252" t="s">
        <v>4</v>
      </c>
      <c r="R30" s="266">
        <f>78/19</f>
        <v>4.1052631578947372</v>
      </c>
      <c r="S30" s="266"/>
      <c r="T30" s="266"/>
      <c r="U30" s="266"/>
      <c r="V30" s="266"/>
      <c r="W30" s="266"/>
      <c r="X30" s="266"/>
      <c r="Y30" s="266"/>
      <c r="Z30" s="266">
        <f t="shared" si="10"/>
        <v>0</v>
      </c>
    </row>
    <row r="31" spans="1:26" ht="15" thickTop="1" thickBot="1">
      <c r="A31" s="260" t="str">
        <f t="shared" si="8"/>
        <v>4201-60</v>
      </c>
      <c r="B31" s="3"/>
      <c r="C31" s="3"/>
      <c r="D31" s="57" t="s">
        <v>21</v>
      </c>
      <c r="E31" s="5" t="s">
        <v>3</v>
      </c>
      <c r="F31" s="269"/>
      <c r="G31" s="6"/>
      <c r="H31" s="15"/>
      <c r="I31" s="15"/>
      <c r="J31" s="15"/>
      <c r="K31" s="15"/>
      <c r="L31" s="15"/>
      <c r="M31" s="15"/>
      <c r="N31" s="15"/>
      <c r="O31" s="16">
        <f t="shared" si="9"/>
        <v>0</v>
      </c>
      <c r="Q31" s="252" t="s">
        <v>6</v>
      </c>
      <c r="R31" s="266">
        <f>25/11</f>
        <v>2.2727272727272729</v>
      </c>
      <c r="S31" s="266"/>
      <c r="T31" s="266"/>
      <c r="U31" s="266"/>
      <c r="V31" s="266"/>
      <c r="W31" s="266"/>
      <c r="X31" s="266"/>
      <c r="Y31" s="266"/>
      <c r="Z31" s="266">
        <f t="shared" si="10"/>
        <v>0</v>
      </c>
    </row>
    <row r="32" spans="1:26" ht="15" thickTop="1" thickBot="1">
      <c r="A32" s="260" t="str">
        <f t="shared" si="8"/>
        <v>4201-60</v>
      </c>
      <c r="B32" s="3"/>
      <c r="C32" s="3"/>
      <c r="D32" s="57" t="s">
        <v>27</v>
      </c>
      <c r="E32" s="5" t="s">
        <v>3</v>
      </c>
      <c r="F32" s="269"/>
      <c r="G32" s="6"/>
      <c r="H32" s="8"/>
      <c r="I32" s="8"/>
      <c r="J32" s="8"/>
      <c r="K32" s="8"/>
      <c r="L32" s="8"/>
      <c r="M32" s="8"/>
      <c r="N32" s="15"/>
      <c r="O32" s="16">
        <f t="shared" si="9"/>
        <v>0</v>
      </c>
      <c r="Q32" s="266"/>
      <c r="R32" s="266"/>
      <c r="S32" s="266"/>
      <c r="T32" s="266"/>
      <c r="U32" s="266"/>
      <c r="V32" s="266"/>
      <c r="W32" s="266"/>
      <c r="X32" s="266"/>
      <c r="Y32" s="266"/>
      <c r="Z32" s="266">
        <f t="shared" si="10"/>
        <v>0</v>
      </c>
    </row>
    <row r="33" spans="1:37" ht="15" thickTop="1" thickBot="1">
      <c r="A33" s="270" t="str">
        <f t="shared" si="8"/>
        <v>4201-60</v>
      </c>
      <c r="B33" s="19"/>
      <c r="C33" s="19"/>
      <c r="D33" s="19"/>
      <c r="E33" s="20" t="s">
        <v>3</v>
      </c>
      <c r="F33" s="271"/>
      <c r="G33" s="21"/>
      <c r="H33" s="22"/>
      <c r="I33" s="22"/>
      <c r="J33" s="22"/>
      <c r="K33" s="22"/>
      <c r="L33" s="22"/>
      <c r="M33" s="22"/>
      <c r="N33" s="22"/>
      <c r="O33" s="23">
        <f t="shared" si="9"/>
        <v>0</v>
      </c>
      <c r="Q33" s="252" t="s">
        <v>2</v>
      </c>
      <c r="R33" s="272">
        <f>500/10.2</f>
        <v>49.019607843137258</v>
      </c>
      <c r="S33" s="252">
        <f>49*1.2</f>
        <v>58.8</v>
      </c>
      <c r="T33" s="252">
        <f>49*2.1</f>
        <v>102.9</v>
      </c>
      <c r="U33" s="252">
        <f>49*2.4</f>
        <v>117.6</v>
      </c>
      <c r="V33" s="252">
        <f>49*2.4</f>
        <v>117.6</v>
      </c>
      <c r="W33" s="252">
        <f>49*1.5</f>
        <v>73.5</v>
      </c>
      <c r="X33" s="252">
        <f>49*0.9</f>
        <v>44.1</v>
      </c>
      <c r="Y33" s="266"/>
      <c r="Z33" s="266">
        <f t="shared" si="10"/>
        <v>514.5</v>
      </c>
    </row>
    <row r="34" spans="1:37" ht="15" thickTop="1" thickBot="1">
      <c r="A34" s="273" t="str">
        <f t="shared" si="8"/>
        <v>4201-60</v>
      </c>
      <c r="B34" s="47"/>
      <c r="C34" s="47"/>
      <c r="D34" s="47"/>
      <c r="E34" s="48" t="s">
        <v>23</v>
      </c>
      <c r="F34" s="49" t="str">
        <f>+B27</f>
        <v>Ibiza Blue</v>
      </c>
      <c r="G34" s="48"/>
      <c r="H34" s="48">
        <f>+H28-H29-H30-H31-H33+H32</f>
        <v>-3</v>
      </c>
      <c r="I34" s="48">
        <f>+I28-I29-I30-I31-I33+I32</f>
        <v>-4</v>
      </c>
      <c r="J34" s="48">
        <f>+J28-J29-J30-J31-J33-J32</f>
        <v>-4</v>
      </c>
      <c r="K34" s="48">
        <f>+K28-K29-K30-K31-K33-K32</f>
        <v>-4</v>
      </c>
      <c r="L34" s="48">
        <f>+L28-L29-L30-L31-L33-L32</f>
        <v>-2</v>
      </c>
      <c r="M34" s="48">
        <f>+M28-M29-M30-M31-M33-M32</f>
        <v>-1</v>
      </c>
      <c r="N34" s="48"/>
      <c r="O34" s="48">
        <f t="shared" si="9"/>
        <v>-18</v>
      </c>
      <c r="Q34" s="266"/>
      <c r="R34" s="266"/>
      <c r="S34" s="252">
        <f t="shared" ref="S34:X34" si="11">SUM(S30:S33)</f>
        <v>58.8</v>
      </c>
      <c r="T34" s="252">
        <f t="shared" si="11"/>
        <v>102.9</v>
      </c>
      <c r="U34" s="252">
        <f t="shared" si="11"/>
        <v>117.6</v>
      </c>
      <c r="V34" s="252">
        <f t="shared" si="11"/>
        <v>117.6</v>
      </c>
      <c r="W34" s="252">
        <f t="shared" si="11"/>
        <v>73.5</v>
      </c>
      <c r="X34" s="252">
        <f t="shared" si="11"/>
        <v>44.1</v>
      </c>
      <c r="Y34" s="252"/>
      <c r="Z34" s="252">
        <f t="shared" si="10"/>
        <v>514.5</v>
      </c>
    </row>
    <row r="35" spans="1:37" ht="15" thickTop="1" thickBot="1">
      <c r="A35" s="274" t="s">
        <v>7</v>
      </c>
      <c r="B35" s="43" t="s">
        <v>8</v>
      </c>
      <c r="C35" s="43"/>
      <c r="D35" s="43"/>
      <c r="E35" s="44" t="s">
        <v>9</v>
      </c>
      <c r="F35" s="45"/>
      <c r="G35" s="45"/>
      <c r="H35" s="44"/>
      <c r="I35" s="44"/>
      <c r="J35" s="44"/>
      <c r="K35" s="44"/>
      <c r="L35" s="44"/>
      <c r="M35" s="44"/>
      <c r="N35" s="44"/>
      <c r="O35" s="44"/>
      <c r="AC35" s="275" t="s">
        <v>3</v>
      </c>
      <c r="AD35" s="276">
        <v>46085</v>
      </c>
      <c r="AE35" s="275">
        <v>36</v>
      </c>
      <c r="AF35" s="275">
        <v>38</v>
      </c>
      <c r="AG35" s="275">
        <v>40</v>
      </c>
      <c r="AH35" s="275">
        <v>42</v>
      </c>
      <c r="AI35" s="277">
        <v>44</v>
      </c>
      <c r="AJ35" s="277">
        <v>46</v>
      </c>
      <c r="AK35" s="277" t="s">
        <v>28</v>
      </c>
    </row>
    <row r="36" spans="1:37" ht="15" thickTop="1" thickBot="1">
      <c r="A36" s="278">
        <v>4202</v>
      </c>
      <c r="B36" s="38" t="s">
        <v>11</v>
      </c>
      <c r="C36" s="9" t="s">
        <v>12</v>
      </c>
      <c r="D36" s="9" t="s">
        <v>13</v>
      </c>
      <c r="E36" s="10"/>
      <c r="F36" s="256" t="s">
        <v>14</v>
      </c>
      <c r="G36" s="257">
        <v>34</v>
      </c>
      <c r="H36" s="257">
        <v>36</v>
      </c>
      <c r="I36" s="257">
        <v>38</v>
      </c>
      <c r="J36" s="257">
        <v>40</v>
      </c>
      <c r="K36" s="257">
        <v>42</v>
      </c>
      <c r="L36" s="257">
        <v>44</v>
      </c>
      <c r="M36" s="257">
        <v>46</v>
      </c>
      <c r="N36" s="257"/>
      <c r="O36" s="258" t="s">
        <v>15</v>
      </c>
      <c r="Q36" s="259" t="s">
        <v>14</v>
      </c>
      <c r="R36" s="259"/>
      <c r="S36" s="259">
        <v>36</v>
      </c>
      <c r="T36" s="259">
        <v>38</v>
      </c>
      <c r="U36" s="259">
        <v>40</v>
      </c>
      <c r="V36" s="259">
        <v>42</v>
      </c>
      <c r="W36" s="259">
        <v>44</v>
      </c>
      <c r="X36" s="259">
        <v>46</v>
      </c>
      <c r="Y36" s="259"/>
      <c r="Z36" s="259" t="s">
        <v>15</v>
      </c>
      <c r="AC36" s="279" t="s">
        <v>29</v>
      </c>
      <c r="AD36" s="275">
        <v>11566</v>
      </c>
      <c r="AE36" s="279"/>
      <c r="AF36" s="279">
        <v>68</v>
      </c>
      <c r="AG36" s="279">
        <v>88</v>
      </c>
      <c r="AH36" s="279">
        <v>78</v>
      </c>
      <c r="AI36" s="279">
        <v>54</v>
      </c>
      <c r="AJ36" s="279">
        <v>48</v>
      </c>
      <c r="AK36" s="279">
        <f>SUM(AE36:AJ36)</f>
        <v>336</v>
      </c>
    </row>
    <row r="37" spans="1:37" ht="15" thickTop="1" thickBot="1">
      <c r="A37" s="280">
        <f t="shared" ref="A37:A43" si="12">+A36</f>
        <v>4202</v>
      </c>
      <c r="B37" s="39" t="s">
        <v>16</v>
      </c>
      <c r="C37" s="39"/>
      <c r="D37" s="39" t="str">
        <f>+B36</f>
        <v>Ibiza Blue</v>
      </c>
      <c r="E37" s="40"/>
      <c r="F37" s="261" t="s">
        <v>1</v>
      </c>
      <c r="G37" s="261"/>
      <c r="H37" s="262">
        <f>'BASE DATOS'!C7</f>
        <v>85</v>
      </c>
      <c r="I37" s="262">
        <f>'BASE DATOS'!D7</f>
        <v>181</v>
      </c>
      <c r="J37" s="262">
        <f>'BASE DATOS'!E7</f>
        <v>196</v>
      </c>
      <c r="K37" s="262">
        <f>'BASE DATOS'!F7</f>
        <v>188</v>
      </c>
      <c r="L37" s="262">
        <f>'BASE DATOS'!G7</f>
        <v>127</v>
      </c>
      <c r="M37" s="262">
        <f>'BASE DATOS'!H7</f>
        <v>99</v>
      </c>
      <c r="N37" s="262"/>
      <c r="O37" s="263">
        <f>SUM(H37:N37)</f>
        <v>876</v>
      </c>
      <c r="Q37" s="264"/>
      <c r="R37" s="264"/>
      <c r="S37" s="264"/>
      <c r="T37" s="264"/>
      <c r="U37" s="264"/>
      <c r="V37" s="264"/>
      <c r="W37" s="264"/>
      <c r="X37" s="264"/>
      <c r="Y37" s="264"/>
      <c r="Z37" s="264">
        <f>SUBTOTAL(9,S37:Y37)</f>
        <v>0</v>
      </c>
      <c r="AC37" s="281" t="s">
        <v>30</v>
      </c>
      <c r="AD37" s="282">
        <v>4202</v>
      </c>
    </row>
    <row r="38" spans="1:37" ht="15" thickTop="1" thickBot="1">
      <c r="A38" s="280">
        <f t="shared" si="12"/>
        <v>4202</v>
      </c>
      <c r="B38" s="3">
        <v>45986</v>
      </c>
      <c r="C38" s="4" t="s">
        <v>17</v>
      </c>
      <c r="D38" s="4" t="s">
        <v>31</v>
      </c>
      <c r="E38" s="5" t="s">
        <v>3</v>
      </c>
      <c r="F38" s="265">
        <v>11514</v>
      </c>
      <c r="G38" s="2"/>
      <c r="H38" s="7">
        <v>78</v>
      </c>
      <c r="I38" s="7">
        <v>100</v>
      </c>
      <c r="J38" s="7">
        <v>100</v>
      </c>
      <c r="K38" s="7">
        <v>100</v>
      </c>
      <c r="L38" s="7">
        <v>78</v>
      </c>
      <c r="M38" s="7">
        <v>50</v>
      </c>
      <c r="N38" s="8"/>
      <c r="O38" s="14">
        <f>SUM(H38:N38)</f>
        <v>506</v>
      </c>
      <c r="Q38" s="252" t="s">
        <v>19</v>
      </c>
      <c r="R38" s="266"/>
      <c r="S38" s="266"/>
      <c r="T38" s="266"/>
      <c r="U38" s="266"/>
      <c r="V38" s="266"/>
      <c r="W38" s="266"/>
      <c r="X38" s="266"/>
      <c r="Y38" s="267"/>
      <c r="Z38" s="268">
        <f t="shared" ref="Z38:Z43" si="13">SUM(S38:Y38)</f>
        <v>0</v>
      </c>
      <c r="AC38" s="279" t="s">
        <v>32</v>
      </c>
      <c r="AD38" s="275" t="s">
        <v>11</v>
      </c>
    </row>
    <row r="39" spans="1:37" ht="15" thickTop="1" thickBot="1">
      <c r="A39" s="280">
        <f t="shared" si="12"/>
        <v>4202</v>
      </c>
      <c r="B39" s="3">
        <v>46085</v>
      </c>
      <c r="C39" s="3"/>
      <c r="D39" s="52" t="s">
        <v>33</v>
      </c>
      <c r="E39" s="5" t="s">
        <v>3</v>
      </c>
      <c r="F39" s="398" t="s">
        <v>34</v>
      </c>
      <c r="G39" s="6"/>
      <c r="H39" s="7"/>
      <c r="I39" s="7">
        <v>90</v>
      </c>
      <c r="J39" s="7">
        <v>90</v>
      </c>
      <c r="K39" s="7">
        <v>100</v>
      </c>
      <c r="L39" s="7">
        <v>65</v>
      </c>
      <c r="M39" s="7">
        <v>60</v>
      </c>
      <c r="N39" s="15"/>
      <c r="O39" s="14">
        <f>SUM(H39:N39)</f>
        <v>405</v>
      </c>
      <c r="Q39" s="252" t="s">
        <v>4</v>
      </c>
      <c r="R39" s="266">
        <f>78/19</f>
        <v>4.1052631578947372</v>
      </c>
      <c r="S39" s="266"/>
      <c r="T39" s="266"/>
      <c r="U39" s="266"/>
      <c r="V39" s="266"/>
      <c r="W39" s="266"/>
      <c r="X39" s="266"/>
      <c r="Y39" s="266"/>
      <c r="Z39" s="266">
        <f t="shared" si="13"/>
        <v>0</v>
      </c>
      <c r="AC39" s="279" t="s">
        <v>12</v>
      </c>
      <c r="AD39" s="275" t="s">
        <v>13</v>
      </c>
    </row>
    <row r="40" spans="1:37" ht="15" thickTop="1" thickBot="1">
      <c r="A40" s="280">
        <f t="shared" si="12"/>
        <v>4202</v>
      </c>
      <c r="B40" s="3"/>
      <c r="C40" s="3"/>
      <c r="D40" s="3"/>
      <c r="E40" s="5" t="s">
        <v>3</v>
      </c>
      <c r="F40" s="269"/>
      <c r="G40" s="6"/>
      <c r="H40" s="15"/>
      <c r="I40" s="15"/>
      <c r="J40" s="15"/>
      <c r="K40" s="15"/>
      <c r="L40" s="15"/>
      <c r="M40" s="15"/>
      <c r="N40" s="15"/>
      <c r="O40" s="16"/>
      <c r="Q40" s="252" t="s">
        <v>6</v>
      </c>
      <c r="R40" s="266">
        <f>25/11</f>
        <v>2.2727272727272729</v>
      </c>
      <c r="S40" s="266"/>
      <c r="T40" s="266"/>
      <c r="U40" s="266"/>
      <c r="V40" s="266"/>
      <c r="W40" s="266"/>
      <c r="X40" s="266"/>
      <c r="Y40" s="266"/>
      <c r="Z40" s="266">
        <f t="shared" si="13"/>
        <v>0</v>
      </c>
      <c r="AB40" s="250"/>
      <c r="AC40" s="279" t="s">
        <v>17</v>
      </c>
      <c r="AD40" s="275" t="s">
        <v>31</v>
      </c>
    </row>
    <row r="41" spans="1:37" ht="15" thickTop="1" thickBot="1">
      <c r="A41" s="280">
        <f t="shared" si="12"/>
        <v>4202</v>
      </c>
      <c r="B41" s="3"/>
      <c r="C41" s="3"/>
      <c r="D41" s="3"/>
      <c r="E41" s="5" t="s">
        <v>3</v>
      </c>
      <c r="F41" s="269"/>
      <c r="G41" s="6"/>
      <c r="H41" s="8"/>
      <c r="I41" s="8"/>
      <c r="J41" s="8"/>
      <c r="K41" s="8"/>
      <c r="L41" s="8"/>
      <c r="M41" s="8"/>
      <c r="N41" s="15"/>
      <c r="O41" s="16">
        <f>SUM(H41:N41)</f>
        <v>0</v>
      </c>
      <c r="Q41" s="266"/>
      <c r="R41" s="266"/>
      <c r="S41" s="266"/>
      <c r="T41" s="266"/>
      <c r="U41" s="266"/>
      <c r="V41" s="266"/>
      <c r="W41" s="266"/>
      <c r="X41" s="266"/>
      <c r="Y41" s="266"/>
      <c r="Z41" s="266">
        <f t="shared" si="13"/>
        <v>0</v>
      </c>
    </row>
    <row r="42" spans="1:37" ht="15" thickTop="1" thickBot="1">
      <c r="A42" s="283">
        <f t="shared" si="12"/>
        <v>4202</v>
      </c>
      <c r="B42" s="19"/>
      <c r="C42" s="19"/>
      <c r="D42" s="19"/>
      <c r="E42" s="20" t="s">
        <v>3</v>
      </c>
      <c r="F42" s="271"/>
      <c r="G42" s="21"/>
      <c r="H42" s="22"/>
      <c r="I42" s="22"/>
      <c r="J42" s="22"/>
      <c r="K42" s="22"/>
      <c r="L42" s="22"/>
      <c r="M42" s="22"/>
      <c r="N42" s="22"/>
      <c r="O42" s="23">
        <f>SUM(H42:N42)</f>
        <v>0</v>
      </c>
      <c r="Q42" s="252" t="s">
        <v>2</v>
      </c>
      <c r="R42" s="272">
        <f>500/10.2</f>
        <v>49.019607843137258</v>
      </c>
      <c r="S42" s="252">
        <f>49*1.2</f>
        <v>58.8</v>
      </c>
      <c r="T42" s="252">
        <f>49*2.1</f>
        <v>102.9</v>
      </c>
      <c r="U42" s="252">
        <f>49*2.4</f>
        <v>117.6</v>
      </c>
      <c r="V42" s="252">
        <f>49*2.4</f>
        <v>117.6</v>
      </c>
      <c r="W42" s="252">
        <f>49*1.5</f>
        <v>73.5</v>
      </c>
      <c r="X42" s="252">
        <f>49*0.9</f>
        <v>44.1</v>
      </c>
      <c r="Y42" s="266"/>
      <c r="Z42" s="266">
        <f t="shared" si="13"/>
        <v>514.5</v>
      </c>
    </row>
    <row r="43" spans="1:37" ht="15" thickTop="1" thickBot="1">
      <c r="A43" s="284">
        <f t="shared" si="12"/>
        <v>4202</v>
      </c>
      <c r="B43" s="47"/>
      <c r="C43" s="47"/>
      <c r="D43" s="47"/>
      <c r="E43" s="48" t="s">
        <v>23</v>
      </c>
      <c r="F43" s="49" t="str">
        <f>+B36</f>
        <v>Ibiza Blue</v>
      </c>
      <c r="G43" s="48"/>
      <c r="H43" s="48">
        <f>+H37-H38-H39-H40-H42+H41</f>
        <v>7</v>
      </c>
      <c r="I43" s="48">
        <f>+I37-I38-I39-I40-I42+I41</f>
        <v>-9</v>
      </c>
      <c r="J43" s="48">
        <f>+J37-J38-J39-J40-J42-J41</f>
        <v>6</v>
      </c>
      <c r="K43" s="48">
        <f>+K37-K38-K39-K40-K42-K41</f>
        <v>-12</v>
      </c>
      <c r="L43" s="48">
        <f>+L37-L38-L39-L40-L42-L41</f>
        <v>-16</v>
      </c>
      <c r="M43" s="48">
        <f>+M37-M38-M39-M40-M42-M41</f>
        <v>-11</v>
      </c>
      <c r="N43" s="48"/>
      <c r="O43" s="48">
        <f>SUM(H43:N43)</f>
        <v>-35</v>
      </c>
      <c r="Q43" s="266"/>
      <c r="R43" s="266"/>
      <c r="S43" s="252">
        <f t="shared" ref="S43:X43" si="14">SUM(S39:S42)</f>
        <v>58.8</v>
      </c>
      <c r="T43" s="252">
        <f t="shared" si="14"/>
        <v>102.9</v>
      </c>
      <c r="U43" s="252">
        <f t="shared" si="14"/>
        <v>117.6</v>
      </c>
      <c r="V43" s="252">
        <f t="shared" si="14"/>
        <v>117.6</v>
      </c>
      <c r="W43" s="252">
        <f t="shared" si="14"/>
        <v>73.5</v>
      </c>
      <c r="X43" s="252">
        <f t="shared" si="14"/>
        <v>44.1</v>
      </c>
      <c r="Y43" s="252"/>
      <c r="Z43" s="252">
        <f t="shared" si="13"/>
        <v>514.5</v>
      </c>
    </row>
    <row r="44" spans="1:37" ht="15" thickTop="1" thickBot="1">
      <c r="A44" s="285" t="s">
        <v>7</v>
      </c>
      <c r="B44" s="43" t="s">
        <v>8</v>
      </c>
      <c r="C44" s="43"/>
      <c r="D44" s="43"/>
      <c r="E44" s="44" t="s">
        <v>9</v>
      </c>
      <c r="F44" s="45"/>
      <c r="G44" s="45"/>
      <c r="H44" s="44"/>
      <c r="I44" s="44"/>
      <c r="J44" s="44"/>
      <c r="K44" s="44"/>
      <c r="L44" s="44"/>
      <c r="M44" s="44"/>
      <c r="N44" s="44"/>
      <c r="O44" s="44"/>
      <c r="AC44" s="275" t="s">
        <v>3</v>
      </c>
      <c r="AD44" s="276">
        <v>46094</v>
      </c>
      <c r="AE44" s="275">
        <v>36</v>
      </c>
      <c r="AF44" s="275">
        <v>38</v>
      </c>
      <c r="AG44" s="275">
        <v>40</v>
      </c>
      <c r="AH44" s="275">
        <v>42</v>
      </c>
      <c r="AI44" s="277">
        <v>44</v>
      </c>
      <c r="AJ44" s="277">
        <v>46</v>
      </c>
      <c r="AK44" s="277" t="s">
        <v>28</v>
      </c>
    </row>
    <row r="45" spans="1:37" ht="15" thickTop="1" thickBot="1">
      <c r="A45" s="286" t="s">
        <v>35</v>
      </c>
      <c r="B45" s="38" t="s">
        <v>36</v>
      </c>
      <c r="C45" s="9" t="s">
        <v>12</v>
      </c>
      <c r="D45" s="9" t="s">
        <v>37</v>
      </c>
      <c r="E45" s="10"/>
      <c r="F45" s="256" t="s">
        <v>14</v>
      </c>
      <c r="G45" s="257">
        <v>34</v>
      </c>
      <c r="H45" s="257">
        <v>36</v>
      </c>
      <c r="I45" s="257">
        <v>38</v>
      </c>
      <c r="J45" s="257">
        <v>40</v>
      </c>
      <c r="K45" s="257">
        <v>42</v>
      </c>
      <c r="L45" s="257">
        <v>44</v>
      </c>
      <c r="M45" s="257">
        <v>46</v>
      </c>
      <c r="N45" s="257"/>
      <c r="O45" s="258" t="s">
        <v>15</v>
      </c>
      <c r="Q45" s="259" t="s">
        <v>14</v>
      </c>
      <c r="R45" s="259"/>
      <c r="S45" s="259">
        <v>36</v>
      </c>
      <c r="T45" s="259">
        <v>38</v>
      </c>
      <c r="U45" s="259">
        <v>40</v>
      </c>
      <c r="V45" s="259">
        <v>42</v>
      </c>
      <c r="W45" s="259">
        <v>44</v>
      </c>
      <c r="X45" s="259">
        <v>46</v>
      </c>
      <c r="Y45" s="259"/>
      <c r="Z45" s="259" t="s">
        <v>15</v>
      </c>
      <c r="AC45" s="279" t="s">
        <v>29</v>
      </c>
      <c r="AD45" s="275">
        <v>11571</v>
      </c>
      <c r="AE45" s="279">
        <v>50</v>
      </c>
      <c r="AF45" s="279">
        <v>100</v>
      </c>
      <c r="AG45" s="279">
        <v>100</v>
      </c>
      <c r="AH45" s="279">
        <v>100</v>
      </c>
      <c r="AI45" s="279">
        <v>65</v>
      </c>
      <c r="AJ45" s="279">
        <v>50</v>
      </c>
      <c r="AK45" s="279">
        <f>SUM(AE45:AJ45)</f>
        <v>465</v>
      </c>
    </row>
    <row r="46" spans="1:37" ht="15" thickTop="1" thickBot="1">
      <c r="A46" s="287" t="str">
        <f t="shared" ref="A46:A52" si="15">+A45</f>
        <v>4203-00</v>
      </c>
      <c r="B46" s="39" t="s">
        <v>16</v>
      </c>
      <c r="C46" s="39"/>
      <c r="D46" s="39" t="str">
        <f>+B45</f>
        <v>B2868-V3</v>
      </c>
      <c r="E46" s="40"/>
      <c r="F46" s="261" t="s">
        <v>1</v>
      </c>
      <c r="G46" s="261"/>
      <c r="H46" s="262">
        <f>'BASE DATOS'!C8</f>
        <v>4</v>
      </c>
      <c r="I46" s="262">
        <f>'BASE DATOS'!D8</f>
        <v>9</v>
      </c>
      <c r="J46" s="262">
        <f>'BASE DATOS'!E8</f>
        <v>9</v>
      </c>
      <c r="K46" s="262">
        <f>'BASE DATOS'!F8</f>
        <v>7</v>
      </c>
      <c r="L46" s="262">
        <f>'BASE DATOS'!G8</f>
        <v>2</v>
      </c>
      <c r="M46" s="262">
        <f>'BASE DATOS'!H8</f>
        <v>1</v>
      </c>
      <c r="N46" s="262"/>
      <c r="O46" s="263">
        <f t="shared" ref="O46:O52" si="16">SUM(H46:N46)</f>
        <v>32</v>
      </c>
      <c r="Q46" s="264"/>
      <c r="R46" s="264"/>
      <c r="S46" s="264"/>
      <c r="T46" s="264"/>
      <c r="U46" s="264"/>
      <c r="V46" s="264"/>
      <c r="W46" s="264"/>
      <c r="X46" s="264"/>
      <c r="Y46" s="264"/>
      <c r="Z46" s="264">
        <f>SUBTOTAL(9,S46:Y46)</f>
        <v>0</v>
      </c>
      <c r="AB46" s="288"/>
      <c r="AC46" s="281" t="s">
        <v>30</v>
      </c>
      <c r="AD46" s="282">
        <v>4203</v>
      </c>
    </row>
    <row r="47" spans="1:37" ht="15" thickTop="1" thickBot="1">
      <c r="A47" s="287" t="str">
        <f t="shared" si="15"/>
        <v>4203-00</v>
      </c>
      <c r="B47" s="3">
        <v>46094</v>
      </c>
      <c r="C47" s="4" t="s">
        <v>17</v>
      </c>
      <c r="D47" s="4" t="s">
        <v>38</v>
      </c>
      <c r="E47" s="5" t="s">
        <v>3</v>
      </c>
      <c r="F47" s="265">
        <v>11571</v>
      </c>
      <c r="G47" s="2"/>
      <c r="H47" s="7">
        <f>50-H56</f>
        <v>4</v>
      </c>
      <c r="I47" s="7">
        <f>100-I56</f>
        <v>9</v>
      </c>
      <c r="J47" s="7">
        <f>100-J56</f>
        <v>9</v>
      </c>
      <c r="K47" s="7">
        <f>100-K56</f>
        <v>7</v>
      </c>
      <c r="L47" s="7">
        <f>66-L56</f>
        <v>3</v>
      </c>
      <c r="M47" s="7">
        <f>50-M56</f>
        <v>1</v>
      </c>
      <c r="N47" s="8"/>
      <c r="O47" s="14">
        <f t="shared" si="16"/>
        <v>33</v>
      </c>
      <c r="Q47" s="252" t="s">
        <v>19</v>
      </c>
      <c r="R47" s="266"/>
      <c r="S47" s="266"/>
      <c r="T47" s="266"/>
      <c r="U47" s="266"/>
      <c r="V47" s="266"/>
      <c r="W47" s="266"/>
      <c r="X47" s="266"/>
      <c r="Y47" s="267"/>
      <c r="Z47" s="268">
        <f t="shared" ref="Z47:Z52" si="17">SUM(S47:Y47)</f>
        <v>0</v>
      </c>
      <c r="AB47" s="288"/>
      <c r="AC47" s="279" t="s">
        <v>32</v>
      </c>
      <c r="AD47" s="275" t="s">
        <v>36</v>
      </c>
    </row>
    <row r="48" spans="1:37" ht="15" thickTop="1" thickBot="1">
      <c r="A48" s="287" t="str">
        <f t="shared" si="15"/>
        <v>4203-00</v>
      </c>
      <c r="B48" s="3"/>
      <c r="C48" s="3"/>
      <c r="D48" s="52"/>
      <c r="E48" s="5" t="s">
        <v>3</v>
      </c>
      <c r="F48" s="269"/>
      <c r="G48" s="6"/>
      <c r="H48" s="7"/>
      <c r="I48" s="7"/>
      <c r="J48" s="7"/>
      <c r="K48" s="7"/>
      <c r="L48" s="7"/>
      <c r="M48" s="7"/>
      <c r="N48" s="15"/>
      <c r="O48" s="14">
        <f t="shared" si="16"/>
        <v>0</v>
      </c>
      <c r="Q48" s="252" t="s">
        <v>4</v>
      </c>
      <c r="R48" s="266">
        <f>78/19</f>
        <v>4.1052631578947372</v>
      </c>
      <c r="S48" s="266"/>
      <c r="T48" s="266"/>
      <c r="U48" s="266"/>
      <c r="V48" s="266"/>
      <c r="W48" s="266"/>
      <c r="X48" s="266"/>
      <c r="Y48" s="266"/>
      <c r="Z48" s="266">
        <f t="shared" si="17"/>
        <v>0</v>
      </c>
      <c r="AB48" s="288"/>
      <c r="AC48" s="279" t="s">
        <v>12</v>
      </c>
      <c r="AD48" s="275" t="s">
        <v>37</v>
      </c>
    </row>
    <row r="49" spans="1:37" ht="15" thickTop="1" thickBot="1">
      <c r="A49" s="287" t="str">
        <f t="shared" si="15"/>
        <v>4203-00</v>
      </c>
      <c r="B49" s="3"/>
      <c r="C49" s="3"/>
      <c r="D49" s="3"/>
      <c r="E49" s="5" t="s">
        <v>3</v>
      </c>
      <c r="F49" s="269"/>
      <c r="G49" s="6"/>
      <c r="H49" s="15"/>
      <c r="I49" s="15"/>
      <c r="J49" s="15"/>
      <c r="K49" s="15"/>
      <c r="L49" s="15"/>
      <c r="M49" s="15"/>
      <c r="N49" s="15"/>
      <c r="O49" s="16">
        <f t="shared" si="16"/>
        <v>0</v>
      </c>
      <c r="Q49" s="252" t="s">
        <v>6</v>
      </c>
      <c r="R49" s="266">
        <f>25/11</f>
        <v>2.2727272727272729</v>
      </c>
      <c r="S49" s="266"/>
      <c r="T49" s="266"/>
      <c r="U49" s="266"/>
      <c r="V49" s="266"/>
      <c r="W49" s="266"/>
      <c r="X49" s="266"/>
      <c r="Y49" s="266"/>
      <c r="Z49" s="266">
        <f t="shared" si="17"/>
        <v>0</v>
      </c>
      <c r="AB49" s="288"/>
      <c r="AC49" s="279" t="s">
        <v>17</v>
      </c>
      <c r="AD49" s="275" t="s">
        <v>38</v>
      </c>
    </row>
    <row r="50" spans="1:37" ht="15" thickTop="1" thickBot="1">
      <c r="A50" s="287" t="str">
        <f t="shared" si="15"/>
        <v>4203-00</v>
      </c>
      <c r="B50" s="3"/>
      <c r="C50" s="3"/>
      <c r="D50" s="3"/>
      <c r="E50" s="5" t="s">
        <v>3</v>
      </c>
      <c r="F50" s="269"/>
      <c r="G50" s="6"/>
      <c r="H50" s="8"/>
      <c r="I50" s="8"/>
      <c r="J50" s="8"/>
      <c r="K50" s="8"/>
      <c r="L50" s="8"/>
      <c r="M50" s="8"/>
      <c r="N50" s="15"/>
      <c r="O50" s="16">
        <f t="shared" si="16"/>
        <v>0</v>
      </c>
      <c r="Q50" s="266"/>
      <c r="R50" s="266"/>
      <c r="S50" s="266"/>
      <c r="T50" s="266"/>
      <c r="U50" s="266"/>
      <c r="V50" s="266"/>
      <c r="W50" s="266"/>
      <c r="X50" s="266"/>
      <c r="Y50" s="266"/>
      <c r="Z50" s="266">
        <f t="shared" si="17"/>
        <v>0</v>
      </c>
      <c r="AB50" s="288"/>
    </row>
    <row r="51" spans="1:37" ht="15" thickTop="1" thickBot="1">
      <c r="A51" s="290" t="str">
        <f t="shared" si="15"/>
        <v>4203-00</v>
      </c>
      <c r="B51" s="19"/>
      <c r="C51" s="19"/>
      <c r="D51" s="19"/>
      <c r="E51" s="20" t="s">
        <v>3</v>
      </c>
      <c r="F51" s="271"/>
      <c r="G51" s="21"/>
      <c r="H51" s="22"/>
      <c r="I51" s="22"/>
      <c r="J51" s="22"/>
      <c r="K51" s="22"/>
      <c r="L51" s="22"/>
      <c r="M51" s="22"/>
      <c r="N51" s="22"/>
      <c r="O51" s="23">
        <f t="shared" si="16"/>
        <v>0</v>
      </c>
      <c r="Q51" s="252" t="s">
        <v>2</v>
      </c>
      <c r="R51" s="272">
        <f>500/10.2</f>
        <v>49.019607843137258</v>
      </c>
      <c r="S51" s="252">
        <f>49*1.2</f>
        <v>58.8</v>
      </c>
      <c r="T51" s="252">
        <f>49*2.1</f>
        <v>102.9</v>
      </c>
      <c r="U51" s="252">
        <f>49*2.4</f>
        <v>117.6</v>
      </c>
      <c r="V51" s="252">
        <f>49*2.4</f>
        <v>117.6</v>
      </c>
      <c r="W51" s="252">
        <f>49*1.5</f>
        <v>73.5</v>
      </c>
      <c r="X51" s="252">
        <f>49*0.9</f>
        <v>44.1</v>
      </c>
      <c r="Y51" s="266"/>
      <c r="Z51" s="266">
        <f t="shared" si="17"/>
        <v>514.5</v>
      </c>
      <c r="AB51" s="288"/>
      <c r="AC51" s="289"/>
      <c r="AD51" s="289"/>
      <c r="AE51" s="289"/>
      <c r="AF51" s="289"/>
      <c r="AG51" s="289"/>
      <c r="AH51" s="289"/>
      <c r="AI51" s="289"/>
      <c r="AJ51" s="289"/>
      <c r="AK51" s="250"/>
    </row>
    <row r="52" spans="1:37" ht="15" thickTop="1" thickBot="1">
      <c r="A52" s="291" t="str">
        <f t="shared" si="15"/>
        <v>4203-00</v>
      </c>
      <c r="B52" s="47"/>
      <c r="C52" s="47"/>
      <c r="D52" s="47"/>
      <c r="E52" s="48" t="s">
        <v>23</v>
      </c>
      <c r="F52" s="49" t="str">
        <f>+B45</f>
        <v>B2868-V3</v>
      </c>
      <c r="G52" s="48"/>
      <c r="H52" s="48">
        <f>+H46-H47-H48-H49-H51+H50</f>
        <v>0</v>
      </c>
      <c r="I52" s="48">
        <f>+I46-I47-I48-I49-I51+I50</f>
        <v>0</v>
      </c>
      <c r="J52" s="48">
        <f>+J46-J47-J48-J49-J51-J50</f>
        <v>0</v>
      </c>
      <c r="K52" s="48">
        <f>+K46-K47-K48-K49-K51-K50</f>
        <v>0</v>
      </c>
      <c r="L52" s="48">
        <f>+L46-L47-L48-L49-L51-L50</f>
        <v>-1</v>
      </c>
      <c r="M52" s="48">
        <f>+M46-M47-M48-M49-M51-M50</f>
        <v>0</v>
      </c>
      <c r="N52" s="48"/>
      <c r="O52" s="48">
        <f t="shared" si="16"/>
        <v>-1</v>
      </c>
      <c r="Q52" s="266"/>
      <c r="R52" s="266"/>
      <c r="S52" s="252">
        <f t="shared" ref="S52:X52" si="18">SUM(S48:S51)</f>
        <v>58.8</v>
      </c>
      <c r="T52" s="252">
        <f t="shared" si="18"/>
        <v>102.9</v>
      </c>
      <c r="U52" s="252">
        <f t="shared" si="18"/>
        <v>117.6</v>
      </c>
      <c r="V52" s="252">
        <f t="shared" si="18"/>
        <v>117.6</v>
      </c>
      <c r="W52" s="252">
        <f t="shared" si="18"/>
        <v>73.5</v>
      </c>
      <c r="X52" s="252">
        <f t="shared" si="18"/>
        <v>44.1</v>
      </c>
      <c r="Y52" s="252"/>
      <c r="Z52" s="252">
        <f t="shared" si="17"/>
        <v>514.5</v>
      </c>
      <c r="AB52" s="288"/>
      <c r="AC52" s="289"/>
      <c r="AD52" s="289"/>
      <c r="AE52" s="289"/>
      <c r="AF52" s="289"/>
      <c r="AG52" s="289"/>
    </row>
    <row r="53" spans="1:37" ht="15" thickTop="1" thickBot="1">
      <c r="A53" s="285" t="s">
        <v>7</v>
      </c>
      <c r="B53" s="43" t="s">
        <v>8</v>
      </c>
      <c r="C53" s="43"/>
      <c r="D53" s="43"/>
      <c r="E53" s="44" t="s">
        <v>9</v>
      </c>
      <c r="F53" s="45"/>
      <c r="G53" s="45"/>
      <c r="H53" s="44"/>
      <c r="I53" s="44"/>
      <c r="J53" s="44"/>
      <c r="K53" s="44"/>
      <c r="L53" s="44"/>
      <c r="M53" s="44"/>
      <c r="N53" s="44"/>
      <c r="O53" s="44"/>
      <c r="AB53" s="288"/>
      <c r="AC53" s="289"/>
      <c r="AD53" s="289"/>
      <c r="AE53" s="289"/>
      <c r="AF53" s="289"/>
      <c r="AG53" s="289"/>
    </row>
    <row r="54" spans="1:37" ht="15" thickTop="1" thickBot="1">
      <c r="A54" s="286" t="s">
        <v>39</v>
      </c>
      <c r="B54" s="38" t="s">
        <v>36</v>
      </c>
      <c r="C54" s="9" t="s">
        <v>12</v>
      </c>
      <c r="D54" s="9" t="s">
        <v>37</v>
      </c>
      <c r="E54" s="10"/>
      <c r="F54" s="256" t="s">
        <v>14</v>
      </c>
      <c r="G54" s="257">
        <v>34</v>
      </c>
      <c r="H54" s="257">
        <v>36</v>
      </c>
      <c r="I54" s="257">
        <v>38</v>
      </c>
      <c r="J54" s="257">
        <v>40</v>
      </c>
      <c r="K54" s="257">
        <v>42</v>
      </c>
      <c r="L54" s="257">
        <v>44</v>
      </c>
      <c r="M54" s="257">
        <v>46</v>
      </c>
      <c r="N54" s="257"/>
      <c r="O54" s="258" t="s">
        <v>15</v>
      </c>
      <c r="Q54" s="259" t="s">
        <v>14</v>
      </c>
      <c r="R54" s="259"/>
      <c r="S54" s="259">
        <v>36</v>
      </c>
      <c r="T54" s="259">
        <v>38</v>
      </c>
      <c r="U54" s="259">
        <v>40</v>
      </c>
      <c r="V54" s="259">
        <v>42</v>
      </c>
      <c r="W54" s="259">
        <v>44</v>
      </c>
      <c r="X54" s="259">
        <v>46</v>
      </c>
      <c r="Y54" s="259"/>
      <c r="Z54" s="259" t="s">
        <v>15</v>
      </c>
      <c r="AB54" s="288"/>
      <c r="AC54" s="289"/>
      <c r="AD54" s="289"/>
      <c r="AE54" s="289"/>
      <c r="AF54" s="289"/>
      <c r="AG54" s="289"/>
    </row>
    <row r="55" spans="1:37" ht="15" thickTop="1" thickBot="1">
      <c r="A55" s="287" t="str">
        <f t="shared" ref="A55:A61" si="19">+A54</f>
        <v>4203-01</v>
      </c>
      <c r="B55" s="39" t="s">
        <v>16</v>
      </c>
      <c r="C55" s="39"/>
      <c r="D55" s="39" t="str">
        <f>+B54</f>
        <v>B2868-V3</v>
      </c>
      <c r="E55" s="40"/>
      <c r="F55" s="261" t="s">
        <v>1</v>
      </c>
      <c r="G55" s="261"/>
      <c r="H55" s="262">
        <v>40</v>
      </c>
      <c r="I55" s="262">
        <v>70</v>
      </c>
      <c r="J55" s="262">
        <v>70</v>
      </c>
      <c r="K55" s="262">
        <v>70</v>
      </c>
      <c r="L55" s="262">
        <v>50</v>
      </c>
      <c r="M55" s="262">
        <v>45</v>
      </c>
      <c r="N55" s="262"/>
      <c r="O55" s="263">
        <f t="shared" ref="O55:O61" si="20">SUM(H55:N55)</f>
        <v>345</v>
      </c>
      <c r="Q55" s="264"/>
      <c r="R55" s="264"/>
      <c r="S55" s="264"/>
      <c r="T55" s="264"/>
      <c r="U55" s="264"/>
      <c r="V55" s="264"/>
      <c r="W55" s="264"/>
      <c r="X55" s="264"/>
      <c r="Y55" s="264"/>
      <c r="Z55" s="264">
        <f>SUBTOTAL(9,S55:Y55)</f>
        <v>0</v>
      </c>
      <c r="AB55" s="288"/>
      <c r="AC55" s="289"/>
      <c r="AD55" s="289"/>
      <c r="AE55" s="289"/>
      <c r="AF55" s="289"/>
      <c r="AG55" s="289"/>
    </row>
    <row r="56" spans="1:37" ht="15" thickTop="1" thickBot="1">
      <c r="A56" s="287" t="str">
        <f t="shared" si="19"/>
        <v>4203-01</v>
      </c>
      <c r="B56" s="3">
        <v>46094</v>
      </c>
      <c r="C56" s="4" t="s">
        <v>17</v>
      </c>
      <c r="D56" s="4" t="s">
        <v>38</v>
      </c>
      <c r="E56" s="5" t="s">
        <v>3</v>
      </c>
      <c r="F56" s="265">
        <v>11571</v>
      </c>
      <c r="G56" s="2"/>
      <c r="H56" s="7">
        <v>46</v>
      </c>
      <c r="I56" s="7">
        <v>91</v>
      </c>
      <c r="J56" s="7">
        <v>91</v>
      </c>
      <c r="K56" s="7">
        <v>93</v>
      </c>
      <c r="L56" s="7">
        <v>63</v>
      </c>
      <c r="M56" s="7">
        <v>49</v>
      </c>
      <c r="N56" s="8"/>
      <c r="O56" s="14">
        <f t="shared" si="20"/>
        <v>433</v>
      </c>
      <c r="Q56" s="252" t="s">
        <v>19</v>
      </c>
      <c r="R56" s="266"/>
      <c r="S56" s="266"/>
      <c r="T56" s="266"/>
      <c r="U56" s="266"/>
      <c r="V56" s="266"/>
      <c r="W56" s="266"/>
      <c r="X56" s="266"/>
      <c r="Y56" s="267"/>
      <c r="Z56" s="268">
        <f t="shared" ref="Z56:Z61" si="21">SUM(S56:Y56)</f>
        <v>0</v>
      </c>
      <c r="AB56" s="288"/>
      <c r="AC56" s="289"/>
      <c r="AD56" s="289"/>
      <c r="AE56" s="289"/>
      <c r="AF56" s="289"/>
      <c r="AG56" s="289"/>
    </row>
    <row r="57" spans="1:37" ht="15" thickTop="1" thickBot="1">
      <c r="A57" s="287" t="str">
        <f t="shared" si="19"/>
        <v>4203-01</v>
      </c>
      <c r="B57" s="3"/>
      <c r="C57" s="3"/>
      <c r="D57" s="52"/>
      <c r="E57" s="5" t="s">
        <v>3</v>
      </c>
      <c r="F57" s="269"/>
      <c r="G57" s="6"/>
      <c r="H57" s="7"/>
      <c r="I57" s="7"/>
      <c r="J57" s="7"/>
      <c r="K57" s="7"/>
      <c r="L57" s="7"/>
      <c r="M57" s="7"/>
      <c r="N57" s="15"/>
      <c r="O57" s="14">
        <f t="shared" si="20"/>
        <v>0</v>
      </c>
      <c r="Q57" s="252" t="s">
        <v>4</v>
      </c>
      <c r="R57" s="266">
        <f>78/19</f>
        <v>4.1052631578947372</v>
      </c>
      <c r="S57" s="266"/>
      <c r="T57" s="266"/>
      <c r="U57" s="266"/>
      <c r="V57" s="266"/>
      <c r="W57" s="266"/>
      <c r="X57" s="266"/>
      <c r="Y57" s="266"/>
      <c r="Z57" s="266">
        <f t="shared" si="21"/>
        <v>0</v>
      </c>
      <c r="AB57" s="456"/>
      <c r="AC57" s="289"/>
      <c r="AD57" s="289"/>
      <c r="AE57" s="289"/>
      <c r="AF57" s="289"/>
      <c r="AG57" s="289"/>
    </row>
    <row r="58" spans="1:37" ht="15" thickTop="1" thickBot="1">
      <c r="A58" s="287" t="str">
        <f t="shared" si="19"/>
        <v>4203-01</v>
      </c>
      <c r="B58" s="3"/>
      <c r="C58" s="3"/>
      <c r="D58" s="3"/>
      <c r="E58" s="5" t="s">
        <v>3</v>
      </c>
      <c r="F58" s="269"/>
      <c r="G58" s="6"/>
      <c r="H58" s="15"/>
      <c r="I58" s="15"/>
      <c r="J58" s="15"/>
      <c r="K58" s="15"/>
      <c r="L58" s="15"/>
      <c r="M58" s="15"/>
      <c r="N58" s="15"/>
      <c r="O58" s="16">
        <f t="shared" si="20"/>
        <v>0</v>
      </c>
      <c r="Q58" s="252" t="s">
        <v>6</v>
      </c>
      <c r="R58" s="266">
        <f>25/11</f>
        <v>2.2727272727272729</v>
      </c>
      <c r="S58" s="266"/>
      <c r="T58" s="266"/>
      <c r="U58" s="266"/>
      <c r="V58" s="266"/>
      <c r="W58" s="266"/>
      <c r="X58" s="266"/>
      <c r="Y58" s="266"/>
      <c r="Z58" s="266">
        <f t="shared" si="21"/>
        <v>0</v>
      </c>
      <c r="AB58" s="288"/>
      <c r="AC58" s="289"/>
      <c r="AD58" s="289"/>
      <c r="AE58" s="289"/>
      <c r="AF58" s="289"/>
      <c r="AG58" s="289"/>
    </row>
    <row r="59" spans="1:37" ht="15" thickTop="1" thickBot="1">
      <c r="A59" s="287" t="str">
        <f t="shared" si="19"/>
        <v>4203-01</v>
      </c>
      <c r="B59" s="3"/>
      <c r="C59" s="3"/>
      <c r="D59" s="3"/>
      <c r="E59" s="5" t="s">
        <v>3</v>
      </c>
      <c r="F59" s="269"/>
      <c r="G59" s="6"/>
      <c r="H59" s="8"/>
      <c r="I59" s="8"/>
      <c r="J59" s="8"/>
      <c r="K59" s="8"/>
      <c r="L59" s="8"/>
      <c r="M59" s="8"/>
      <c r="N59" s="15"/>
      <c r="O59" s="16">
        <f t="shared" si="20"/>
        <v>0</v>
      </c>
      <c r="Q59" s="266"/>
      <c r="R59" s="266"/>
      <c r="S59" s="266"/>
      <c r="T59" s="266"/>
      <c r="U59" s="266"/>
      <c r="V59" s="266"/>
      <c r="W59" s="266"/>
      <c r="X59" s="266"/>
      <c r="Y59" s="266"/>
      <c r="Z59" s="266">
        <f t="shared" si="21"/>
        <v>0</v>
      </c>
      <c r="AB59" s="288"/>
      <c r="AC59" s="289"/>
      <c r="AD59" s="289"/>
      <c r="AE59" s="289"/>
      <c r="AF59" s="289"/>
      <c r="AG59" s="289"/>
    </row>
    <row r="60" spans="1:37" ht="15" thickTop="1" thickBot="1">
      <c r="A60" s="290" t="str">
        <f t="shared" si="19"/>
        <v>4203-01</v>
      </c>
      <c r="B60" s="19"/>
      <c r="C60" s="19"/>
      <c r="D60" s="19"/>
      <c r="E60" s="20" t="s">
        <v>3</v>
      </c>
      <c r="F60" s="271"/>
      <c r="G60" s="21"/>
      <c r="H60" s="22"/>
      <c r="I60" s="22"/>
      <c r="J60" s="22"/>
      <c r="K60" s="22"/>
      <c r="L60" s="22"/>
      <c r="M60" s="22"/>
      <c r="N60" s="22"/>
      <c r="O60" s="23">
        <f t="shared" si="20"/>
        <v>0</v>
      </c>
      <c r="Q60" s="252" t="s">
        <v>2</v>
      </c>
      <c r="R60" s="272">
        <f>500/10.2</f>
        <v>49.019607843137258</v>
      </c>
      <c r="S60" s="252">
        <f>49*1.2</f>
        <v>58.8</v>
      </c>
      <c r="T60" s="252">
        <f>49*2.1</f>
        <v>102.9</v>
      </c>
      <c r="U60" s="252">
        <f>49*2.4</f>
        <v>117.6</v>
      </c>
      <c r="V60" s="252">
        <f>49*2.4</f>
        <v>117.6</v>
      </c>
      <c r="W60" s="252">
        <f>49*1.5</f>
        <v>73.5</v>
      </c>
      <c r="X60" s="252">
        <f>49*0.9</f>
        <v>44.1</v>
      </c>
      <c r="Y60" s="266"/>
      <c r="Z60" s="266">
        <f t="shared" si="21"/>
        <v>514.5</v>
      </c>
      <c r="AB60" s="288"/>
      <c r="AC60" s="289"/>
      <c r="AD60" s="289"/>
      <c r="AE60" s="289"/>
      <c r="AF60" s="289"/>
      <c r="AG60" s="289"/>
    </row>
    <row r="61" spans="1:37" ht="15" thickTop="1" thickBot="1">
      <c r="A61" s="291" t="str">
        <f t="shared" si="19"/>
        <v>4203-01</v>
      </c>
      <c r="B61" s="47"/>
      <c r="C61" s="47"/>
      <c r="D61" s="47"/>
      <c r="E61" s="48" t="s">
        <v>23</v>
      </c>
      <c r="F61" s="49" t="str">
        <f>+B54</f>
        <v>B2868-V3</v>
      </c>
      <c r="G61" s="48"/>
      <c r="H61" s="48">
        <f>+H55-H56-H57-H58-H60+H59</f>
        <v>-6</v>
      </c>
      <c r="I61" s="48">
        <f>+I55-I56-I57-I58-I60+I59</f>
        <v>-21</v>
      </c>
      <c r="J61" s="48">
        <f>+J55-J56-J57-J58-J60-J59</f>
        <v>-21</v>
      </c>
      <c r="K61" s="48">
        <f>+K55-K56-K57-K58-K60-K59</f>
        <v>-23</v>
      </c>
      <c r="L61" s="48">
        <f>+L55-L56-L57-L58-L60-L59</f>
        <v>-13</v>
      </c>
      <c r="M61" s="48">
        <f>+M55-M56-M57-M58-M60-M59</f>
        <v>-4</v>
      </c>
      <c r="N61" s="48"/>
      <c r="O61" s="48">
        <f t="shared" si="20"/>
        <v>-88</v>
      </c>
      <c r="Q61" s="266"/>
      <c r="R61" s="266"/>
      <c r="S61" s="252">
        <f t="shared" ref="S61:X61" si="22">SUM(S57:S60)</f>
        <v>58.8</v>
      </c>
      <c r="T61" s="252">
        <f t="shared" si="22"/>
        <v>102.9</v>
      </c>
      <c r="U61" s="252">
        <f t="shared" si="22"/>
        <v>117.6</v>
      </c>
      <c r="V61" s="252">
        <f t="shared" si="22"/>
        <v>117.6</v>
      </c>
      <c r="W61" s="252">
        <f t="shared" si="22"/>
        <v>73.5</v>
      </c>
      <c r="X61" s="252">
        <f t="shared" si="22"/>
        <v>44.1</v>
      </c>
      <c r="Y61" s="252"/>
      <c r="Z61" s="252">
        <f t="shared" si="21"/>
        <v>514.5</v>
      </c>
      <c r="AB61" s="288"/>
      <c r="AC61" s="289"/>
      <c r="AD61" s="292" t="s">
        <v>40</v>
      </c>
      <c r="AE61" s="289"/>
      <c r="AF61" s="289"/>
      <c r="AG61" s="289"/>
    </row>
    <row r="62" spans="1:37" ht="15" thickTop="1" thickBot="1">
      <c r="A62" s="293" t="s">
        <v>7</v>
      </c>
      <c r="B62" s="43" t="s">
        <v>8</v>
      </c>
      <c r="C62" s="43"/>
      <c r="D62" s="43"/>
      <c r="E62" s="44" t="s">
        <v>9</v>
      </c>
      <c r="F62" s="45"/>
      <c r="G62" s="45"/>
      <c r="H62" s="44"/>
      <c r="I62" s="44"/>
      <c r="J62" s="44"/>
      <c r="K62" s="44"/>
      <c r="L62" s="44"/>
      <c r="M62" s="44"/>
      <c r="N62" s="44"/>
      <c r="O62" s="44"/>
      <c r="AB62" s="288"/>
      <c r="AC62" s="275" t="s">
        <v>3</v>
      </c>
      <c r="AD62" s="276">
        <v>46085</v>
      </c>
      <c r="AE62" s="275">
        <v>36</v>
      </c>
      <c r="AF62" s="275">
        <v>38</v>
      </c>
      <c r="AG62" s="275">
        <v>40</v>
      </c>
      <c r="AH62" s="275">
        <v>42</v>
      </c>
      <c r="AI62" s="277">
        <v>44</v>
      </c>
      <c r="AJ62" s="277">
        <v>46</v>
      </c>
      <c r="AK62" s="277" t="s">
        <v>28</v>
      </c>
    </row>
    <row r="63" spans="1:37" ht="15" thickTop="1" thickBot="1">
      <c r="A63" s="294" t="s">
        <v>41</v>
      </c>
      <c r="B63" s="38" t="s">
        <v>36</v>
      </c>
      <c r="C63" s="9" t="s">
        <v>12</v>
      </c>
      <c r="D63" s="9" t="s">
        <v>37</v>
      </c>
      <c r="E63" s="10"/>
      <c r="F63" s="256" t="s">
        <v>14</v>
      </c>
      <c r="G63" s="257">
        <v>34</v>
      </c>
      <c r="H63" s="257">
        <v>36</v>
      </c>
      <c r="I63" s="257">
        <v>38</v>
      </c>
      <c r="J63" s="257">
        <v>40</v>
      </c>
      <c r="K63" s="257">
        <v>42</v>
      </c>
      <c r="L63" s="257">
        <v>44</v>
      </c>
      <c r="M63" s="257">
        <v>46</v>
      </c>
      <c r="N63" s="257"/>
      <c r="O63" s="258" t="s">
        <v>15</v>
      </c>
      <c r="Q63" s="259" t="s">
        <v>14</v>
      </c>
      <c r="R63" s="259"/>
      <c r="S63" s="259">
        <v>36</v>
      </c>
      <c r="T63" s="259">
        <v>38</v>
      </c>
      <c r="U63" s="259">
        <v>40</v>
      </c>
      <c r="V63" s="259">
        <v>42</v>
      </c>
      <c r="W63" s="259">
        <v>44</v>
      </c>
      <c r="X63" s="259">
        <v>46</v>
      </c>
      <c r="Y63" s="259"/>
      <c r="Z63" s="259" t="s">
        <v>15</v>
      </c>
      <c r="AB63" s="288"/>
      <c r="AC63" s="279" t="s">
        <v>29</v>
      </c>
      <c r="AD63" s="275">
        <v>11567</v>
      </c>
      <c r="AE63" s="279">
        <v>10</v>
      </c>
      <c r="AF63" s="279">
        <v>72</v>
      </c>
      <c r="AG63" s="279">
        <v>90</v>
      </c>
      <c r="AH63" s="279">
        <v>72</v>
      </c>
      <c r="AI63" s="279">
        <v>46</v>
      </c>
      <c r="AJ63" s="279">
        <v>44</v>
      </c>
      <c r="AK63" s="279">
        <f>SUM(AE63:AJ63)</f>
        <v>334</v>
      </c>
    </row>
    <row r="64" spans="1:37" ht="15" thickTop="1" thickBot="1">
      <c r="A64" s="295" t="str">
        <f t="shared" ref="A64:A70" si="23">+A63</f>
        <v>4204-00</v>
      </c>
      <c r="B64" s="39" t="s">
        <v>16</v>
      </c>
      <c r="C64" s="39"/>
      <c r="D64" s="39" t="str">
        <f>+B63</f>
        <v>B2868-V3</v>
      </c>
      <c r="E64" s="40"/>
      <c r="F64" s="261" t="s">
        <v>1</v>
      </c>
      <c r="G64" s="261"/>
      <c r="H64" s="262">
        <f>'BASE DATOS'!C10</f>
        <v>39</v>
      </c>
      <c r="I64" s="262">
        <f>'BASE DATOS'!D10</f>
        <v>82</v>
      </c>
      <c r="J64" s="262">
        <f>'BASE DATOS'!E10</f>
        <v>90</v>
      </c>
      <c r="K64" s="262">
        <f>'BASE DATOS'!F10</f>
        <v>81</v>
      </c>
      <c r="L64" s="262">
        <f>'BASE DATOS'!G10</f>
        <v>54</v>
      </c>
      <c r="M64" s="262">
        <f>'BASE DATOS'!H10</f>
        <v>40</v>
      </c>
      <c r="N64" s="262"/>
      <c r="O64" s="263">
        <f t="shared" ref="O64:O70" si="24">SUM(H64:N64)</f>
        <v>386</v>
      </c>
      <c r="Q64" s="264"/>
      <c r="R64" s="264"/>
      <c r="S64" s="264"/>
      <c r="T64" s="264"/>
      <c r="U64" s="264"/>
      <c r="V64" s="264"/>
      <c r="W64" s="264"/>
      <c r="X64" s="264"/>
      <c r="Y64" s="264"/>
      <c r="Z64" s="264">
        <f>SUBTOTAL(9,S64:Y64)</f>
        <v>0</v>
      </c>
      <c r="AB64" s="288"/>
      <c r="AC64" s="281" t="s">
        <v>30</v>
      </c>
      <c r="AD64" s="282">
        <v>4204</v>
      </c>
    </row>
    <row r="65" spans="1:37" ht="15" thickTop="1" thickBot="1">
      <c r="A65" s="295" t="str">
        <f t="shared" si="23"/>
        <v>4204-00</v>
      </c>
      <c r="B65" s="3">
        <v>46006</v>
      </c>
      <c r="C65" s="4" t="s">
        <v>17</v>
      </c>
      <c r="D65" s="4" t="s">
        <v>42</v>
      </c>
      <c r="E65" s="5" t="s">
        <v>3</v>
      </c>
      <c r="F65" s="265">
        <v>11542</v>
      </c>
      <c r="G65" s="2"/>
      <c r="H65" s="7">
        <f>78-H74-H83</f>
        <v>54</v>
      </c>
      <c r="I65" s="7">
        <f>100-I74-I83</f>
        <v>37</v>
      </c>
      <c r="J65" s="7">
        <f>100-J74-J83</f>
        <v>34</v>
      </c>
      <c r="K65" s="7">
        <f>100-K74-K83</f>
        <v>44</v>
      </c>
      <c r="L65" s="7">
        <f>78-L74-L83</f>
        <v>30</v>
      </c>
      <c r="M65" s="7">
        <f>50-M74-M83</f>
        <v>23</v>
      </c>
      <c r="N65" s="8"/>
      <c r="O65" s="14">
        <f t="shared" si="24"/>
        <v>222</v>
      </c>
      <c r="Q65" s="252" t="s">
        <v>19</v>
      </c>
      <c r="R65" s="266"/>
      <c r="S65" s="266"/>
      <c r="T65" s="266"/>
      <c r="U65" s="266"/>
      <c r="V65" s="266"/>
      <c r="W65" s="266"/>
      <c r="X65" s="266"/>
      <c r="Y65" s="267"/>
      <c r="Z65" s="268">
        <f t="shared" ref="Z65:Z70" si="25">SUM(S65:Y65)</f>
        <v>0</v>
      </c>
      <c r="AB65" s="288"/>
      <c r="AC65" s="279" t="s">
        <v>32</v>
      </c>
      <c r="AD65" s="275" t="s">
        <v>36</v>
      </c>
    </row>
    <row r="66" spans="1:37" ht="15" thickTop="1" thickBot="1">
      <c r="A66" s="295" t="str">
        <f t="shared" si="23"/>
        <v>4204-00</v>
      </c>
      <c r="B66" s="3">
        <v>46086</v>
      </c>
      <c r="C66" s="3"/>
      <c r="D66" s="52" t="s">
        <v>43</v>
      </c>
      <c r="E66" s="5" t="s">
        <v>3</v>
      </c>
      <c r="F66" s="269" t="s">
        <v>44</v>
      </c>
      <c r="G66" s="6"/>
      <c r="H66" s="7">
        <f>10-H84</f>
        <v>0</v>
      </c>
      <c r="I66" s="7">
        <f>72-I84</f>
        <v>46</v>
      </c>
      <c r="J66" s="7">
        <f>90-J84</f>
        <v>59</v>
      </c>
      <c r="K66" s="7">
        <f>72-K84</f>
        <v>38</v>
      </c>
      <c r="L66" s="7">
        <f>46-L84</f>
        <v>30</v>
      </c>
      <c r="M66" s="7">
        <f>44-M84</f>
        <v>18</v>
      </c>
      <c r="N66" s="15"/>
      <c r="O66" s="14">
        <f t="shared" si="24"/>
        <v>191</v>
      </c>
      <c r="Q66" s="252" t="s">
        <v>4</v>
      </c>
      <c r="R66" s="266">
        <f>78/19</f>
        <v>4.1052631578947372</v>
      </c>
      <c r="S66" s="266"/>
      <c r="T66" s="266"/>
      <c r="U66" s="266"/>
      <c r="V66" s="266"/>
      <c r="W66" s="266"/>
      <c r="X66" s="266"/>
      <c r="Y66" s="266"/>
      <c r="Z66" s="266">
        <f t="shared" si="25"/>
        <v>0</v>
      </c>
      <c r="AB66" s="288"/>
      <c r="AC66" s="279" t="s">
        <v>12</v>
      </c>
      <c r="AD66" s="275" t="s">
        <v>37</v>
      </c>
    </row>
    <row r="67" spans="1:37" ht="15" thickTop="1" thickBot="1">
      <c r="A67" s="295" t="str">
        <f t="shared" si="23"/>
        <v>4204-00</v>
      </c>
      <c r="B67" s="3"/>
      <c r="C67" s="3"/>
      <c r="D67" s="3"/>
      <c r="E67" s="5" t="s">
        <v>3</v>
      </c>
      <c r="F67" s="269"/>
      <c r="G67" s="6"/>
      <c r="H67" s="15"/>
      <c r="I67" s="15"/>
      <c r="J67" s="15"/>
      <c r="K67" s="15"/>
      <c r="L67" s="15"/>
      <c r="M67" s="15"/>
      <c r="N67" s="15"/>
      <c r="O67" s="16">
        <f t="shared" si="24"/>
        <v>0</v>
      </c>
      <c r="Q67" s="252" t="s">
        <v>6</v>
      </c>
      <c r="R67" s="266">
        <f>25/11</f>
        <v>2.2727272727272729</v>
      </c>
      <c r="S67" s="266"/>
      <c r="T67" s="266"/>
      <c r="U67" s="266"/>
      <c r="V67" s="266"/>
      <c r="W67" s="266"/>
      <c r="X67" s="266"/>
      <c r="Y67" s="266"/>
      <c r="Z67" s="266">
        <f t="shared" si="25"/>
        <v>0</v>
      </c>
      <c r="AB67" s="288"/>
      <c r="AC67" s="279" t="s">
        <v>17</v>
      </c>
      <c r="AD67" s="275" t="s">
        <v>45</v>
      </c>
    </row>
    <row r="68" spans="1:37" ht="15" thickTop="1" thickBot="1">
      <c r="A68" s="295" t="str">
        <f t="shared" si="23"/>
        <v>4204-00</v>
      </c>
      <c r="B68" s="3"/>
      <c r="C68" s="3"/>
      <c r="D68" s="3"/>
      <c r="E68" s="5" t="s">
        <v>3</v>
      </c>
      <c r="F68" s="269"/>
      <c r="G68" s="6"/>
      <c r="H68" s="8"/>
      <c r="I68" s="8"/>
      <c r="J68" s="8"/>
      <c r="K68" s="8"/>
      <c r="L68" s="8"/>
      <c r="M68" s="8"/>
      <c r="N68" s="15"/>
      <c r="O68" s="16">
        <f t="shared" si="24"/>
        <v>0</v>
      </c>
      <c r="Q68" s="266"/>
      <c r="R68" s="266"/>
      <c r="S68" s="266"/>
      <c r="T68" s="266"/>
      <c r="U68" s="266"/>
      <c r="V68" s="266"/>
      <c r="W68" s="266"/>
      <c r="X68" s="266"/>
      <c r="Y68" s="266"/>
      <c r="Z68" s="266">
        <f t="shared" si="25"/>
        <v>0</v>
      </c>
      <c r="AB68" s="288"/>
      <c r="AC68" s="289"/>
      <c r="AD68" s="289"/>
      <c r="AE68" s="289"/>
      <c r="AF68" s="289"/>
      <c r="AG68" s="289"/>
    </row>
    <row r="69" spans="1:37" ht="15" thickTop="1" thickBot="1">
      <c r="A69" s="296" t="str">
        <f t="shared" si="23"/>
        <v>4204-00</v>
      </c>
      <c r="B69" s="19"/>
      <c r="C69" s="19"/>
      <c r="D69" s="19"/>
      <c r="E69" s="20" t="s">
        <v>3</v>
      </c>
      <c r="F69" s="271"/>
      <c r="G69" s="21"/>
      <c r="H69" s="22"/>
      <c r="I69" s="22"/>
      <c r="J69" s="22"/>
      <c r="K69" s="22"/>
      <c r="L69" s="22"/>
      <c r="M69" s="22"/>
      <c r="N69" s="22"/>
      <c r="O69" s="23">
        <f t="shared" si="24"/>
        <v>0</v>
      </c>
      <c r="Q69" s="252" t="s">
        <v>2</v>
      </c>
      <c r="R69" s="272">
        <f>500/10.2</f>
        <v>49.019607843137258</v>
      </c>
      <c r="S69" s="252">
        <f>49*1.2</f>
        <v>58.8</v>
      </c>
      <c r="T69" s="252">
        <f>49*2.1</f>
        <v>102.9</v>
      </c>
      <c r="U69" s="252">
        <f>49*2.4</f>
        <v>117.6</v>
      </c>
      <c r="V69" s="252">
        <f>49*2.4</f>
        <v>117.6</v>
      </c>
      <c r="W69" s="252">
        <f>49*1.5</f>
        <v>73.5</v>
      </c>
      <c r="X69" s="252">
        <f>49*0.9</f>
        <v>44.1</v>
      </c>
      <c r="Y69" s="266"/>
      <c r="Z69" s="266">
        <f t="shared" si="25"/>
        <v>514.5</v>
      </c>
      <c r="AB69" s="288"/>
      <c r="AC69" s="643" t="s">
        <v>46</v>
      </c>
      <c r="AD69" s="643"/>
      <c r="AE69" s="297">
        <v>-25</v>
      </c>
      <c r="AF69" s="297">
        <v>-21</v>
      </c>
      <c r="AG69" s="297">
        <v>-22</v>
      </c>
      <c r="AH69" s="297">
        <v>-19</v>
      </c>
      <c r="AI69" s="297">
        <v>-15</v>
      </c>
      <c r="AJ69" s="297">
        <v>-10</v>
      </c>
      <c r="AK69" s="298">
        <f>SUM(AE69:AJ69)</f>
        <v>-112</v>
      </c>
    </row>
    <row r="70" spans="1:37" ht="15" thickTop="1" thickBot="1">
      <c r="A70" s="299" t="str">
        <f t="shared" si="23"/>
        <v>4204-00</v>
      </c>
      <c r="B70" s="47"/>
      <c r="C70" s="47"/>
      <c r="D70" s="47"/>
      <c r="E70" s="48" t="s">
        <v>23</v>
      </c>
      <c r="F70" s="49" t="str">
        <f>+B63</f>
        <v>B2868-V3</v>
      </c>
      <c r="G70" s="48"/>
      <c r="H70" s="48">
        <f>+H64-H65-H66-H67-H69+H68</f>
        <v>-15</v>
      </c>
      <c r="I70" s="48">
        <f>+I64-I65-I66-I67-I69+I68</f>
        <v>-1</v>
      </c>
      <c r="J70" s="48">
        <f>+J64-J65-J66-J67-J69-J68</f>
        <v>-3</v>
      </c>
      <c r="K70" s="48">
        <f>+K64-K65-K66-K67-K69-K68</f>
        <v>-1</v>
      </c>
      <c r="L70" s="48">
        <f>+L64-L65-L66-L67-L69-L68</f>
        <v>-6</v>
      </c>
      <c r="M70" s="48">
        <f>+M64-M65-M66-M67-M69-M68</f>
        <v>-1</v>
      </c>
      <c r="N70" s="48"/>
      <c r="O70" s="48">
        <f t="shared" si="24"/>
        <v>-27</v>
      </c>
      <c r="Q70" s="266"/>
      <c r="R70" s="266"/>
      <c r="S70" s="252">
        <f t="shared" ref="S70:X70" si="26">SUM(S66:S69)</f>
        <v>58.8</v>
      </c>
      <c r="T70" s="252">
        <f t="shared" si="26"/>
        <v>102.9</v>
      </c>
      <c r="U70" s="252">
        <f t="shared" si="26"/>
        <v>117.6</v>
      </c>
      <c r="V70" s="252">
        <f t="shared" si="26"/>
        <v>117.6</v>
      </c>
      <c r="W70" s="252">
        <f t="shared" si="26"/>
        <v>73.5</v>
      </c>
      <c r="X70" s="252">
        <f t="shared" si="26"/>
        <v>44.1</v>
      </c>
      <c r="Y70" s="252"/>
      <c r="Z70" s="252">
        <f t="shared" si="25"/>
        <v>514.5</v>
      </c>
      <c r="AB70" s="288"/>
      <c r="AC70" s="289"/>
      <c r="AE70" s="289"/>
      <c r="AF70" s="289"/>
      <c r="AG70" s="289"/>
    </row>
    <row r="71" spans="1:37" ht="15" thickTop="1" thickBot="1">
      <c r="A71" s="293" t="s">
        <v>7</v>
      </c>
      <c r="B71" s="43" t="s">
        <v>8</v>
      </c>
      <c r="C71" s="43"/>
      <c r="D71" s="43"/>
      <c r="E71" s="44" t="s">
        <v>9</v>
      </c>
      <c r="F71" s="45"/>
      <c r="G71" s="45"/>
      <c r="H71" s="44"/>
      <c r="I71" s="44"/>
      <c r="J71" s="44"/>
      <c r="K71" s="44"/>
      <c r="L71" s="44"/>
      <c r="M71" s="44"/>
      <c r="N71" s="44"/>
      <c r="O71" s="44"/>
      <c r="AB71" s="288"/>
      <c r="AC71" s="289"/>
      <c r="AD71" s="289"/>
      <c r="AE71" s="289"/>
      <c r="AF71" s="289"/>
      <c r="AG71" s="289"/>
    </row>
    <row r="72" spans="1:37" ht="15" thickTop="1" thickBot="1">
      <c r="A72" s="294" t="s">
        <v>47</v>
      </c>
      <c r="B72" s="38" t="s">
        <v>36</v>
      </c>
      <c r="C72" s="9" t="s">
        <v>12</v>
      </c>
      <c r="D72" s="9" t="s">
        <v>37</v>
      </c>
      <c r="E72" s="10"/>
      <c r="F72" s="256" t="s">
        <v>14</v>
      </c>
      <c r="G72" s="257">
        <v>34</v>
      </c>
      <c r="H72" s="257">
        <v>36</v>
      </c>
      <c r="I72" s="257">
        <v>38</v>
      </c>
      <c r="J72" s="257">
        <v>40</v>
      </c>
      <c r="K72" s="257">
        <v>42</v>
      </c>
      <c r="L72" s="257">
        <v>44</v>
      </c>
      <c r="M72" s="257">
        <v>46</v>
      </c>
      <c r="N72" s="257"/>
      <c r="O72" s="258" t="s">
        <v>15</v>
      </c>
      <c r="Q72" s="259" t="s">
        <v>14</v>
      </c>
      <c r="R72" s="259"/>
      <c r="S72" s="259">
        <v>36</v>
      </c>
      <c r="T72" s="259">
        <v>38</v>
      </c>
      <c r="U72" s="259">
        <v>40</v>
      </c>
      <c r="V72" s="259">
        <v>42</v>
      </c>
      <c r="W72" s="259">
        <v>44</v>
      </c>
      <c r="X72" s="259">
        <v>46</v>
      </c>
      <c r="Y72" s="259"/>
      <c r="Z72" s="259" t="s">
        <v>15</v>
      </c>
      <c r="AB72" s="288"/>
      <c r="AC72" s="289"/>
      <c r="AD72" s="289"/>
      <c r="AE72" s="289"/>
      <c r="AF72" s="289"/>
      <c r="AG72" s="289"/>
    </row>
    <row r="73" spans="1:37" ht="15" thickTop="1" thickBot="1">
      <c r="A73" s="295" t="str">
        <f t="shared" ref="A73:A79" si="27">+A72</f>
        <v>4204-01</v>
      </c>
      <c r="B73" s="39" t="s">
        <v>16</v>
      </c>
      <c r="C73" s="39"/>
      <c r="D73" s="39" t="str">
        <f>+B72</f>
        <v>B2868-V3</v>
      </c>
      <c r="E73" s="40"/>
      <c r="F73" s="261" t="s">
        <v>1</v>
      </c>
      <c r="G73" s="261"/>
      <c r="H73" s="262">
        <f>'BASE DATOS'!C11</f>
        <v>2</v>
      </c>
      <c r="I73" s="262">
        <f>'BASE DATOS'!D11</f>
        <v>6</v>
      </c>
      <c r="J73" s="262">
        <f>'BASE DATOS'!E11</f>
        <v>9</v>
      </c>
      <c r="K73" s="262">
        <f>'BASE DATOS'!F11</f>
        <v>8</v>
      </c>
      <c r="L73" s="262">
        <f>'BASE DATOS'!G11</f>
        <v>7</v>
      </c>
      <c r="M73" s="262">
        <f>'BASE DATOS'!H11</f>
        <v>5</v>
      </c>
      <c r="N73" s="262"/>
      <c r="O73" s="263">
        <f t="shared" ref="O73:O79" si="28">SUM(H73:N73)</f>
        <v>37</v>
      </c>
      <c r="Q73" s="264"/>
      <c r="R73" s="264"/>
      <c r="S73" s="264"/>
      <c r="T73" s="264"/>
      <c r="U73" s="264"/>
      <c r="V73" s="264"/>
      <c r="W73" s="264"/>
      <c r="X73" s="264"/>
      <c r="Y73" s="264"/>
      <c r="Z73" s="264">
        <f>SUBTOTAL(9,S73:Y73)</f>
        <v>0</v>
      </c>
      <c r="AB73" s="288"/>
      <c r="AC73" s="289"/>
      <c r="AD73" s="289"/>
      <c r="AE73" s="289"/>
      <c r="AF73" s="289"/>
      <c r="AG73" s="289"/>
    </row>
    <row r="74" spans="1:37" ht="15" thickTop="1" thickBot="1">
      <c r="A74" s="295" t="str">
        <f t="shared" si="27"/>
        <v>4204-01</v>
      </c>
      <c r="B74" s="3"/>
      <c r="C74" s="4" t="s">
        <v>17</v>
      </c>
      <c r="D74" s="4" t="s">
        <v>42</v>
      </c>
      <c r="E74" s="5" t="s">
        <v>3</v>
      </c>
      <c r="F74" s="265">
        <v>11542</v>
      </c>
      <c r="G74" s="2"/>
      <c r="H74" s="7"/>
      <c r="I74" s="7">
        <v>6</v>
      </c>
      <c r="J74" s="7">
        <v>9</v>
      </c>
      <c r="K74" s="7">
        <v>8</v>
      </c>
      <c r="L74" s="7">
        <v>7</v>
      </c>
      <c r="M74" s="7">
        <v>5</v>
      </c>
      <c r="N74" s="8"/>
      <c r="O74" s="14">
        <f t="shared" si="28"/>
        <v>35</v>
      </c>
      <c r="Q74" s="252" t="s">
        <v>19</v>
      </c>
      <c r="R74" s="266"/>
      <c r="S74" s="266"/>
      <c r="T74" s="266"/>
      <c r="U74" s="266"/>
      <c r="V74" s="266"/>
      <c r="W74" s="266"/>
      <c r="X74" s="266"/>
      <c r="Y74" s="267"/>
      <c r="Z74" s="268">
        <f t="shared" ref="Z74:Z79" si="29">SUM(S74:Y74)</f>
        <v>0</v>
      </c>
      <c r="AB74" s="288"/>
      <c r="AC74" s="289"/>
      <c r="AD74" s="289"/>
      <c r="AE74" s="289"/>
      <c r="AF74" s="289"/>
      <c r="AG74" s="289"/>
    </row>
    <row r="75" spans="1:37" ht="15" thickTop="1" thickBot="1">
      <c r="A75" s="295" t="str">
        <f t="shared" si="27"/>
        <v>4204-01</v>
      </c>
      <c r="B75" s="3"/>
      <c r="C75" s="3"/>
      <c r="D75" s="52" t="s">
        <v>43</v>
      </c>
      <c r="E75" s="5" t="s">
        <v>3</v>
      </c>
      <c r="F75" s="269"/>
      <c r="G75" s="6"/>
      <c r="H75" s="7"/>
      <c r="I75" s="7"/>
      <c r="J75" s="7"/>
      <c r="K75" s="7"/>
      <c r="L75" s="7"/>
      <c r="M75" s="7"/>
      <c r="N75" s="15"/>
      <c r="O75" s="14">
        <f t="shared" si="28"/>
        <v>0</v>
      </c>
      <c r="Q75" s="252" t="s">
        <v>4</v>
      </c>
      <c r="R75" s="266">
        <f>78/19</f>
        <v>4.1052631578947372</v>
      </c>
      <c r="S75" s="266"/>
      <c r="T75" s="266"/>
      <c r="U75" s="266"/>
      <c r="V75" s="266"/>
      <c r="W75" s="266"/>
      <c r="X75" s="266"/>
      <c r="Y75" s="266"/>
      <c r="Z75" s="266">
        <f t="shared" si="29"/>
        <v>0</v>
      </c>
      <c r="AB75" s="288"/>
      <c r="AC75" s="289"/>
      <c r="AD75" s="289"/>
      <c r="AE75" s="289"/>
      <c r="AF75" s="289"/>
      <c r="AG75" s="289"/>
    </row>
    <row r="76" spans="1:37" ht="15" thickTop="1" thickBot="1">
      <c r="A76" s="295" t="str">
        <f t="shared" si="27"/>
        <v>4204-01</v>
      </c>
      <c r="B76" s="3"/>
      <c r="C76" s="3"/>
      <c r="D76" s="3"/>
      <c r="E76" s="5" t="s">
        <v>3</v>
      </c>
      <c r="F76" s="269"/>
      <c r="G76" s="6"/>
      <c r="H76" s="15"/>
      <c r="I76" s="15"/>
      <c r="J76" s="15"/>
      <c r="K76" s="15"/>
      <c r="L76" s="15"/>
      <c r="M76" s="15"/>
      <c r="N76" s="15"/>
      <c r="O76" s="16">
        <f t="shared" si="28"/>
        <v>0</v>
      </c>
      <c r="Q76" s="252" t="s">
        <v>6</v>
      </c>
      <c r="R76" s="266">
        <f>25/11</f>
        <v>2.2727272727272729</v>
      </c>
      <c r="S76" s="266"/>
      <c r="T76" s="266"/>
      <c r="U76" s="266"/>
      <c r="V76" s="266"/>
      <c r="W76" s="266"/>
      <c r="X76" s="266"/>
      <c r="Y76" s="266"/>
      <c r="Z76" s="266">
        <f t="shared" si="29"/>
        <v>0</v>
      </c>
      <c r="AB76" s="288"/>
      <c r="AC76" s="289"/>
      <c r="AD76" s="289"/>
      <c r="AE76" s="289"/>
      <c r="AF76" s="289"/>
      <c r="AG76" s="289"/>
    </row>
    <row r="77" spans="1:37" ht="15" thickTop="1" thickBot="1">
      <c r="A77" s="295" t="str">
        <f t="shared" si="27"/>
        <v>4204-01</v>
      </c>
      <c r="B77" s="3"/>
      <c r="C77" s="3"/>
      <c r="D77" s="3"/>
      <c r="E77" s="5" t="s">
        <v>3</v>
      </c>
      <c r="F77" s="269"/>
      <c r="G77" s="6"/>
      <c r="H77" s="8"/>
      <c r="I77" s="8"/>
      <c r="J77" s="8"/>
      <c r="K77" s="8"/>
      <c r="L77" s="8"/>
      <c r="M77" s="8"/>
      <c r="N77" s="15"/>
      <c r="O77" s="16">
        <f t="shared" si="28"/>
        <v>0</v>
      </c>
      <c r="Q77" s="266"/>
      <c r="R77" s="266"/>
      <c r="S77" s="266"/>
      <c r="T77" s="266"/>
      <c r="U77" s="266"/>
      <c r="V77" s="266"/>
      <c r="W77" s="266"/>
      <c r="X77" s="266"/>
      <c r="Y77" s="266"/>
      <c r="Z77" s="266">
        <f t="shared" si="29"/>
        <v>0</v>
      </c>
      <c r="AB77" s="288"/>
      <c r="AC77" s="289"/>
      <c r="AD77" s="289"/>
      <c r="AE77" s="289"/>
      <c r="AF77" s="289"/>
      <c r="AG77" s="289"/>
    </row>
    <row r="78" spans="1:37" ht="15" thickTop="1" thickBot="1">
      <c r="A78" s="296" t="str">
        <f t="shared" si="27"/>
        <v>4204-01</v>
      </c>
      <c r="B78" s="19"/>
      <c r="C78" s="19"/>
      <c r="D78" s="19"/>
      <c r="E78" s="20" t="s">
        <v>3</v>
      </c>
      <c r="F78" s="271"/>
      <c r="G78" s="21"/>
      <c r="H78" s="22"/>
      <c r="I78" s="22"/>
      <c r="J78" s="22"/>
      <c r="K78" s="22"/>
      <c r="L78" s="22"/>
      <c r="M78" s="22"/>
      <c r="N78" s="22"/>
      <c r="O78" s="23">
        <f t="shared" si="28"/>
        <v>0</v>
      </c>
      <c r="Q78" s="252" t="s">
        <v>2</v>
      </c>
      <c r="R78" s="272">
        <f>500/10.2</f>
        <v>49.019607843137258</v>
      </c>
      <c r="S78" s="252">
        <f>49*1.2</f>
        <v>58.8</v>
      </c>
      <c r="T78" s="252">
        <f>49*2.1</f>
        <v>102.9</v>
      </c>
      <c r="U78" s="252">
        <f>49*2.4</f>
        <v>117.6</v>
      </c>
      <c r="V78" s="252">
        <f>49*2.4</f>
        <v>117.6</v>
      </c>
      <c r="W78" s="252">
        <f>49*1.5</f>
        <v>73.5</v>
      </c>
      <c r="X78" s="252">
        <f>49*0.9</f>
        <v>44.1</v>
      </c>
      <c r="Y78" s="266"/>
      <c r="Z78" s="266">
        <f t="shared" si="29"/>
        <v>514.5</v>
      </c>
      <c r="AB78" s="288"/>
      <c r="AC78" s="289"/>
      <c r="AD78" s="289"/>
      <c r="AE78" s="289"/>
      <c r="AF78" s="289"/>
      <c r="AG78" s="289"/>
    </row>
    <row r="79" spans="1:37" ht="15" thickTop="1" thickBot="1">
      <c r="A79" s="299" t="str">
        <f t="shared" si="27"/>
        <v>4204-01</v>
      </c>
      <c r="B79" s="47"/>
      <c r="C79" s="47"/>
      <c r="D79" s="47"/>
      <c r="E79" s="48" t="s">
        <v>23</v>
      </c>
      <c r="F79" s="49" t="str">
        <f>+B72</f>
        <v>B2868-V3</v>
      </c>
      <c r="G79" s="48"/>
      <c r="H79" s="48">
        <f>+H73-H74-H75-H76-H78+H77</f>
        <v>2</v>
      </c>
      <c r="I79" s="48">
        <f>+I73-I74-I75-I76-I78+I77</f>
        <v>0</v>
      </c>
      <c r="J79" s="48">
        <f>+J73-J74-J75-J76-J78-J77</f>
        <v>0</v>
      </c>
      <c r="K79" s="48">
        <f>+K73-K74-K75-K76-K78-K77</f>
        <v>0</v>
      </c>
      <c r="L79" s="48">
        <f>+L73-L74-L75-L76-L78-L77</f>
        <v>0</v>
      </c>
      <c r="M79" s="48">
        <f>+M73-M74-M75-M76-M78-M77</f>
        <v>0</v>
      </c>
      <c r="N79" s="48"/>
      <c r="O79" s="48">
        <f t="shared" si="28"/>
        <v>2</v>
      </c>
      <c r="Q79" s="266"/>
      <c r="R79" s="266"/>
      <c r="S79" s="252">
        <f t="shared" ref="S79:X79" si="30">SUM(S75:S78)</f>
        <v>58.8</v>
      </c>
      <c r="T79" s="252">
        <f t="shared" si="30"/>
        <v>102.9</v>
      </c>
      <c r="U79" s="252">
        <f t="shared" si="30"/>
        <v>117.6</v>
      </c>
      <c r="V79" s="252">
        <f t="shared" si="30"/>
        <v>117.6</v>
      </c>
      <c r="W79" s="252">
        <f t="shared" si="30"/>
        <v>73.5</v>
      </c>
      <c r="X79" s="252">
        <f t="shared" si="30"/>
        <v>44.1</v>
      </c>
      <c r="Y79" s="252"/>
      <c r="Z79" s="252">
        <f t="shared" si="29"/>
        <v>514.5</v>
      </c>
      <c r="AB79" s="288"/>
      <c r="AC79" s="289"/>
      <c r="AD79" s="289"/>
      <c r="AE79" s="289"/>
      <c r="AF79" s="289"/>
      <c r="AG79" s="289"/>
    </row>
    <row r="80" spans="1:37" ht="15" thickTop="1" thickBot="1">
      <c r="A80" s="293" t="s">
        <v>7</v>
      </c>
      <c r="B80" s="43" t="s">
        <v>8</v>
      </c>
      <c r="C80" s="43"/>
      <c r="D80" s="43"/>
      <c r="E80" s="44" t="s">
        <v>9</v>
      </c>
      <c r="F80" s="45"/>
      <c r="G80" s="45"/>
      <c r="H80" s="44"/>
      <c r="I80" s="44"/>
      <c r="J80" s="44"/>
      <c r="K80" s="44"/>
      <c r="L80" s="44"/>
      <c r="M80" s="44"/>
      <c r="N80" s="44"/>
      <c r="O80" s="44"/>
      <c r="AB80" s="288"/>
      <c r="AC80" s="289"/>
      <c r="AD80" s="289"/>
      <c r="AE80" s="289"/>
      <c r="AF80" s="289"/>
      <c r="AG80" s="289"/>
    </row>
    <row r="81" spans="1:37" ht="15" thickTop="1" thickBot="1">
      <c r="A81" s="294" t="s">
        <v>48</v>
      </c>
      <c r="B81" s="38" t="s">
        <v>36</v>
      </c>
      <c r="C81" s="9" t="s">
        <v>12</v>
      </c>
      <c r="D81" s="9" t="s">
        <v>37</v>
      </c>
      <c r="E81" s="10"/>
      <c r="F81" s="256" t="s">
        <v>14</v>
      </c>
      <c r="G81" s="257">
        <v>34</v>
      </c>
      <c r="H81" s="257">
        <v>36</v>
      </c>
      <c r="I81" s="257">
        <v>38</v>
      </c>
      <c r="J81" s="257">
        <v>40</v>
      </c>
      <c r="K81" s="257">
        <v>42</v>
      </c>
      <c r="L81" s="257">
        <v>44</v>
      </c>
      <c r="M81" s="257">
        <v>46</v>
      </c>
      <c r="N81" s="257"/>
      <c r="O81" s="258" t="s">
        <v>15</v>
      </c>
      <c r="Q81" s="259" t="s">
        <v>14</v>
      </c>
      <c r="R81" s="259"/>
      <c r="S81" s="259">
        <v>36</v>
      </c>
      <c r="T81" s="259">
        <v>38</v>
      </c>
      <c r="U81" s="259">
        <v>40</v>
      </c>
      <c r="V81" s="259">
        <v>42</v>
      </c>
      <c r="W81" s="259">
        <v>44</v>
      </c>
      <c r="X81" s="259">
        <v>46</v>
      </c>
      <c r="Y81" s="259"/>
      <c r="Z81" s="259" t="s">
        <v>15</v>
      </c>
      <c r="AB81" s="288"/>
      <c r="AC81" s="289"/>
      <c r="AD81" s="289"/>
      <c r="AE81" s="289"/>
      <c r="AF81" s="289"/>
      <c r="AG81" s="289"/>
    </row>
    <row r="82" spans="1:37" ht="15" thickTop="1" thickBot="1">
      <c r="A82" s="295" t="str">
        <f t="shared" ref="A82:A88" si="31">+A81</f>
        <v>4204-02</v>
      </c>
      <c r="B82" s="39" t="s">
        <v>16</v>
      </c>
      <c r="C82" s="39"/>
      <c r="D82" s="39" t="str">
        <f>+B81</f>
        <v>B2868-V3</v>
      </c>
      <c r="E82" s="40"/>
      <c r="F82" s="261" t="s">
        <v>1</v>
      </c>
      <c r="G82" s="261"/>
      <c r="H82" s="262">
        <f>'BASE DATOS'!C12</f>
        <v>31</v>
      </c>
      <c r="I82" s="262">
        <f>'BASE DATOS'!D12</f>
        <v>78</v>
      </c>
      <c r="J82" s="262">
        <f>'BASE DATOS'!E12</f>
        <v>83</v>
      </c>
      <c r="K82" s="262">
        <f>'BASE DATOS'!F12</f>
        <v>80</v>
      </c>
      <c r="L82" s="262">
        <f>'BASE DATOS'!G12</f>
        <v>56</v>
      </c>
      <c r="M82" s="262">
        <f>'BASE DATOS'!H12</f>
        <v>48</v>
      </c>
      <c r="N82" s="262"/>
      <c r="O82" s="263">
        <f t="shared" ref="O82:O88" si="32">SUM(H82:N82)</f>
        <v>376</v>
      </c>
      <c r="Q82" s="264"/>
      <c r="R82" s="264"/>
      <c r="S82" s="264"/>
      <c r="T82" s="264"/>
      <c r="U82" s="264"/>
      <c r="V82" s="264"/>
      <c r="W82" s="264"/>
      <c r="X82" s="264"/>
      <c r="Y82" s="264"/>
      <c r="Z82" s="264">
        <f>SUBTOTAL(9,S82:Y82)</f>
        <v>0</v>
      </c>
      <c r="AB82" s="288"/>
      <c r="AC82" s="289"/>
      <c r="AD82" s="289"/>
      <c r="AE82" s="289"/>
      <c r="AF82" s="289"/>
      <c r="AG82" s="289"/>
    </row>
    <row r="83" spans="1:37" ht="15" thickTop="1" thickBot="1">
      <c r="A83" s="295" t="str">
        <f t="shared" si="31"/>
        <v>4204-02</v>
      </c>
      <c r="B83" s="3"/>
      <c r="C83" s="4" t="s">
        <v>17</v>
      </c>
      <c r="D83" s="4" t="s">
        <v>42</v>
      </c>
      <c r="E83" s="5" t="s">
        <v>3</v>
      </c>
      <c r="F83" s="265">
        <v>11542</v>
      </c>
      <c r="G83" s="2"/>
      <c r="H83" s="7">
        <v>24</v>
      </c>
      <c r="I83" s="7">
        <v>57</v>
      </c>
      <c r="J83" s="7">
        <v>57</v>
      </c>
      <c r="K83" s="7">
        <v>48</v>
      </c>
      <c r="L83" s="7">
        <v>41</v>
      </c>
      <c r="M83" s="7">
        <v>22</v>
      </c>
      <c r="N83" s="8"/>
      <c r="O83" s="14">
        <f t="shared" si="32"/>
        <v>249</v>
      </c>
      <c r="Q83" s="252" t="s">
        <v>19</v>
      </c>
      <c r="R83" s="266"/>
      <c r="S83" s="266"/>
      <c r="T83" s="266"/>
      <c r="U83" s="266"/>
      <c r="V83" s="266"/>
      <c r="W83" s="266"/>
      <c r="X83" s="266"/>
      <c r="Y83" s="267"/>
      <c r="Z83" s="268">
        <f t="shared" ref="Z83:Z88" si="33">SUM(S83:Y83)</f>
        <v>0</v>
      </c>
      <c r="AB83" s="288"/>
      <c r="AC83" s="289"/>
      <c r="AD83" s="289"/>
      <c r="AE83" s="289"/>
      <c r="AF83" s="289"/>
      <c r="AG83" s="289"/>
    </row>
    <row r="84" spans="1:37" ht="15" thickTop="1" thickBot="1">
      <c r="A84" s="295" t="str">
        <f t="shared" si="31"/>
        <v>4204-02</v>
      </c>
      <c r="B84" s="3">
        <v>46086</v>
      </c>
      <c r="C84" s="3"/>
      <c r="D84" s="52" t="s">
        <v>43</v>
      </c>
      <c r="E84" s="5" t="s">
        <v>3</v>
      </c>
      <c r="F84" s="269" t="s">
        <v>44</v>
      </c>
      <c r="G84" s="6"/>
      <c r="H84" s="7">
        <v>10</v>
      </c>
      <c r="I84" s="7">
        <v>26</v>
      </c>
      <c r="J84" s="7">
        <v>31</v>
      </c>
      <c r="K84" s="7">
        <v>34</v>
      </c>
      <c r="L84" s="7">
        <v>16</v>
      </c>
      <c r="M84" s="7">
        <v>26</v>
      </c>
      <c r="N84" s="15"/>
      <c r="O84" s="14">
        <f t="shared" si="32"/>
        <v>143</v>
      </c>
      <c r="Q84" s="252" t="s">
        <v>4</v>
      </c>
      <c r="R84" s="266">
        <f>78/19</f>
        <v>4.1052631578947372</v>
      </c>
      <c r="S84" s="266"/>
      <c r="T84" s="266"/>
      <c r="U84" s="266"/>
      <c r="V84" s="266"/>
      <c r="W84" s="266"/>
      <c r="X84" s="266"/>
      <c r="Y84" s="266"/>
      <c r="Z84" s="266">
        <f t="shared" si="33"/>
        <v>0</v>
      </c>
      <c r="AB84" s="288"/>
      <c r="AC84" s="289"/>
      <c r="AD84" s="289"/>
      <c r="AE84" s="289"/>
      <c r="AF84" s="289"/>
      <c r="AG84" s="289"/>
    </row>
    <row r="85" spans="1:37" ht="15" thickTop="1" thickBot="1">
      <c r="A85" s="295" t="str">
        <f t="shared" si="31"/>
        <v>4204-02</v>
      </c>
      <c r="B85" s="3"/>
      <c r="C85" s="3"/>
      <c r="D85" s="3"/>
      <c r="E85" s="5" t="s">
        <v>3</v>
      </c>
      <c r="F85" s="269"/>
      <c r="G85" s="6"/>
      <c r="H85" s="15"/>
      <c r="I85" s="15"/>
      <c r="J85" s="15"/>
      <c r="K85" s="15"/>
      <c r="L85" s="15"/>
      <c r="M85" s="15"/>
      <c r="N85" s="15"/>
      <c r="O85" s="16">
        <f t="shared" si="32"/>
        <v>0</v>
      </c>
      <c r="Q85" s="252" t="s">
        <v>6</v>
      </c>
      <c r="R85" s="266">
        <f>25/11</f>
        <v>2.2727272727272729</v>
      </c>
      <c r="S85" s="266"/>
      <c r="T85" s="266"/>
      <c r="U85" s="266"/>
      <c r="V85" s="266"/>
      <c r="W85" s="266"/>
      <c r="X85" s="266"/>
      <c r="Y85" s="266"/>
      <c r="Z85" s="266">
        <f t="shared" si="33"/>
        <v>0</v>
      </c>
      <c r="AB85" s="288"/>
      <c r="AC85" s="289"/>
      <c r="AD85" s="289"/>
      <c r="AE85" s="289"/>
      <c r="AF85" s="289"/>
      <c r="AG85" s="289"/>
    </row>
    <row r="86" spans="1:37" ht="15" thickTop="1" thickBot="1">
      <c r="A86" s="295" t="str">
        <f t="shared" si="31"/>
        <v>4204-02</v>
      </c>
      <c r="B86" s="3"/>
      <c r="C86" s="3"/>
      <c r="D86" s="3"/>
      <c r="E86" s="5" t="s">
        <v>3</v>
      </c>
      <c r="F86" s="269"/>
      <c r="G86" s="6"/>
      <c r="H86" s="8"/>
      <c r="I86" s="8"/>
      <c r="J86" s="8"/>
      <c r="K86" s="8"/>
      <c r="L86" s="8"/>
      <c r="M86" s="8"/>
      <c r="N86" s="15"/>
      <c r="O86" s="16">
        <f t="shared" si="32"/>
        <v>0</v>
      </c>
      <c r="Q86" s="266"/>
      <c r="R86" s="266"/>
      <c r="S86" s="266"/>
      <c r="T86" s="266"/>
      <c r="U86" s="266"/>
      <c r="V86" s="266"/>
      <c r="W86" s="266"/>
      <c r="X86" s="266"/>
      <c r="Y86" s="266"/>
      <c r="Z86" s="266">
        <f t="shared" si="33"/>
        <v>0</v>
      </c>
      <c r="AB86" s="288"/>
      <c r="AC86" s="289"/>
      <c r="AD86" s="289"/>
      <c r="AE86" s="289"/>
      <c r="AF86" s="289"/>
      <c r="AG86" s="289"/>
    </row>
    <row r="87" spans="1:37" ht="15" thickTop="1" thickBot="1">
      <c r="A87" s="296" t="str">
        <f t="shared" si="31"/>
        <v>4204-02</v>
      </c>
      <c r="B87" s="19"/>
      <c r="C87" s="19"/>
      <c r="D87" s="19"/>
      <c r="E87" s="20" t="s">
        <v>3</v>
      </c>
      <c r="F87" s="271"/>
      <c r="G87" s="21"/>
      <c r="H87" s="22"/>
      <c r="I87" s="22"/>
      <c r="J87" s="22"/>
      <c r="K87" s="22"/>
      <c r="L87" s="22"/>
      <c r="M87" s="22"/>
      <c r="N87" s="22"/>
      <c r="O87" s="23">
        <f t="shared" si="32"/>
        <v>0</v>
      </c>
      <c r="Q87" s="252" t="s">
        <v>2</v>
      </c>
      <c r="R87" s="272">
        <f>500/10.2</f>
        <v>49.019607843137258</v>
      </c>
      <c r="S87" s="252">
        <f>49*1.2</f>
        <v>58.8</v>
      </c>
      <c r="T87" s="252">
        <f>49*2.1</f>
        <v>102.9</v>
      </c>
      <c r="U87" s="252">
        <f>49*2.4</f>
        <v>117.6</v>
      </c>
      <c r="V87" s="252">
        <f>49*2.4</f>
        <v>117.6</v>
      </c>
      <c r="W87" s="252">
        <f>49*1.5</f>
        <v>73.5</v>
      </c>
      <c r="X87" s="252">
        <f>49*0.9</f>
        <v>44.1</v>
      </c>
      <c r="Y87" s="266"/>
      <c r="Z87" s="266">
        <f t="shared" si="33"/>
        <v>514.5</v>
      </c>
      <c r="AB87" s="288"/>
      <c r="AC87" s="289"/>
      <c r="AD87" s="289"/>
      <c r="AE87" s="289"/>
      <c r="AF87" s="289"/>
      <c r="AG87" s="289"/>
    </row>
    <row r="88" spans="1:37" ht="15" thickTop="1" thickBot="1">
      <c r="A88" s="299" t="str">
        <f t="shared" si="31"/>
        <v>4204-02</v>
      </c>
      <c r="B88" s="47"/>
      <c r="C88" s="47"/>
      <c r="D88" s="47"/>
      <c r="E88" s="48" t="s">
        <v>23</v>
      </c>
      <c r="F88" s="49" t="str">
        <f>+B81</f>
        <v>B2868-V3</v>
      </c>
      <c r="G88" s="48"/>
      <c r="H88" s="48">
        <f>+H82-H83-H84-H85-H87+H86</f>
        <v>-3</v>
      </c>
      <c r="I88" s="48">
        <f>+I82-I83-I84-I85-I87+I86</f>
        <v>-5</v>
      </c>
      <c r="J88" s="48">
        <f>+J82-J83-J84-J85-J87-J86</f>
        <v>-5</v>
      </c>
      <c r="K88" s="48">
        <f>+K82-K83-K84-K85-K87-K86</f>
        <v>-2</v>
      </c>
      <c r="L88" s="48">
        <f>+L82-L83-L84-L85-L87-L86</f>
        <v>-1</v>
      </c>
      <c r="M88" s="48">
        <f>+M82-M83-M84-M85-M87-M86</f>
        <v>0</v>
      </c>
      <c r="N88" s="48"/>
      <c r="O88" s="48">
        <f t="shared" si="32"/>
        <v>-16</v>
      </c>
      <c r="Q88" s="266"/>
      <c r="R88" s="266"/>
      <c r="S88" s="252">
        <f t="shared" ref="S88:X88" si="34">SUM(S84:S87)</f>
        <v>58.8</v>
      </c>
      <c r="T88" s="252">
        <f t="shared" si="34"/>
        <v>102.9</v>
      </c>
      <c r="U88" s="252">
        <f t="shared" si="34"/>
        <v>117.6</v>
      </c>
      <c r="V88" s="252">
        <f t="shared" si="34"/>
        <v>117.6</v>
      </c>
      <c r="W88" s="252">
        <f t="shared" si="34"/>
        <v>73.5</v>
      </c>
      <c r="X88" s="252">
        <f t="shared" si="34"/>
        <v>44.1</v>
      </c>
      <c r="Y88" s="252"/>
      <c r="Z88" s="252">
        <f t="shared" si="33"/>
        <v>514.5</v>
      </c>
      <c r="AB88" s="288"/>
      <c r="AC88" s="289"/>
      <c r="AD88" s="289"/>
      <c r="AE88" s="289"/>
      <c r="AF88" s="289"/>
      <c r="AG88" s="289"/>
    </row>
    <row r="89" spans="1:37" ht="15" thickTop="1" thickBot="1">
      <c r="A89" s="300" t="s">
        <v>7</v>
      </c>
      <c r="B89" s="43" t="s">
        <v>8</v>
      </c>
      <c r="C89" s="43"/>
      <c r="D89" s="43"/>
      <c r="E89" s="44" t="s">
        <v>9</v>
      </c>
      <c r="F89" s="45"/>
      <c r="G89" s="45"/>
      <c r="H89" s="44"/>
      <c r="I89" s="44"/>
      <c r="J89" s="44"/>
      <c r="K89" s="44"/>
      <c r="L89" s="44"/>
      <c r="M89" s="44"/>
      <c r="N89" s="44"/>
      <c r="O89" s="44"/>
      <c r="AB89" s="288"/>
      <c r="AC89" s="275" t="s">
        <v>3</v>
      </c>
      <c r="AD89" s="276">
        <v>46094</v>
      </c>
      <c r="AE89" s="275">
        <v>36</v>
      </c>
      <c r="AF89" s="275">
        <v>38</v>
      </c>
      <c r="AG89" s="275">
        <v>40</v>
      </c>
      <c r="AH89" s="275">
        <v>42</v>
      </c>
      <c r="AI89" s="277">
        <v>44</v>
      </c>
      <c r="AJ89" s="277">
        <v>46</v>
      </c>
      <c r="AK89" s="277" t="s">
        <v>28</v>
      </c>
    </row>
    <row r="90" spans="1:37" ht="15" thickTop="1" thickBot="1">
      <c r="A90" s="301" t="s">
        <v>49</v>
      </c>
      <c r="B90" s="38" t="s">
        <v>50</v>
      </c>
      <c r="C90" s="9" t="s">
        <v>12</v>
      </c>
      <c r="D90" s="9" t="s">
        <v>13</v>
      </c>
      <c r="E90" s="10"/>
      <c r="F90" s="256" t="s">
        <v>14</v>
      </c>
      <c r="G90" s="257">
        <v>34</v>
      </c>
      <c r="H90" s="257">
        <v>36</v>
      </c>
      <c r="I90" s="257">
        <v>38</v>
      </c>
      <c r="J90" s="257">
        <v>40</v>
      </c>
      <c r="K90" s="257">
        <v>42</v>
      </c>
      <c r="L90" s="257">
        <v>44</v>
      </c>
      <c r="M90" s="257">
        <v>46</v>
      </c>
      <c r="N90" s="257"/>
      <c r="O90" s="258" t="s">
        <v>15</v>
      </c>
      <c r="Q90" s="259" t="s">
        <v>14</v>
      </c>
      <c r="R90" s="259"/>
      <c r="S90" s="259">
        <v>36</v>
      </c>
      <c r="T90" s="259">
        <v>38</v>
      </c>
      <c r="U90" s="259">
        <v>40</v>
      </c>
      <c r="V90" s="259">
        <v>42</v>
      </c>
      <c r="W90" s="259">
        <v>44</v>
      </c>
      <c r="X90" s="259">
        <v>46</v>
      </c>
      <c r="Y90" s="259"/>
      <c r="Z90" s="259" t="s">
        <v>15</v>
      </c>
      <c r="AB90" s="288"/>
      <c r="AC90" s="279" t="s">
        <v>29</v>
      </c>
      <c r="AD90" s="275">
        <v>11572</v>
      </c>
      <c r="AE90" s="279">
        <v>36</v>
      </c>
      <c r="AF90" s="279">
        <v>76</v>
      </c>
      <c r="AG90" s="279">
        <v>90</v>
      </c>
      <c r="AH90" s="279">
        <v>88</v>
      </c>
      <c r="AI90" s="279">
        <v>64</v>
      </c>
      <c r="AJ90" s="279">
        <v>46</v>
      </c>
      <c r="AK90" s="279">
        <f>SUM(AE90:AJ90)</f>
        <v>400</v>
      </c>
    </row>
    <row r="91" spans="1:37" ht="15" thickTop="1" thickBot="1">
      <c r="A91" s="302" t="str">
        <f t="shared" ref="A91:A97" si="35">+A90</f>
        <v>4205-00</v>
      </c>
      <c r="B91" s="39" t="s">
        <v>16</v>
      </c>
      <c r="C91" s="39"/>
      <c r="D91" s="39" t="str">
        <f>+B90</f>
        <v>Ayla</v>
      </c>
      <c r="E91" s="40"/>
      <c r="F91" s="261" t="s">
        <v>1</v>
      </c>
      <c r="G91" s="261"/>
      <c r="H91" s="262">
        <f>'BASE DATOS'!C13</f>
        <v>60</v>
      </c>
      <c r="I91" s="262">
        <f>'BASE DATOS'!D13</f>
        <v>119</v>
      </c>
      <c r="J91" s="262">
        <f>'BASE DATOS'!E13</f>
        <v>124</v>
      </c>
      <c r="K91" s="262">
        <f>'BASE DATOS'!F13</f>
        <v>121</v>
      </c>
      <c r="L91" s="262">
        <f>'BASE DATOS'!G13</f>
        <v>80</v>
      </c>
      <c r="M91" s="262">
        <f>'BASE DATOS'!H13</f>
        <v>66</v>
      </c>
      <c r="N91" s="262"/>
      <c r="O91" s="263">
        <f t="shared" ref="O91:O97" si="36">SUM(H91:N91)</f>
        <v>570</v>
      </c>
      <c r="Q91" s="264"/>
      <c r="R91" s="264"/>
      <c r="S91" s="264"/>
      <c r="T91" s="264"/>
      <c r="U91" s="264"/>
      <c r="V91" s="264"/>
      <c r="W91" s="264"/>
      <c r="X91" s="264"/>
      <c r="Y91" s="264"/>
      <c r="Z91" s="264">
        <f>SUBTOTAL(9,S91:Y91)</f>
        <v>0</v>
      </c>
      <c r="AB91" s="288"/>
      <c r="AC91" s="281" t="s">
        <v>30</v>
      </c>
      <c r="AD91" s="282">
        <v>4205</v>
      </c>
    </row>
    <row r="92" spans="1:37" ht="15" thickTop="1" thickBot="1">
      <c r="A92" s="302" t="str">
        <f t="shared" si="35"/>
        <v>4205-00</v>
      </c>
      <c r="B92" s="3">
        <v>46058</v>
      </c>
      <c r="C92" s="4" t="s">
        <v>17</v>
      </c>
      <c r="D92" s="4" t="s">
        <v>51</v>
      </c>
      <c r="E92" s="5" t="s">
        <v>3</v>
      </c>
      <c r="F92" s="265">
        <v>11555</v>
      </c>
      <c r="G92" s="2"/>
      <c r="H92" s="7">
        <f>77-H101-H110</f>
        <v>47</v>
      </c>
      <c r="I92" s="7">
        <f>157-I101-I110</f>
        <v>84</v>
      </c>
      <c r="J92" s="7">
        <f>160-J101-J110</f>
        <v>78</v>
      </c>
      <c r="K92" s="7">
        <f>157-K101-K110</f>
        <v>78</v>
      </c>
      <c r="L92" s="7">
        <f>110-L101-L110</f>
        <v>52</v>
      </c>
      <c r="M92" s="7">
        <f>94-M101-M110</f>
        <v>43</v>
      </c>
      <c r="N92" s="8"/>
      <c r="O92" s="14">
        <f t="shared" si="36"/>
        <v>382</v>
      </c>
      <c r="Q92" s="252" t="s">
        <v>19</v>
      </c>
      <c r="R92" s="266"/>
      <c r="S92" s="266"/>
      <c r="T92" s="266"/>
      <c r="U92" s="266"/>
      <c r="V92" s="266"/>
      <c r="W92" s="266"/>
      <c r="X92" s="266"/>
      <c r="Y92" s="267"/>
      <c r="Z92" s="268">
        <f t="shared" ref="Z92:Z97" si="37">SUM(S92:Y92)</f>
        <v>0</v>
      </c>
      <c r="AB92" s="288"/>
      <c r="AC92" s="279" t="s">
        <v>32</v>
      </c>
      <c r="AD92" s="275" t="s">
        <v>50</v>
      </c>
    </row>
    <row r="93" spans="1:37" ht="15" thickTop="1" thickBot="1">
      <c r="A93" s="302" t="str">
        <f t="shared" si="35"/>
        <v>4205-00</v>
      </c>
      <c r="B93" s="3">
        <v>46094</v>
      </c>
      <c r="C93" s="3"/>
      <c r="D93" s="52"/>
      <c r="E93" s="5" t="s">
        <v>3</v>
      </c>
      <c r="F93" s="269" t="s">
        <v>52</v>
      </c>
      <c r="G93" s="6"/>
      <c r="H93" s="7">
        <f>38-H102</f>
        <v>32</v>
      </c>
      <c r="I93" s="7">
        <f>76-I102</f>
        <v>66</v>
      </c>
      <c r="J93" s="7">
        <f>90-J102</f>
        <v>76</v>
      </c>
      <c r="K93" s="7">
        <f>88-K102</f>
        <v>73</v>
      </c>
      <c r="L93" s="7">
        <f>64-L102</f>
        <v>52</v>
      </c>
      <c r="M93" s="7">
        <f>46-M102</f>
        <v>37</v>
      </c>
      <c r="N93" s="15"/>
      <c r="O93" s="14">
        <f t="shared" si="36"/>
        <v>336</v>
      </c>
      <c r="Q93" s="252" t="s">
        <v>4</v>
      </c>
      <c r="R93" s="266">
        <f>78/19</f>
        <v>4.1052631578947372</v>
      </c>
      <c r="S93" s="266"/>
      <c r="T93" s="266"/>
      <c r="U93" s="266"/>
      <c r="V93" s="266"/>
      <c r="W93" s="266"/>
      <c r="X93" s="266"/>
      <c r="Y93" s="266"/>
      <c r="Z93" s="266">
        <f t="shared" si="37"/>
        <v>0</v>
      </c>
      <c r="AB93" s="288"/>
      <c r="AC93" s="279" t="s">
        <v>12</v>
      </c>
      <c r="AD93" s="275" t="s">
        <v>53</v>
      </c>
    </row>
    <row r="94" spans="1:37" ht="15" thickTop="1" thickBot="1">
      <c r="A94" s="302" t="str">
        <f t="shared" si="35"/>
        <v>4205-00</v>
      </c>
      <c r="B94" s="3"/>
      <c r="C94" s="3"/>
      <c r="D94" s="3"/>
      <c r="E94" s="5" t="s">
        <v>3</v>
      </c>
      <c r="F94" s="269"/>
      <c r="G94" s="6"/>
      <c r="H94" s="15"/>
      <c r="I94" s="15"/>
      <c r="J94" s="15"/>
      <c r="K94" s="15"/>
      <c r="L94" s="15"/>
      <c r="M94" s="15"/>
      <c r="N94" s="15"/>
      <c r="O94" s="16">
        <f t="shared" si="36"/>
        <v>0</v>
      </c>
      <c r="Q94" s="252" t="s">
        <v>6</v>
      </c>
      <c r="R94" s="266">
        <f>25/11</f>
        <v>2.2727272727272729</v>
      </c>
      <c r="S94" s="266"/>
      <c r="T94" s="266"/>
      <c r="U94" s="266"/>
      <c r="V94" s="266"/>
      <c r="W94" s="266"/>
      <c r="X94" s="266"/>
      <c r="Y94" s="266"/>
      <c r="Z94" s="266">
        <f t="shared" si="37"/>
        <v>0</v>
      </c>
      <c r="AB94" s="288"/>
      <c r="AC94" s="279" t="s">
        <v>17</v>
      </c>
      <c r="AD94" s="275" t="s">
        <v>51</v>
      </c>
    </row>
    <row r="95" spans="1:37" ht="15" thickTop="1" thickBot="1">
      <c r="A95" s="302" t="str">
        <f t="shared" si="35"/>
        <v>4205-00</v>
      </c>
      <c r="B95" s="3"/>
      <c r="C95" s="3"/>
      <c r="D95" s="3"/>
      <c r="E95" s="5" t="s">
        <v>3</v>
      </c>
      <c r="F95" s="269"/>
      <c r="G95" s="6"/>
      <c r="H95" s="8"/>
      <c r="I95" s="8"/>
      <c r="J95" s="8"/>
      <c r="K95" s="8"/>
      <c r="L95" s="8"/>
      <c r="M95" s="8"/>
      <c r="N95" s="15"/>
      <c r="O95" s="16">
        <f t="shared" si="36"/>
        <v>0</v>
      </c>
      <c r="Q95" s="266"/>
      <c r="R95" s="266"/>
      <c r="S95" s="266"/>
      <c r="T95" s="266"/>
      <c r="U95" s="266"/>
      <c r="V95" s="266"/>
      <c r="W95" s="266"/>
      <c r="X95" s="266"/>
      <c r="Y95" s="266"/>
      <c r="Z95" s="266">
        <f t="shared" si="37"/>
        <v>0</v>
      </c>
      <c r="AB95" s="288"/>
      <c r="AC95" s="289"/>
      <c r="AD95" s="289"/>
      <c r="AE95" s="289"/>
      <c r="AF95" s="289"/>
      <c r="AG95" s="289"/>
    </row>
    <row r="96" spans="1:37" ht="15" thickTop="1" thickBot="1">
      <c r="A96" s="303" t="str">
        <f t="shared" si="35"/>
        <v>4205-00</v>
      </c>
      <c r="B96" s="19"/>
      <c r="C96" s="19"/>
      <c r="D96" s="19"/>
      <c r="E96" s="20" t="s">
        <v>3</v>
      </c>
      <c r="F96" s="271"/>
      <c r="G96" s="21"/>
      <c r="H96" s="22"/>
      <c r="I96" s="22"/>
      <c r="J96" s="22"/>
      <c r="K96" s="22"/>
      <c r="L96" s="22"/>
      <c r="M96" s="22"/>
      <c r="N96" s="22"/>
      <c r="O96" s="23">
        <f t="shared" si="36"/>
        <v>0</v>
      </c>
      <c r="Q96" s="252" t="s">
        <v>2</v>
      </c>
      <c r="R96" s="272">
        <f>500/10.2</f>
        <v>49.019607843137258</v>
      </c>
      <c r="S96" s="252">
        <f>49*1.2</f>
        <v>58.8</v>
      </c>
      <c r="T96" s="252">
        <f>49*2.1</f>
        <v>102.9</v>
      </c>
      <c r="U96" s="252">
        <f>49*2.4</f>
        <v>117.6</v>
      </c>
      <c r="V96" s="252">
        <f>49*2.4</f>
        <v>117.6</v>
      </c>
      <c r="W96" s="252">
        <f>49*1.5</f>
        <v>73.5</v>
      </c>
      <c r="X96" s="252">
        <f>49*0.9</f>
        <v>44.1</v>
      </c>
      <c r="Y96" s="266"/>
      <c r="Z96" s="266">
        <f t="shared" si="37"/>
        <v>514.5</v>
      </c>
      <c r="AB96" s="288"/>
      <c r="AC96" s="289"/>
      <c r="AD96" s="289"/>
      <c r="AE96" s="289"/>
      <c r="AF96" s="289"/>
      <c r="AG96" s="289"/>
      <c r="AH96" s="289"/>
      <c r="AI96" s="289"/>
      <c r="AJ96" s="289"/>
      <c r="AK96" s="250"/>
    </row>
    <row r="97" spans="1:37" ht="15" thickTop="1" thickBot="1">
      <c r="A97" s="304" t="str">
        <f t="shared" si="35"/>
        <v>4205-00</v>
      </c>
      <c r="B97" s="47"/>
      <c r="C97" s="47"/>
      <c r="D97" s="47"/>
      <c r="E97" s="48" t="s">
        <v>23</v>
      </c>
      <c r="F97" s="49" t="str">
        <f>+B90</f>
        <v>Ayla</v>
      </c>
      <c r="G97" s="48"/>
      <c r="H97" s="48">
        <f>+H91-H92-H93-H94-H96+H95</f>
        <v>-19</v>
      </c>
      <c r="I97" s="48">
        <f>+I91-I92-I93-I94-I96+I95</f>
        <v>-31</v>
      </c>
      <c r="J97" s="48">
        <f>+J91-J92-J93-J94-J96-J95</f>
        <v>-30</v>
      </c>
      <c r="K97" s="48">
        <f>+K91-K92-K93-K94-K96-K95</f>
        <v>-30</v>
      </c>
      <c r="L97" s="48">
        <f>+L91-L92-L93-L94-L96-L95</f>
        <v>-24</v>
      </c>
      <c r="M97" s="48">
        <f>+M91-M92-M93-M94-M96-M95</f>
        <v>-14</v>
      </c>
      <c r="N97" s="48"/>
      <c r="O97" s="48">
        <f t="shared" si="36"/>
        <v>-148</v>
      </c>
      <c r="Q97" s="266"/>
      <c r="R97" s="266"/>
      <c r="S97" s="252">
        <f t="shared" ref="S97:X97" si="38">SUM(S93:S96)</f>
        <v>58.8</v>
      </c>
      <c r="T97" s="252">
        <f t="shared" si="38"/>
        <v>102.9</v>
      </c>
      <c r="U97" s="252">
        <f t="shared" si="38"/>
        <v>117.6</v>
      </c>
      <c r="V97" s="252">
        <f t="shared" si="38"/>
        <v>117.6</v>
      </c>
      <c r="W97" s="252">
        <f t="shared" si="38"/>
        <v>73.5</v>
      </c>
      <c r="X97" s="252">
        <f t="shared" si="38"/>
        <v>44.1</v>
      </c>
      <c r="Y97" s="252"/>
      <c r="Z97" s="252">
        <f t="shared" si="37"/>
        <v>514.5</v>
      </c>
      <c r="AB97" s="288"/>
      <c r="AC97" s="289"/>
      <c r="AD97" s="289"/>
      <c r="AE97" s="289"/>
      <c r="AF97" s="289"/>
      <c r="AG97" s="289"/>
    </row>
    <row r="98" spans="1:37" ht="15" thickTop="1" thickBot="1">
      <c r="A98" s="300" t="s">
        <v>7</v>
      </c>
      <c r="B98" s="43" t="s">
        <v>8</v>
      </c>
      <c r="C98" s="43"/>
      <c r="D98" s="43"/>
      <c r="E98" s="44" t="s">
        <v>9</v>
      </c>
      <c r="F98" s="45"/>
      <c r="G98" s="45"/>
      <c r="H98" s="44"/>
      <c r="I98" s="44"/>
      <c r="J98" s="44"/>
      <c r="K98" s="44"/>
      <c r="L98" s="44"/>
      <c r="M98" s="44"/>
      <c r="N98" s="44"/>
      <c r="O98" s="44"/>
      <c r="AB98" s="288"/>
      <c r="AC98" s="289"/>
      <c r="AD98" s="289"/>
      <c r="AE98" s="289"/>
      <c r="AF98" s="289"/>
      <c r="AG98" s="289"/>
      <c r="AH98" s="289"/>
      <c r="AI98" s="289"/>
      <c r="AJ98" s="289"/>
      <c r="AK98" s="250"/>
    </row>
    <row r="99" spans="1:37" ht="15" thickTop="1" thickBot="1">
      <c r="A99" s="301" t="s">
        <v>54</v>
      </c>
      <c r="B99" s="38" t="s">
        <v>50</v>
      </c>
      <c r="C99" s="9" t="s">
        <v>12</v>
      </c>
      <c r="D99" s="9" t="s">
        <v>13</v>
      </c>
      <c r="E99" s="10"/>
      <c r="F99" s="256" t="s">
        <v>14</v>
      </c>
      <c r="G99" s="257">
        <v>34</v>
      </c>
      <c r="H99" s="257">
        <v>36</v>
      </c>
      <c r="I99" s="257">
        <v>38</v>
      </c>
      <c r="J99" s="257">
        <v>40</v>
      </c>
      <c r="K99" s="257">
        <v>42</v>
      </c>
      <c r="L99" s="257">
        <v>44</v>
      </c>
      <c r="M99" s="257">
        <v>46</v>
      </c>
      <c r="N99" s="257"/>
      <c r="O99" s="258" t="s">
        <v>15</v>
      </c>
      <c r="Q99" s="259" t="s">
        <v>14</v>
      </c>
      <c r="R99" s="259"/>
      <c r="S99" s="259">
        <v>36</v>
      </c>
      <c r="T99" s="259">
        <v>38</v>
      </c>
      <c r="U99" s="259">
        <v>40</v>
      </c>
      <c r="V99" s="259">
        <v>42</v>
      </c>
      <c r="W99" s="259">
        <v>44</v>
      </c>
      <c r="X99" s="259">
        <v>46</v>
      </c>
      <c r="Y99" s="259"/>
      <c r="Z99" s="259" t="s">
        <v>15</v>
      </c>
      <c r="AB99" s="288"/>
      <c r="AC99" s="289"/>
      <c r="AD99" s="289"/>
      <c r="AE99" s="289"/>
      <c r="AF99" s="289"/>
      <c r="AG99" s="289"/>
    </row>
    <row r="100" spans="1:37" ht="15" thickTop="1" thickBot="1">
      <c r="A100" s="302" t="str">
        <f t="shared" ref="A100:A106" si="39">+A99</f>
        <v>4205-01</v>
      </c>
      <c r="B100" s="39" t="s">
        <v>16</v>
      </c>
      <c r="C100" s="39"/>
      <c r="D100" s="39" t="str">
        <f>+B99</f>
        <v>Ayla</v>
      </c>
      <c r="E100" s="40"/>
      <c r="F100" s="261" t="s">
        <v>1</v>
      </c>
      <c r="G100" s="261"/>
      <c r="H100" s="262">
        <f>'BASE DATOS'!C14</f>
        <v>35</v>
      </c>
      <c r="I100" s="262">
        <f>'BASE DATOS'!D14</f>
        <v>78</v>
      </c>
      <c r="J100" s="262">
        <f>'BASE DATOS'!E14</f>
        <v>87</v>
      </c>
      <c r="K100" s="262">
        <f>'BASE DATOS'!F14</f>
        <v>85</v>
      </c>
      <c r="L100" s="262">
        <f>'BASE DATOS'!G14</f>
        <v>62</v>
      </c>
      <c r="M100" s="262">
        <f>'BASE DATOS'!H14</f>
        <v>54</v>
      </c>
      <c r="N100" s="262"/>
      <c r="O100" s="263">
        <f t="shared" ref="O100:O106" si="40">SUM(H100:N100)</f>
        <v>401</v>
      </c>
      <c r="Q100" s="264"/>
      <c r="R100" s="264"/>
      <c r="S100" s="264"/>
      <c r="T100" s="264"/>
      <c r="U100" s="264"/>
      <c r="V100" s="264"/>
      <c r="W100" s="264"/>
      <c r="X100" s="264"/>
      <c r="Y100" s="264"/>
      <c r="Z100" s="264">
        <f>SUBTOTAL(9,S100:Y100)</f>
        <v>0</v>
      </c>
      <c r="AB100" s="288"/>
      <c r="AC100" s="289"/>
      <c r="AD100" s="289"/>
      <c r="AE100" s="289"/>
      <c r="AF100" s="289"/>
      <c r="AG100" s="289"/>
    </row>
    <row r="101" spans="1:37" ht="15" thickTop="1" thickBot="1">
      <c r="A101" s="302" t="str">
        <f t="shared" si="39"/>
        <v>4205-01</v>
      </c>
      <c r="B101" s="3">
        <v>46058</v>
      </c>
      <c r="C101" s="4" t="s">
        <v>17</v>
      </c>
      <c r="D101" s="4" t="s">
        <v>51</v>
      </c>
      <c r="E101" s="5" t="s">
        <v>3</v>
      </c>
      <c r="F101" s="265">
        <v>11555</v>
      </c>
      <c r="G101" s="2"/>
      <c r="H101" s="7">
        <v>30</v>
      </c>
      <c r="I101" s="7">
        <v>69</v>
      </c>
      <c r="J101" s="7">
        <v>74</v>
      </c>
      <c r="K101" s="7">
        <v>71</v>
      </c>
      <c r="L101" s="7">
        <v>51</v>
      </c>
      <c r="M101" s="7">
        <v>46</v>
      </c>
      <c r="N101" s="8"/>
      <c r="O101" s="14">
        <f t="shared" si="40"/>
        <v>341</v>
      </c>
      <c r="Q101" s="252" t="s">
        <v>19</v>
      </c>
      <c r="R101" s="266"/>
      <c r="S101" s="266"/>
      <c r="T101" s="266"/>
      <c r="U101" s="266"/>
      <c r="V101" s="266"/>
      <c r="W101" s="266"/>
      <c r="X101" s="266"/>
      <c r="Y101" s="267"/>
      <c r="Z101" s="268">
        <f t="shared" ref="Z101:Z106" si="41">SUM(S101:Y101)</f>
        <v>0</v>
      </c>
      <c r="AB101" s="288"/>
      <c r="AC101" s="289"/>
      <c r="AD101" s="289"/>
      <c r="AE101" s="289"/>
      <c r="AF101" s="289"/>
      <c r="AG101" s="289"/>
    </row>
    <row r="102" spans="1:37" ht="15" thickTop="1" thickBot="1">
      <c r="A102" s="302" t="str">
        <f t="shared" si="39"/>
        <v>4205-01</v>
      </c>
      <c r="B102" s="3">
        <v>46066</v>
      </c>
      <c r="C102" s="3"/>
      <c r="D102" s="52"/>
      <c r="E102" s="5" t="s">
        <v>3</v>
      </c>
      <c r="F102" s="269" t="s">
        <v>52</v>
      </c>
      <c r="G102" s="6"/>
      <c r="H102" s="7">
        <v>6</v>
      </c>
      <c r="I102" s="7">
        <v>10</v>
      </c>
      <c r="J102" s="7">
        <v>14</v>
      </c>
      <c r="K102" s="7">
        <v>15</v>
      </c>
      <c r="L102" s="7">
        <v>12</v>
      </c>
      <c r="M102" s="7">
        <v>9</v>
      </c>
      <c r="N102" s="15"/>
      <c r="O102" s="14">
        <f t="shared" si="40"/>
        <v>66</v>
      </c>
      <c r="Q102" s="252" t="s">
        <v>4</v>
      </c>
      <c r="R102" s="266">
        <f>78/19</f>
        <v>4.1052631578947372</v>
      </c>
      <c r="S102" s="266"/>
      <c r="T102" s="266"/>
      <c r="U102" s="266"/>
      <c r="V102" s="266"/>
      <c r="W102" s="266"/>
      <c r="X102" s="266"/>
      <c r="Y102" s="266"/>
      <c r="Z102" s="266">
        <f t="shared" si="41"/>
        <v>0</v>
      </c>
      <c r="AB102" s="288"/>
      <c r="AC102" s="289"/>
      <c r="AD102" s="289"/>
      <c r="AE102" s="289"/>
      <c r="AF102" s="289"/>
      <c r="AG102" s="289"/>
    </row>
    <row r="103" spans="1:37" ht="15" thickTop="1" thickBot="1">
      <c r="A103" s="302" t="str">
        <f t="shared" si="39"/>
        <v>4205-01</v>
      </c>
      <c r="B103" s="3"/>
      <c r="C103" s="3"/>
      <c r="D103" s="3"/>
      <c r="E103" s="5" t="s">
        <v>3</v>
      </c>
      <c r="F103" s="269"/>
      <c r="G103" s="6"/>
      <c r="H103" s="15"/>
      <c r="I103" s="15"/>
      <c r="J103" s="15"/>
      <c r="K103" s="15"/>
      <c r="L103" s="15"/>
      <c r="M103" s="15"/>
      <c r="N103" s="15"/>
      <c r="O103" s="16">
        <f t="shared" si="40"/>
        <v>0</v>
      </c>
      <c r="Q103" s="252" t="s">
        <v>6</v>
      </c>
      <c r="R103" s="266">
        <f>25/11</f>
        <v>2.2727272727272729</v>
      </c>
      <c r="S103" s="266"/>
      <c r="T103" s="266"/>
      <c r="U103" s="266"/>
      <c r="V103" s="266"/>
      <c r="W103" s="266"/>
      <c r="X103" s="266"/>
      <c r="Y103" s="266"/>
      <c r="Z103" s="266">
        <f t="shared" si="41"/>
        <v>0</v>
      </c>
      <c r="AB103" s="288"/>
      <c r="AC103" s="289"/>
      <c r="AD103" s="289"/>
      <c r="AE103" s="289"/>
      <c r="AF103" s="289"/>
      <c r="AG103" s="289"/>
    </row>
    <row r="104" spans="1:37" ht="15" thickTop="1" thickBot="1">
      <c r="A104" s="302" t="str">
        <f t="shared" si="39"/>
        <v>4205-01</v>
      </c>
      <c r="B104" s="3"/>
      <c r="C104" s="3"/>
      <c r="D104" s="3"/>
      <c r="E104" s="5" t="s">
        <v>3</v>
      </c>
      <c r="F104" s="269"/>
      <c r="G104" s="6"/>
      <c r="H104" s="8"/>
      <c r="I104" s="8"/>
      <c r="J104" s="8"/>
      <c r="K104" s="8"/>
      <c r="L104" s="8"/>
      <c r="M104" s="8"/>
      <c r="N104" s="15"/>
      <c r="O104" s="16">
        <f t="shared" si="40"/>
        <v>0</v>
      </c>
      <c r="Q104" s="266"/>
      <c r="R104" s="266"/>
      <c r="S104" s="266"/>
      <c r="T104" s="266"/>
      <c r="U104" s="266"/>
      <c r="V104" s="266"/>
      <c r="W104" s="266"/>
      <c r="X104" s="266"/>
      <c r="Y104" s="266"/>
      <c r="Z104" s="266">
        <f t="shared" si="41"/>
        <v>0</v>
      </c>
      <c r="AB104" s="288"/>
      <c r="AC104" s="289"/>
      <c r="AD104" s="289"/>
      <c r="AE104" s="289"/>
      <c r="AF104" s="289"/>
      <c r="AG104" s="289"/>
    </row>
    <row r="105" spans="1:37" ht="15" thickTop="1" thickBot="1">
      <c r="A105" s="303" t="str">
        <f t="shared" si="39"/>
        <v>4205-01</v>
      </c>
      <c r="B105" s="19"/>
      <c r="C105" s="19"/>
      <c r="D105" s="19"/>
      <c r="E105" s="20" t="s">
        <v>3</v>
      </c>
      <c r="F105" s="271"/>
      <c r="G105" s="21"/>
      <c r="H105" s="22"/>
      <c r="I105" s="22"/>
      <c r="J105" s="22"/>
      <c r="K105" s="22"/>
      <c r="L105" s="22"/>
      <c r="M105" s="22"/>
      <c r="N105" s="22"/>
      <c r="O105" s="23">
        <f t="shared" si="40"/>
        <v>0</v>
      </c>
      <c r="Q105" s="252" t="s">
        <v>2</v>
      </c>
      <c r="R105" s="272">
        <f>500/10.2</f>
        <v>49.019607843137258</v>
      </c>
      <c r="S105" s="252">
        <f>49*1.2</f>
        <v>58.8</v>
      </c>
      <c r="T105" s="252">
        <f>49*2.1</f>
        <v>102.9</v>
      </c>
      <c r="U105" s="252">
        <f>49*2.4</f>
        <v>117.6</v>
      </c>
      <c r="V105" s="252">
        <f>49*2.4</f>
        <v>117.6</v>
      </c>
      <c r="W105" s="252">
        <f>49*1.5</f>
        <v>73.5</v>
      </c>
      <c r="X105" s="252">
        <f>49*0.9</f>
        <v>44.1</v>
      </c>
      <c r="Y105" s="266"/>
      <c r="Z105" s="266">
        <f t="shared" si="41"/>
        <v>514.5</v>
      </c>
      <c r="AB105" s="288"/>
      <c r="AC105" s="289"/>
      <c r="AD105" s="289"/>
      <c r="AE105" s="289"/>
      <c r="AF105" s="289"/>
      <c r="AG105" s="289"/>
    </row>
    <row r="106" spans="1:37" ht="15" thickTop="1" thickBot="1">
      <c r="A106" s="304" t="str">
        <f t="shared" si="39"/>
        <v>4205-01</v>
      </c>
      <c r="B106" s="47"/>
      <c r="C106" s="47"/>
      <c r="D106" s="47"/>
      <c r="E106" s="48" t="s">
        <v>23</v>
      </c>
      <c r="F106" s="49" t="str">
        <f>+B99</f>
        <v>Ayla</v>
      </c>
      <c r="G106" s="48"/>
      <c r="H106" s="48">
        <f>+H100-H101-H102-H103-H105+H104</f>
        <v>-1</v>
      </c>
      <c r="I106" s="48">
        <f>+I100-I101-I102-I103-I105+I104</f>
        <v>-1</v>
      </c>
      <c r="J106" s="48">
        <f>+J100-J101-J102-J103-J105-J104</f>
        <v>-1</v>
      </c>
      <c r="K106" s="48">
        <f>+K100-K101-K102-K103-K105-K104</f>
        <v>-1</v>
      </c>
      <c r="L106" s="48">
        <f>+L100-L101-L102-L103-L105-L104</f>
        <v>-1</v>
      </c>
      <c r="M106" s="48">
        <f>+M100-M101-M102-M103-M105-M104</f>
        <v>-1</v>
      </c>
      <c r="N106" s="48"/>
      <c r="O106" s="48">
        <f t="shared" si="40"/>
        <v>-6</v>
      </c>
      <c r="Q106" s="266"/>
      <c r="R106" s="266"/>
      <c r="S106" s="252">
        <f t="shared" ref="S106:X106" si="42">SUM(S102:S105)</f>
        <v>58.8</v>
      </c>
      <c r="T106" s="252">
        <f t="shared" si="42"/>
        <v>102.9</v>
      </c>
      <c r="U106" s="252">
        <f t="shared" si="42"/>
        <v>117.6</v>
      </c>
      <c r="V106" s="252">
        <f t="shared" si="42"/>
        <v>117.6</v>
      </c>
      <c r="W106" s="252">
        <f t="shared" si="42"/>
        <v>73.5</v>
      </c>
      <c r="X106" s="252">
        <f t="shared" si="42"/>
        <v>44.1</v>
      </c>
      <c r="Y106" s="252"/>
      <c r="Z106" s="252">
        <f t="shared" si="41"/>
        <v>514.5</v>
      </c>
      <c r="AB106" s="288"/>
      <c r="AC106" s="289"/>
      <c r="AD106" s="289"/>
      <c r="AE106" s="289"/>
      <c r="AF106" s="289"/>
      <c r="AG106" s="289"/>
    </row>
    <row r="107" spans="1:37" ht="15" thickTop="1" thickBot="1">
      <c r="A107" s="300" t="s">
        <v>7</v>
      </c>
      <c r="B107" s="43" t="s">
        <v>8</v>
      </c>
      <c r="C107" s="43"/>
      <c r="D107" s="43"/>
      <c r="E107" s="44" t="s">
        <v>9</v>
      </c>
      <c r="F107" s="45"/>
      <c r="G107" s="45"/>
      <c r="H107" s="44"/>
      <c r="I107" s="44"/>
      <c r="J107" s="44"/>
      <c r="K107" s="44"/>
      <c r="L107" s="44"/>
      <c r="M107" s="44"/>
      <c r="N107" s="44"/>
      <c r="O107" s="44"/>
      <c r="AB107" s="288"/>
      <c r="AC107" s="289"/>
      <c r="AD107" s="289"/>
      <c r="AE107" s="289"/>
      <c r="AF107" s="289"/>
      <c r="AG107" s="289"/>
    </row>
    <row r="108" spans="1:37" ht="15" thickTop="1" thickBot="1">
      <c r="A108" s="301" t="s">
        <v>55</v>
      </c>
      <c r="B108" s="38" t="s">
        <v>50</v>
      </c>
      <c r="C108" s="9" t="s">
        <v>12</v>
      </c>
      <c r="D108" s="9" t="s">
        <v>13</v>
      </c>
      <c r="E108" s="10"/>
      <c r="F108" s="256" t="s">
        <v>14</v>
      </c>
      <c r="G108" s="257">
        <v>34</v>
      </c>
      <c r="H108" s="257">
        <v>36</v>
      </c>
      <c r="I108" s="257">
        <v>38</v>
      </c>
      <c r="J108" s="257">
        <v>40</v>
      </c>
      <c r="K108" s="257">
        <v>42</v>
      </c>
      <c r="L108" s="257">
        <v>44</v>
      </c>
      <c r="M108" s="257">
        <v>46</v>
      </c>
      <c r="N108" s="257"/>
      <c r="O108" s="258" t="s">
        <v>15</v>
      </c>
      <c r="Q108" s="259" t="s">
        <v>14</v>
      </c>
      <c r="R108" s="259"/>
      <c r="S108" s="259">
        <v>36</v>
      </c>
      <c r="T108" s="259">
        <v>38</v>
      </c>
      <c r="U108" s="259">
        <v>40</v>
      </c>
      <c r="V108" s="259">
        <v>42</v>
      </c>
      <c r="W108" s="259">
        <v>44</v>
      </c>
      <c r="X108" s="259">
        <v>46</v>
      </c>
      <c r="Y108" s="259"/>
      <c r="Z108" s="259" t="s">
        <v>15</v>
      </c>
      <c r="AB108" s="288"/>
      <c r="AC108" s="289"/>
      <c r="AD108" s="289"/>
      <c r="AE108" s="289"/>
      <c r="AF108" s="289"/>
      <c r="AG108" s="289"/>
    </row>
    <row r="109" spans="1:37" ht="15" thickTop="1" thickBot="1">
      <c r="A109" s="302" t="str">
        <f t="shared" ref="A109:A115" si="43">+A108</f>
        <v>4205-02</v>
      </c>
      <c r="B109" s="39" t="s">
        <v>16</v>
      </c>
      <c r="C109" s="39"/>
      <c r="D109" s="39" t="str">
        <f>+B108</f>
        <v>Ayla</v>
      </c>
      <c r="E109" s="40"/>
      <c r="F109" s="261" t="s">
        <v>1</v>
      </c>
      <c r="G109" s="261"/>
      <c r="H109" s="262">
        <f>'BASE DATOS'!C15</f>
        <v>0</v>
      </c>
      <c r="I109" s="262">
        <f>'BASE DATOS'!D15</f>
        <v>4</v>
      </c>
      <c r="J109" s="262">
        <f>'BASE DATOS'!E15</f>
        <v>8</v>
      </c>
      <c r="K109" s="262">
        <f>'BASE DATOS'!F15</f>
        <v>8</v>
      </c>
      <c r="L109" s="262">
        <f>'BASE DATOS'!G15</f>
        <v>7</v>
      </c>
      <c r="M109" s="262">
        <f>'BASE DATOS'!H15</f>
        <v>5</v>
      </c>
      <c r="N109" s="262"/>
      <c r="O109" s="263">
        <f t="shared" ref="O109:O115" si="44">SUM(H109:N109)</f>
        <v>32</v>
      </c>
      <c r="Q109" s="264"/>
      <c r="R109" s="264"/>
      <c r="S109" s="264"/>
      <c r="T109" s="264"/>
      <c r="U109" s="264"/>
      <c r="V109" s="264"/>
      <c r="W109" s="264"/>
      <c r="X109" s="264"/>
      <c r="Y109" s="264"/>
      <c r="Z109" s="264">
        <f>SUBTOTAL(9,S109:Y109)</f>
        <v>0</v>
      </c>
      <c r="AB109" s="288"/>
      <c r="AC109" s="289"/>
      <c r="AD109" s="289"/>
      <c r="AE109" s="289"/>
      <c r="AF109" s="289"/>
      <c r="AG109" s="289"/>
    </row>
    <row r="110" spans="1:37" ht="15" thickTop="1" thickBot="1">
      <c r="A110" s="302" t="str">
        <f t="shared" si="43"/>
        <v>4205-02</v>
      </c>
      <c r="B110" s="3">
        <v>46058</v>
      </c>
      <c r="C110" s="4" t="s">
        <v>17</v>
      </c>
      <c r="D110" s="4" t="s">
        <v>51</v>
      </c>
      <c r="E110" s="5" t="s">
        <v>3</v>
      </c>
      <c r="F110" s="265">
        <v>11555</v>
      </c>
      <c r="G110" s="2"/>
      <c r="H110" s="7"/>
      <c r="I110" s="7">
        <v>4</v>
      </c>
      <c r="J110" s="7">
        <v>8</v>
      </c>
      <c r="K110" s="7">
        <v>8</v>
      </c>
      <c r="L110" s="7">
        <v>7</v>
      </c>
      <c r="M110" s="7">
        <v>5</v>
      </c>
      <c r="N110" s="8"/>
      <c r="O110" s="14">
        <f t="shared" si="44"/>
        <v>32</v>
      </c>
      <c r="Q110" s="252" t="s">
        <v>19</v>
      </c>
      <c r="R110" s="266"/>
      <c r="S110" s="266"/>
      <c r="T110" s="266"/>
      <c r="U110" s="266"/>
      <c r="V110" s="266"/>
      <c r="W110" s="266"/>
      <c r="X110" s="266"/>
      <c r="Y110" s="267"/>
      <c r="Z110" s="268">
        <f t="shared" ref="Z110:Z115" si="45">SUM(S110:Y110)</f>
        <v>0</v>
      </c>
      <c r="AB110" s="288"/>
      <c r="AC110" s="289"/>
      <c r="AD110" s="289"/>
      <c r="AE110" s="289"/>
      <c r="AF110" s="289"/>
      <c r="AG110" s="289"/>
    </row>
    <row r="111" spans="1:37" ht="15" thickTop="1" thickBot="1">
      <c r="A111" s="302" t="str">
        <f t="shared" si="43"/>
        <v>4205-02</v>
      </c>
      <c r="B111" s="3"/>
      <c r="C111" s="3"/>
      <c r="D111" s="52"/>
      <c r="E111" s="5" t="s">
        <v>3</v>
      </c>
      <c r="F111" s="269"/>
      <c r="G111" s="6"/>
      <c r="H111" s="7"/>
      <c r="I111" s="7"/>
      <c r="J111" s="7"/>
      <c r="K111" s="7"/>
      <c r="L111" s="7"/>
      <c r="M111" s="7"/>
      <c r="N111" s="15"/>
      <c r="O111" s="14">
        <f t="shared" si="44"/>
        <v>0</v>
      </c>
      <c r="Q111" s="252" t="s">
        <v>4</v>
      </c>
      <c r="R111" s="266">
        <f>78/19</f>
        <v>4.1052631578947372</v>
      </c>
      <c r="S111" s="266"/>
      <c r="T111" s="266"/>
      <c r="U111" s="266"/>
      <c r="V111" s="266"/>
      <c r="W111" s="266"/>
      <c r="X111" s="266"/>
      <c r="Y111" s="266"/>
      <c r="Z111" s="266">
        <f t="shared" si="45"/>
        <v>0</v>
      </c>
      <c r="AB111" s="288"/>
      <c r="AC111" s="289"/>
      <c r="AD111" s="289"/>
      <c r="AE111" s="289"/>
      <c r="AF111" s="289"/>
      <c r="AG111" s="289"/>
    </row>
    <row r="112" spans="1:37" ht="15" thickTop="1" thickBot="1">
      <c r="A112" s="302" t="str">
        <f t="shared" si="43"/>
        <v>4205-02</v>
      </c>
      <c r="B112" s="3"/>
      <c r="C112" s="3"/>
      <c r="D112" s="3"/>
      <c r="E112" s="5" t="s">
        <v>3</v>
      </c>
      <c r="F112" s="269"/>
      <c r="G112" s="6"/>
      <c r="H112" s="15"/>
      <c r="I112" s="15"/>
      <c r="J112" s="15"/>
      <c r="K112" s="15"/>
      <c r="L112" s="15"/>
      <c r="M112" s="15"/>
      <c r="N112" s="15"/>
      <c r="O112" s="16">
        <f t="shared" si="44"/>
        <v>0</v>
      </c>
      <c r="Q112" s="252" t="s">
        <v>6</v>
      </c>
      <c r="R112" s="266">
        <f>25/11</f>
        <v>2.2727272727272729</v>
      </c>
      <c r="S112" s="266"/>
      <c r="T112" s="266"/>
      <c r="U112" s="266"/>
      <c r="V112" s="266"/>
      <c r="W112" s="266"/>
      <c r="X112" s="266"/>
      <c r="Y112" s="266"/>
      <c r="Z112" s="266">
        <f t="shared" si="45"/>
        <v>0</v>
      </c>
      <c r="AB112" s="288"/>
      <c r="AC112" s="289"/>
      <c r="AD112" s="289"/>
      <c r="AE112" s="289"/>
      <c r="AF112" s="289"/>
      <c r="AG112" s="289"/>
    </row>
    <row r="113" spans="1:33" ht="15" thickTop="1" thickBot="1">
      <c r="A113" s="302" t="str">
        <f t="shared" si="43"/>
        <v>4205-02</v>
      </c>
      <c r="B113" s="3"/>
      <c r="C113" s="3"/>
      <c r="D113" s="3"/>
      <c r="E113" s="5" t="s">
        <v>3</v>
      </c>
      <c r="F113" s="269"/>
      <c r="G113" s="6"/>
      <c r="H113" s="8"/>
      <c r="I113" s="8"/>
      <c r="J113" s="8"/>
      <c r="K113" s="8"/>
      <c r="L113" s="8"/>
      <c r="M113" s="8"/>
      <c r="N113" s="15"/>
      <c r="O113" s="16">
        <f t="shared" si="44"/>
        <v>0</v>
      </c>
      <c r="Q113" s="266"/>
      <c r="R113" s="266"/>
      <c r="S113" s="266"/>
      <c r="T113" s="266"/>
      <c r="U113" s="266"/>
      <c r="V113" s="266"/>
      <c r="W113" s="266"/>
      <c r="X113" s="266"/>
      <c r="Y113" s="266"/>
      <c r="Z113" s="266">
        <f t="shared" si="45"/>
        <v>0</v>
      </c>
      <c r="AB113" s="288"/>
      <c r="AC113" s="289"/>
      <c r="AD113" s="289"/>
      <c r="AE113" s="289"/>
      <c r="AF113" s="289"/>
      <c r="AG113" s="289"/>
    </row>
    <row r="114" spans="1:33" ht="15" thickTop="1" thickBot="1">
      <c r="A114" s="303" t="str">
        <f t="shared" si="43"/>
        <v>4205-02</v>
      </c>
      <c r="B114" s="19"/>
      <c r="C114" s="19"/>
      <c r="D114" s="19"/>
      <c r="E114" s="20" t="s">
        <v>3</v>
      </c>
      <c r="F114" s="271"/>
      <c r="G114" s="21"/>
      <c r="H114" s="22"/>
      <c r="I114" s="22"/>
      <c r="J114" s="22"/>
      <c r="K114" s="22"/>
      <c r="L114" s="22"/>
      <c r="M114" s="22"/>
      <c r="N114" s="22"/>
      <c r="O114" s="23">
        <f t="shared" si="44"/>
        <v>0</v>
      </c>
      <c r="Q114" s="252" t="s">
        <v>2</v>
      </c>
      <c r="R114" s="272">
        <f>500/10.2</f>
        <v>49.019607843137258</v>
      </c>
      <c r="S114" s="252">
        <f>49*1.2</f>
        <v>58.8</v>
      </c>
      <c r="T114" s="252">
        <f>49*2.1</f>
        <v>102.9</v>
      </c>
      <c r="U114" s="252">
        <f>49*2.4</f>
        <v>117.6</v>
      </c>
      <c r="V114" s="252">
        <f>49*2.4</f>
        <v>117.6</v>
      </c>
      <c r="W114" s="252">
        <f>49*1.5</f>
        <v>73.5</v>
      </c>
      <c r="X114" s="252">
        <f>49*0.9</f>
        <v>44.1</v>
      </c>
      <c r="Y114" s="266"/>
      <c r="Z114" s="266">
        <f t="shared" si="45"/>
        <v>514.5</v>
      </c>
      <c r="AB114" s="288"/>
      <c r="AC114" s="289"/>
      <c r="AD114" s="289"/>
      <c r="AE114" s="289"/>
      <c r="AF114" s="289"/>
      <c r="AG114" s="289"/>
    </row>
    <row r="115" spans="1:33" ht="15" thickTop="1" thickBot="1">
      <c r="A115" s="304" t="str">
        <f t="shared" si="43"/>
        <v>4205-02</v>
      </c>
      <c r="B115" s="47"/>
      <c r="C115" s="47"/>
      <c r="D115" s="47"/>
      <c r="E115" s="48" t="s">
        <v>23</v>
      </c>
      <c r="F115" s="49" t="str">
        <f>+B108</f>
        <v>Ayla</v>
      </c>
      <c r="G115" s="48"/>
      <c r="H115" s="48">
        <f>+H109-H110-H111-H112-H114+H113</f>
        <v>0</v>
      </c>
      <c r="I115" s="48">
        <f>+I109-I110-I111-I112-I114+I113</f>
        <v>0</v>
      </c>
      <c r="J115" s="48">
        <f>+J109-J110-J111-J112-J114-J113</f>
        <v>0</v>
      </c>
      <c r="K115" s="48">
        <f>+K109-K110-K111-K112-K114-K113</f>
        <v>0</v>
      </c>
      <c r="L115" s="48">
        <f>+L109-L110-L111-L112-L114-L113</f>
        <v>0</v>
      </c>
      <c r="M115" s="48">
        <f>+M109-M110-M111-M112-M114-M113</f>
        <v>0</v>
      </c>
      <c r="N115" s="48"/>
      <c r="O115" s="48">
        <f t="shared" si="44"/>
        <v>0</v>
      </c>
      <c r="Q115" s="266"/>
      <c r="R115" s="266"/>
      <c r="S115" s="252">
        <f t="shared" ref="S115:X115" si="46">SUM(S111:S114)</f>
        <v>58.8</v>
      </c>
      <c r="T115" s="252">
        <f t="shared" si="46"/>
        <v>102.9</v>
      </c>
      <c r="U115" s="252">
        <f t="shared" si="46"/>
        <v>117.6</v>
      </c>
      <c r="V115" s="252">
        <f t="shared" si="46"/>
        <v>117.6</v>
      </c>
      <c r="W115" s="252">
        <f t="shared" si="46"/>
        <v>73.5</v>
      </c>
      <c r="X115" s="252">
        <f t="shared" si="46"/>
        <v>44.1</v>
      </c>
      <c r="Y115" s="252"/>
      <c r="Z115" s="252">
        <f t="shared" si="45"/>
        <v>514.5</v>
      </c>
      <c r="AB115" s="288"/>
      <c r="AC115" s="289"/>
      <c r="AD115" s="289"/>
      <c r="AE115" s="289"/>
      <c r="AF115" s="289"/>
      <c r="AG115" s="289"/>
    </row>
    <row r="116" spans="1:33" ht="15" thickTop="1" thickBot="1">
      <c r="A116" s="274" t="s">
        <v>7</v>
      </c>
      <c r="B116" s="43" t="s">
        <v>8</v>
      </c>
      <c r="C116" s="43"/>
      <c r="D116" s="43"/>
      <c r="E116" s="44" t="s">
        <v>9</v>
      </c>
      <c r="F116" s="45"/>
      <c r="G116" s="45"/>
      <c r="H116" s="44"/>
      <c r="I116" s="44"/>
      <c r="J116" s="44"/>
      <c r="K116" s="44"/>
      <c r="L116" s="44"/>
      <c r="M116" s="44"/>
      <c r="N116" s="44"/>
      <c r="O116" s="44"/>
      <c r="AB116" s="288"/>
      <c r="AC116" s="289"/>
      <c r="AD116" s="289"/>
      <c r="AE116" s="289"/>
      <c r="AF116" s="289"/>
      <c r="AG116" s="289"/>
    </row>
    <row r="117" spans="1:33" ht="15" thickTop="1" thickBot="1">
      <c r="A117" s="278" t="s">
        <v>56</v>
      </c>
      <c r="B117" s="38" t="s">
        <v>36</v>
      </c>
      <c r="C117" s="9" t="s">
        <v>12</v>
      </c>
      <c r="D117" s="9" t="s">
        <v>13</v>
      </c>
      <c r="E117" s="10"/>
      <c r="F117" s="256" t="s">
        <v>14</v>
      </c>
      <c r="G117" s="257">
        <v>34</v>
      </c>
      <c r="H117" s="257">
        <v>36</v>
      </c>
      <c r="I117" s="257">
        <v>38</v>
      </c>
      <c r="J117" s="257">
        <v>40</v>
      </c>
      <c r="K117" s="257">
        <v>42</v>
      </c>
      <c r="L117" s="257">
        <v>44</v>
      </c>
      <c r="M117" s="257">
        <v>46</v>
      </c>
      <c r="N117" s="257"/>
      <c r="O117" s="258" t="s">
        <v>15</v>
      </c>
      <c r="Q117" s="259" t="s">
        <v>14</v>
      </c>
      <c r="R117" s="259"/>
      <c r="S117" s="259">
        <v>36</v>
      </c>
      <c r="T117" s="259">
        <v>38</v>
      </c>
      <c r="U117" s="259">
        <v>40</v>
      </c>
      <c r="V117" s="259">
        <v>42</v>
      </c>
      <c r="W117" s="259">
        <v>44</v>
      </c>
      <c r="X117" s="259">
        <v>46</v>
      </c>
      <c r="Y117" s="259"/>
      <c r="Z117" s="259" t="s">
        <v>15</v>
      </c>
      <c r="AB117" s="288"/>
      <c r="AC117" s="289"/>
      <c r="AD117" s="289"/>
      <c r="AE117" s="289"/>
      <c r="AF117" s="289"/>
      <c r="AG117" s="289"/>
    </row>
    <row r="118" spans="1:33" ht="15" thickTop="1" thickBot="1">
      <c r="A118" s="280" t="str">
        <f t="shared" ref="A118:A124" si="47">+A117</f>
        <v>4206-00</v>
      </c>
      <c r="B118" s="39" t="s">
        <v>16</v>
      </c>
      <c r="C118" s="39"/>
      <c r="D118" s="39" t="str">
        <f>+B117</f>
        <v>B2868-V3</v>
      </c>
      <c r="E118" s="40"/>
      <c r="F118" s="261" t="s">
        <v>1</v>
      </c>
      <c r="G118" s="261"/>
      <c r="H118" s="262">
        <f>'BASE DATOS'!C16</f>
        <v>35</v>
      </c>
      <c r="I118" s="262">
        <f>'BASE DATOS'!D16</f>
        <v>71</v>
      </c>
      <c r="J118" s="262">
        <f>'BASE DATOS'!E16</f>
        <v>70</v>
      </c>
      <c r="K118" s="262">
        <f>'BASE DATOS'!F16</f>
        <v>63</v>
      </c>
      <c r="L118" s="262">
        <f>'BASE DATOS'!G16</f>
        <v>40</v>
      </c>
      <c r="M118" s="262">
        <f>'BASE DATOS'!H16</f>
        <v>26</v>
      </c>
      <c r="N118" s="262"/>
      <c r="O118" s="263">
        <f t="shared" ref="O118:O124" si="48">SUM(H118:N118)</f>
        <v>305</v>
      </c>
      <c r="Q118" s="264"/>
      <c r="R118" s="264"/>
      <c r="S118" s="264"/>
      <c r="T118" s="264"/>
      <c r="U118" s="264"/>
      <c r="V118" s="264"/>
      <c r="W118" s="264"/>
      <c r="X118" s="264"/>
      <c r="Y118" s="264"/>
      <c r="Z118" s="264">
        <f>SUBTOTAL(9,S118:Y118)</f>
        <v>0</v>
      </c>
      <c r="AB118" s="288"/>
      <c r="AC118" s="289"/>
      <c r="AD118" s="289"/>
      <c r="AE118" s="289"/>
      <c r="AF118" s="289"/>
      <c r="AG118" s="289"/>
    </row>
    <row r="119" spans="1:33" ht="15" thickTop="1" thickBot="1">
      <c r="A119" s="280" t="str">
        <f t="shared" si="47"/>
        <v>4206-00</v>
      </c>
      <c r="B119" s="3">
        <v>46028</v>
      </c>
      <c r="C119" s="4" t="s">
        <v>17</v>
      </c>
      <c r="D119" s="4" t="s">
        <v>18</v>
      </c>
      <c r="E119" s="5" t="s">
        <v>3</v>
      </c>
      <c r="F119" s="305" t="s">
        <v>57</v>
      </c>
      <c r="G119" s="2"/>
      <c r="H119" s="7">
        <v>38</v>
      </c>
      <c r="I119" s="7">
        <v>50</v>
      </c>
      <c r="J119" s="7">
        <v>50</v>
      </c>
      <c r="K119" s="7">
        <v>50</v>
      </c>
      <c r="L119" s="7">
        <v>40</v>
      </c>
      <c r="M119" s="7">
        <v>30</v>
      </c>
      <c r="N119" s="8"/>
      <c r="O119" s="14">
        <f t="shared" si="48"/>
        <v>258</v>
      </c>
      <c r="Q119" s="252" t="s">
        <v>19</v>
      </c>
      <c r="R119" s="266"/>
      <c r="S119" s="266"/>
      <c r="T119" s="266"/>
      <c r="U119" s="266"/>
      <c r="V119" s="266"/>
      <c r="W119" s="266"/>
      <c r="X119" s="266"/>
      <c r="Y119" s="267"/>
      <c r="Z119" s="268">
        <f t="shared" ref="Z119:Z124" si="49">SUM(S119:Y119)</f>
        <v>0</v>
      </c>
      <c r="AB119" s="288"/>
      <c r="AC119" s="289"/>
      <c r="AD119" s="289"/>
      <c r="AE119" s="289"/>
      <c r="AF119" s="289"/>
      <c r="AG119" s="289"/>
    </row>
    <row r="120" spans="1:33" ht="15" thickTop="1" thickBot="1">
      <c r="A120" s="280" t="str">
        <f t="shared" si="47"/>
        <v>4206-00</v>
      </c>
      <c r="B120" s="3"/>
      <c r="C120" s="3"/>
      <c r="D120" s="52"/>
      <c r="E120" s="5" t="s">
        <v>3</v>
      </c>
      <c r="F120" s="305" t="s">
        <v>58</v>
      </c>
      <c r="G120" s="6"/>
      <c r="H120" s="7">
        <v>40</v>
      </c>
      <c r="I120" s="7">
        <v>50</v>
      </c>
      <c r="J120" s="7">
        <v>50</v>
      </c>
      <c r="K120" s="7">
        <v>50</v>
      </c>
      <c r="L120" s="7">
        <v>38</v>
      </c>
      <c r="M120" s="7">
        <v>20</v>
      </c>
      <c r="N120" s="15"/>
      <c r="O120" s="14">
        <f t="shared" si="48"/>
        <v>248</v>
      </c>
      <c r="Q120" s="252" t="s">
        <v>4</v>
      </c>
      <c r="R120" s="266">
        <f>78/19</f>
        <v>4.1052631578947372</v>
      </c>
      <c r="S120" s="266"/>
      <c r="T120" s="266"/>
      <c r="U120" s="266"/>
      <c r="V120" s="266"/>
      <c r="W120" s="266"/>
      <c r="X120" s="266"/>
      <c r="Y120" s="266"/>
      <c r="Z120" s="266">
        <f t="shared" si="49"/>
        <v>0</v>
      </c>
      <c r="AB120" s="288"/>
      <c r="AC120" s="289"/>
      <c r="AD120" s="289"/>
      <c r="AE120" s="289"/>
      <c r="AF120" s="289"/>
      <c r="AG120" s="289"/>
    </row>
    <row r="121" spans="1:33" ht="15" thickTop="1" thickBot="1">
      <c r="A121" s="280" t="str">
        <f t="shared" si="47"/>
        <v>4206-00</v>
      </c>
      <c r="B121" s="3"/>
      <c r="C121" s="3"/>
      <c r="D121" s="3"/>
      <c r="E121" s="5" t="s">
        <v>3</v>
      </c>
      <c r="F121" s="269"/>
      <c r="G121" s="6"/>
      <c r="H121" s="15"/>
      <c r="I121" s="15"/>
      <c r="J121" s="15"/>
      <c r="K121" s="15"/>
      <c r="L121" s="15"/>
      <c r="M121" s="15"/>
      <c r="N121" s="15"/>
      <c r="O121" s="16">
        <f t="shared" si="48"/>
        <v>0</v>
      </c>
      <c r="Q121" s="252" t="s">
        <v>6</v>
      </c>
      <c r="R121" s="266">
        <f>25/11</f>
        <v>2.2727272727272729</v>
      </c>
      <c r="S121" s="266"/>
      <c r="T121" s="266"/>
      <c r="U121" s="266"/>
      <c r="V121" s="266"/>
      <c r="W121" s="266"/>
      <c r="X121" s="266"/>
      <c r="Y121" s="266"/>
      <c r="Z121" s="266">
        <f t="shared" si="49"/>
        <v>0</v>
      </c>
      <c r="AB121" s="288"/>
      <c r="AC121" s="289"/>
      <c r="AD121" s="289"/>
      <c r="AE121" s="289"/>
      <c r="AF121" s="289"/>
      <c r="AG121" s="289"/>
    </row>
    <row r="122" spans="1:33" ht="15" thickTop="1" thickBot="1">
      <c r="A122" s="280" t="str">
        <f t="shared" si="47"/>
        <v>4206-00</v>
      </c>
      <c r="B122" s="3"/>
      <c r="C122" s="3"/>
      <c r="D122" s="3"/>
      <c r="E122" s="5" t="s">
        <v>3</v>
      </c>
      <c r="F122" s="269"/>
      <c r="G122" s="6"/>
      <c r="H122" s="8"/>
      <c r="I122" s="8"/>
      <c r="J122" s="8"/>
      <c r="K122" s="8"/>
      <c r="L122" s="8"/>
      <c r="M122" s="8"/>
      <c r="N122" s="15"/>
      <c r="O122" s="16">
        <f t="shared" si="48"/>
        <v>0</v>
      </c>
      <c r="Q122" s="266"/>
      <c r="R122" s="266"/>
      <c r="S122" s="266"/>
      <c r="T122" s="266"/>
      <c r="U122" s="266"/>
      <c r="V122" s="266"/>
      <c r="W122" s="266"/>
      <c r="X122" s="266"/>
      <c r="Y122" s="266"/>
      <c r="Z122" s="266">
        <f t="shared" si="49"/>
        <v>0</v>
      </c>
      <c r="AB122" s="288"/>
      <c r="AC122" s="289"/>
      <c r="AD122" s="289"/>
      <c r="AE122" s="289"/>
      <c r="AF122" s="289"/>
      <c r="AG122" s="289"/>
    </row>
    <row r="123" spans="1:33" ht="15" thickTop="1" thickBot="1">
      <c r="A123" s="283" t="str">
        <f t="shared" si="47"/>
        <v>4206-00</v>
      </c>
      <c r="B123" s="19"/>
      <c r="C123" s="19"/>
      <c r="D123" s="19"/>
      <c r="E123" s="20" t="s">
        <v>3</v>
      </c>
      <c r="F123" s="271"/>
      <c r="G123" s="21"/>
      <c r="H123" s="22"/>
      <c r="I123" s="22"/>
      <c r="J123" s="22"/>
      <c r="K123" s="22"/>
      <c r="L123" s="22"/>
      <c r="M123" s="22"/>
      <c r="N123" s="22"/>
      <c r="O123" s="23">
        <f t="shared" si="48"/>
        <v>0</v>
      </c>
      <c r="Q123" s="252" t="s">
        <v>2</v>
      </c>
      <c r="R123" s="272">
        <f>500/10.2</f>
        <v>49.019607843137258</v>
      </c>
      <c r="S123" s="252">
        <f>49*1.2</f>
        <v>58.8</v>
      </c>
      <c r="T123" s="252">
        <f>49*2.1</f>
        <v>102.9</v>
      </c>
      <c r="U123" s="252">
        <f>49*2.4</f>
        <v>117.6</v>
      </c>
      <c r="V123" s="252">
        <f>49*2.4</f>
        <v>117.6</v>
      </c>
      <c r="W123" s="252">
        <f>49*1.5</f>
        <v>73.5</v>
      </c>
      <c r="X123" s="252">
        <f>49*0.9</f>
        <v>44.1</v>
      </c>
      <c r="Y123" s="266"/>
      <c r="Z123" s="266">
        <f t="shared" si="49"/>
        <v>514.5</v>
      </c>
      <c r="AB123" s="288"/>
      <c r="AC123" s="289"/>
      <c r="AD123" s="289"/>
      <c r="AE123" s="289"/>
      <c r="AF123" s="289"/>
      <c r="AG123" s="289"/>
    </row>
    <row r="124" spans="1:33" ht="15" thickTop="1" thickBot="1">
      <c r="A124" s="284" t="str">
        <f t="shared" si="47"/>
        <v>4206-00</v>
      </c>
      <c r="B124" s="47"/>
      <c r="C124" s="47"/>
      <c r="D124" s="47"/>
      <c r="E124" s="48" t="s">
        <v>23</v>
      </c>
      <c r="F124" s="49" t="str">
        <f>+B117</f>
        <v>B2868-V3</v>
      </c>
      <c r="G124" s="48"/>
      <c r="H124" s="48">
        <f>+H118-H119-H120-H121-H123+H122</f>
        <v>-43</v>
      </c>
      <c r="I124" s="48">
        <f>+I118-I119-I120-I121-I123+I122</f>
        <v>-29</v>
      </c>
      <c r="J124" s="48">
        <f>+J118-J119-J120-J121-J123-J122</f>
        <v>-30</v>
      </c>
      <c r="K124" s="48">
        <f>+K118-K119-K120-K121-K123-K122</f>
        <v>-37</v>
      </c>
      <c r="L124" s="48">
        <f>+L118-L119-L120-L121-L123-L122</f>
        <v>-38</v>
      </c>
      <c r="M124" s="48">
        <f>+M118-M119-M120-M121-M123-M122</f>
        <v>-24</v>
      </c>
      <c r="N124" s="48"/>
      <c r="O124" s="48">
        <f t="shared" si="48"/>
        <v>-201</v>
      </c>
      <c r="Q124" s="266"/>
      <c r="R124" s="266"/>
      <c r="S124" s="252">
        <f t="shared" ref="S124:X124" si="50">SUM(S120:S123)</f>
        <v>58.8</v>
      </c>
      <c r="T124" s="252">
        <f t="shared" si="50"/>
        <v>102.9</v>
      </c>
      <c r="U124" s="252">
        <f t="shared" si="50"/>
        <v>117.6</v>
      </c>
      <c r="V124" s="252">
        <f t="shared" si="50"/>
        <v>117.6</v>
      </c>
      <c r="W124" s="252">
        <f t="shared" si="50"/>
        <v>73.5</v>
      </c>
      <c r="X124" s="252">
        <f t="shared" si="50"/>
        <v>44.1</v>
      </c>
      <c r="Y124" s="252"/>
      <c r="Z124" s="252">
        <f t="shared" si="49"/>
        <v>514.5</v>
      </c>
      <c r="AB124" s="288"/>
      <c r="AC124" s="289"/>
      <c r="AD124" s="289"/>
      <c r="AE124" s="289"/>
      <c r="AF124" s="289"/>
      <c r="AG124" s="289"/>
    </row>
    <row r="125" spans="1:33" ht="15" thickTop="1" thickBot="1">
      <c r="A125" s="274" t="s">
        <v>7</v>
      </c>
      <c r="B125" s="43" t="s">
        <v>8</v>
      </c>
      <c r="C125" s="43"/>
      <c r="D125" s="43"/>
      <c r="E125" s="44" t="s">
        <v>9</v>
      </c>
      <c r="F125" s="45"/>
      <c r="G125" s="45"/>
      <c r="H125" s="44"/>
      <c r="I125" s="44"/>
      <c r="J125" s="44"/>
      <c r="K125" s="44"/>
      <c r="L125" s="44"/>
      <c r="M125" s="44"/>
      <c r="N125" s="44"/>
      <c r="O125" s="44"/>
      <c r="AB125" s="288"/>
      <c r="AC125" s="289"/>
      <c r="AD125" s="289"/>
      <c r="AE125" s="289"/>
      <c r="AF125" s="289"/>
      <c r="AG125" s="289"/>
    </row>
    <row r="126" spans="1:33" ht="15" thickTop="1" thickBot="1">
      <c r="A126" s="278" t="s">
        <v>59</v>
      </c>
      <c r="B126" s="38" t="s">
        <v>50</v>
      </c>
      <c r="C126" s="9" t="s">
        <v>12</v>
      </c>
      <c r="D126" s="9" t="s">
        <v>37</v>
      </c>
      <c r="E126" s="10"/>
      <c r="F126" s="256" t="s">
        <v>14</v>
      </c>
      <c r="G126" s="257">
        <v>34</v>
      </c>
      <c r="H126" s="257">
        <v>36</v>
      </c>
      <c r="I126" s="257">
        <v>38</v>
      </c>
      <c r="J126" s="257">
        <v>40</v>
      </c>
      <c r="K126" s="257">
        <v>42</v>
      </c>
      <c r="L126" s="257">
        <v>44</v>
      </c>
      <c r="M126" s="257">
        <v>46</v>
      </c>
      <c r="N126" s="257"/>
      <c r="O126" s="258" t="s">
        <v>15</v>
      </c>
      <c r="Q126" s="259" t="s">
        <v>14</v>
      </c>
      <c r="R126" s="259"/>
      <c r="S126" s="259">
        <v>36</v>
      </c>
      <c r="T126" s="259">
        <v>38</v>
      </c>
      <c r="U126" s="259">
        <v>40</v>
      </c>
      <c r="V126" s="259">
        <v>42</v>
      </c>
      <c r="W126" s="259">
        <v>44</v>
      </c>
      <c r="X126" s="259">
        <v>46</v>
      </c>
      <c r="Y126" s="259"/>
      <c r="Z126" s="259" t="s">
        <v>15</v>
      </c>
      <c r="AB126" s="288"/>
      <c r="AC126" s="289"/>
      <c r="AD126" s="289"/>
      <c r="AE126" s="289"/>
      <c r="AF126" s="289"/>
      <c r="AG126" s="289"/>
    </row>
    <row r="127" spans="1:33" ht="15" thickTop="1" thickBot="1">
      <c r="A127" s="280" t="str">
        <f t="shared" ref="A127:A133" si="51">+A126</f>
        <v>4207-00</v>
      </c>
      <c r="B127" s="39" t="s">
        <v>16</v>
      </c>
      <c r="C127" s="39"/>
      <c r="D127" s="39" t="str">
        <f>+B126</f>
        <v>Ayla</v>
      </c>
      <c r="E127" s="40"/>
      <c r="F127" s="261" t="s">
        <v>1</v>
      </c>
      <c r="G127" s="261"/>
      <c r="H127" s="262">
        <f>'BASE DATOS'!C17</f>
        <v>0</v>
      </c>
      <c r="I127" s="262">
        <f>'BASE DATOS'!D17</f>
        <v>4</v>
      </c>
      <c r="J127" s="262">
        <f>'BASE DATOS'!E17</f>
        <v>8</v>
      </c>
      <c r="K127" s="262">
        <f>'BASE DATOS'!F17</f>
        <v>8</v>
      </c>
      <c r="L127" s="262">
        <f>'BASE DATOS'!G17</f>
        <v>7</v>
      </c>
      <c r="M127" s="262">
        <f>'BASE DATOS'!H17</f>
        <v>5</v>
      </c>
      <c r="N127" s="262"/>
      <c r="O127" s="263">
        <f t="shared" ref="O127:O133" si="52">SUM(H127:N127)</f>
        <v>32</v>
      </c>
      <c r="Q127" s="264"/>
      <c r="R127" s="264"/>
      <c r="S127" s="264"/>
      <c r="T127" s="264"/>
      <c r="U127" s="264"/>
      <c r="V127" s="264"/>
      <c r="W127" s="264"/>
      <c r="X127" s="264"/>
      <c r="Y127" s="264"/>
      <c r="Z127" s="264">
        <f>SUBTOTAL(9,S127:Y127)</f>
        <v>0</v>
      </c>
      <c r="AB127" s="288"/>
      <c r="AC127" s="289"/>
      <c r="AD127" s="289"/>
      <c r="AE127" s="289"/>
      <c r="AF127" s="289"/>
      <c r="AG127" s="289"/>
    </row>
    <row r="128" spans="1:33" ht="15" thickTop="1" thickBot="1">
      <c r="A128" s="280" t="str">
        <f t="shared" si="51"/>
        <v>4207-00</v>
      </c>
      <c r="B128" s="3"/>
      <c r="C128" s="4" t="s">
        <v>17</v>
      </c>
      <c r="D128" s="4" t="s">
        <v>51</v>
      </c>
      <c r="E128" s="5" t="s">
        <v>3</v>
      </c>
      <c r="F128" s="265"/>
      <c r="G128" s="2"/>
      <c r="H128" s="7"/>
      <c r="I128" s="7"/>
      <c r="J128" s="7"/>
      <c r="K128" s="7"/>
      <c r="L128" s="7"/>
      <c r="M128" s="7"/>
      <c r="N128" s="8"/>
      <c r="O128" s="14">
        <f t="shared" si="52"/>
        <v>0</v>
      </c>
      <c r="Q128" s="252" t="s">
        <v>19</v>
      </c>
      <c r="R128" s="266"/>
      <c r="S128" s="266"/>
      <c r="T128" s="266"/>
      <c r="U128" s="266"/>
      <c r="V128" s="266"/>
      <c r="W128" s="266"/>
      <c r="X128" s="266"/>
      <c r="Y128" s="267"/>
      <c r="Z128" s="268">
        <f t="shared" ref="Z128:Z133" si="53">SUM(S128:Y128)</f>
        <v>0</v>
      </c>
      <c r="AB128" s="288"/>
      <c r="AC128" s="289"/>
      <c r="AD128" s="289"/>
      <c r="AE128" s="289"/>
      <c r="AF128" s="289"/>
      <c r="AG128" s="289"/>
    </row>
    <row r="129" spans="1:37" ht="15" thickTop="1" thickBot="1">
      <c r="A129" s="280" t="str">
        <f t="shared" si="51"/>
        <v>4207-00</v>
      </c>
      <c r="B129" s="3"/>
      <c r="C129" s="3"/>
      <c r="D129" s="52"/>
      <c r="E129" s="5" t="s">
        <v>3</v>
      </c>
      <c r="F129" s="269"/>
      <c r="G129" s="6"/>
      <c r="H129" s="7"/>
      <c r="I129" s="7"/>
      <c r="J129" s="7"/>
      <c r="K129" s="7"/>
      <c r="L129" s="7"/>
      <c r="M129" s="7"/>
      <c r="N129" s="15"/>
      <c r="O129" s="14">
        <f t="shared" si="52"/>
        <v>0</v>
      </c>
      <c r="Q129" s="252" t="s">
        <v>4</v>
      </c>
      <c r="R129" s="266">
        <f>78/19</f>
        <v>4.1052631578947372</v>
      </c>
      <c r="S129" s="266"/>
      <c r="T129" s="266"/>
      <c r="U129" s="266"/>
      <c r="V129" s="266"/>
      <c r="W129" s="266"/>
      <c r="X129" s="266"/>
      <c r="Y129" s="266"/>
      <c r="Z129" s="266">
        <f t="shared" si="53"/>
        <v>0</v>
      </c>
      <c r="AB129" s="288"/>
      <c r="AC129" s="289"/>
      <c r="AD129" s="289"/>
      <c r="AE129" s="289"/>
      <c r="AF129" s="289"/>
      <c r="AG129" s="289"/>
    </row>
    <row r="130" spans="1:37" ht="15" thickTop="1" thickBot="1">
      <c r="A130" s="280" t="str">
        <f t="shared" si="51"/>
        <v>4207-00</v>
      </c>
      <c r="B130" s="3"/>
      <c r="C130" s="3"/>
      <c r="D130" s="3"/>
      <c r="E130" s="5" t="s">
        <v>3</v>
      </c>
      <c r="F130" s="269"/>
      <c r="G130" s="6"/>
      <c r="H130" s="15"/>
      <c r="I130" s="15"/>
      <c r="J130" s="15"/>
      <c r="K130" s="15"/>
      <c r="L130" s="15"/>
      <c r="M130" s="15"/>
      <c r="N130" s="15"/>
      <c r="O130" s="16">
        <f t="shared" si="52"/>
        <v>0</v>
      </c>
      <c r="Q130" s="252" t="s">
        <v>6</v>
      </c>
      <c r="R130" s="266">
        <f>25/11</f>
        <v>2.2727272727272729</v>
      </c>
      <c r="S130" s="266"/>
      <c r="T130" s="266"/>
      <c r="U130" s="266"/>
      <c r="V130" s="266"/>
      <c r="W130" s="266"/>
      <c r="X130" s="266"/>
      <c r="Y130" s="266"/>
      <c r="Z130" s="266">
        <f t="shared" si="53"/>
        <v>0</v>
      </c>
      <c r="AB130" s="288"/>
      <c r="AC130" s="289"/>
      <c r="AD130" s="289"/>
      <c r="AE130" s="289"/>
      <c r="AF130" s="289"/>
      <c r="AG130" s="289"/>
    </row>
    <row r="131" spans="1:37" ht="15" thickTop="1" thickBot="1">
      <c r="A131" s="280" t="str">
        <f t="shared" si="51"/>
        <v>4207-00</v>
      </c>
      <c r="B131" s="3"/>
      <c r="C131" s="3"/>
      <c r="D131" s="3"/>
      <c r="E131" s="5" t="s">
        <v>3</v>
      </c>
      <c r="F131" s="269"/>
      <c r="G131" s="6"/>
      <c r="H131" s="8"/>
      <c r="I131" s="8"/>
      <c r="J131" s="8"/>
      <c r="K131" s="8"/>
      <c r="L131" s="8"/>
      <c r="M131" s="8"/>
      <c r="N131" s="15"/>
      <c r="O131" s="16">
        <f t="shared" si="52"/>
        <v>0</v>
      </c>
      <c r="Q131" s="266"/>
      <c r="R131" s="266"/>
      <c r="S131" s="266"/>
      <c r="T131" s="266"/>
      <c r="U131" s="266"/>
      <c r="V131" s="266"/>
      <c r="W131" s="266"/>
      <c r="X131" s="266"/>
      <c r="Y131" s="266"/>
      <c r="Z131" s="266">
        <f t="shared" si="53"/>
        <v>0</v>
      </c>
      <c r="AB131" s="288"/>
      <c r="AC131" s="289"/>
      <c r="AD131" s="289"/>
      <c r="AE131" s="289"/>
      <c r="AF131" s="289"/>
      <c r="AG131" s="289"/>
    </row>
    <row r="132" spans="1:37" ht="15" thickTop="1" thickBot="1">
      <c r="A132" s="283" t="str">
        <f t="shared" si="51"/>
        <v>4207-00</v>
      </c>
      <c r="B132" s="19"/>
      <c r="C132" s="19"/>
      <c r="D132" s="19"/>
      <c r="E132" s="20" t="s">
        <v>3</v>
      </c>
      <c r="F132" s="271"/>
      <c r="G132" s="21"/>
      <c r="H132" s="22"/>
      <c r="I132" s="22"/>
      <c r="J132" s="22"/>
      <c r="K132" s="22"/>
      <c r="L132" s="22"/>
      <c r="M132" s="22"/>
      <c r="N132" s="22"/>
      <c r="O132" s="23">
        <f t="shared" si="52"/>
        <v>0</v>
      </c>
      <c r="Q132" s="252" t="s">
        <v>2</v>
      </c>
      <c r="R132" s="272">
        <f>500/10.2</f>
        <v>49.019607843137258</v>
      </c>
      <c r="S132" s="252">
        <f>49*1.2</f>
        <v>58.8</v>
      </c>
      <c r="T132" s="252">
        <f>49*2.1</f>
        <v>102.9</v>
      </c>
      <c r="U132" s="252">
        <f>49*2.4</f>
        <v>117.6</v>
      </c>
      <c r="V132" s="252">
        <f>49*2.4</f>
        <v>117.6</v>
      </c>
      <c r="W132" s="252">
        <f>49*1.5</f>
        <v>73.5</v>
      </c>
      <c r="X132" s="252">
        <f>49*0.9</f>
        <v>44.1</v>
      </c>
      <c r="Y132" s="266"/>
      <c r="Z132" s="266">
        <f t="shared" si="53"/>
        <v>514.5</v>
      </c>
      <c r="AB132" s="288"/>
      <c r="AC132" s="289"/>
      <c r="AD132" s="289"/>
      <c r="AE132" s="289"/>
      <c r="AF132" s="289"/>
      <c r="AG132" s="289"/>
    </row>
    <row r="133" spans="1:37" ht="15" thickTop="1" thickBot="1">
      <c r="A133" s="284" t="str">
        <f t="shared" si="51"/>
        <v>4207-00</v>
      </c>
      <c r="B133" s="47"/>
      <c r="C133" s="47"/>
      <c r="D133" s="47"/>
      <c r="E133" s="48" t="s">
        <v>23</v>
      </c>
      <c r="F133" s="49" t="str">
        <f>+B126</f>
        <v>Ayla</v>
      </c>
      <c r="G133" s="48"/>
      <c r="H133" s="48">
        <f>+H127-H128-H129-H130-H132+H131</f>
        <v>0</v>
      </c>
      <c r="I133" s="48">
        <f>+I127-I128-I129-I130-I132+I131</f>
        <v>4</v>
      </c>
      <c r="J133" s="48">
        <f>+J127-J128-J129-J130-J132-J131</f>
        <v>8</v>
      </c>
      <c r="K133" s="48">
        <f>+K127-K128-K129-K130-K132-K131</f>
        <v>8</v>
      </c>
      <c r="L133" s="48">
        <f>+L127-L128-L129-L130-L132-L131</f>
        <v>7</v>
      </c>
      <c r="M133" s="48">
        <f>+M127-M128-M129-M130-M132-M131</f>
        <v>5</v>
      </c>
      <c r="N133" s="48"/>
      <c r="O133" s="48">
        <f t="shared" si="52"/>
        <v>32</v>
      </c>
      <c r="Q133" s="266"/>
      <c r="R133" s="266"/>
      <c r="S133" s="252">
        <f t="shared" ref="S133:X133" si="54">SUM(S129:S132)</f>
        <v>58.8</v>
      </c>
      <c r="T133" s="252">
        <f t="shared" si="54"/>
        <v>102.9</v>
      </c>
      <c r="U133" s="252">
        <f t="shared" si="54"/>
        <v>117.6</v>
      </c>
      <c r="V133" s="252">
        <f t="shared" si="54"/>
        <v>117.6</v>
      </c>
      <c r="W133" s="252">
        <f t="shared" si="54"/>
        <v>73.5</v>
      </c>
      <c r="X133" s="252">
        <f t="shared" si="54"/>
        <v>44.1</v>
      </c>
      <c r="Y133" s="252"/>
      <c r="Z133" s="252">
        <f t="shared" si="53"/>
        <v>514.5</v>
      </c>
      <c r="AB133" s="288"/>
      <c r="AC133" s="289"/>
      <c r="AD133" s="289"/>
      <c r="AE133" s="289"/>
      <c r="AF133" s="289"/>
      <c r="AG133" s="289"/>
    </row>
    <row r="134" spans="1:37" ht="15" thickTop="1" thickBot="1">
      <c r="A134" s="306" t="s">
        <v>7</v>
      </c>
      <c r="B134" s="43" t="s">
        <v>8</v>
      </c>
      <c r="C134" s="43"/>
      <c r="D134" s="43"/>
      <c r="E134" s="44" t="s">
        <v>9</v>
      </c>
      <c r="F134" s="45"/>
      <c r="G134" s="45"/>
      <c r="H134" s="44"/>
      <c r="I134" s="44"/>
      <c r="J134" s="44"/>
      <c r="K134" s="44"/>
      <c r="L134" s="44"/>
      <c r="M134" s="44"/>
      <c r="N134" s="44"/>
      <c r="O134" s="44"/>
      <c r="AB134" s="288"/>
      <c r="AC134" s="275" t="s">
        <v>3</v>
      </c>
      <c r="AD134" s="276">
        <v>46104</v>
      </c>
      <c r="AE134" s="275">
        <v>36</v>
      </c>
      <c r="AF134" s="275">
        <v>38</v>
      </c>
      <c r="AG134" s="275">
        <v>40</v>
      </c>
      <c r="AH134" s="275">
        <v>42</v>
      </c>
      <c r="AI134" s="277">
        <v>44</v>
      </c>
      <c r="AJ134" s="277">
        <v>46</v>
      </c>
      <c r="AK134" s="277" t="s">
        <v>28</v>
      </c>
    </row>
    <row r="135" spans="1:37" ht="20.25" thickTop="1" thickBot="1">
      <c r="A135" s="307" t="s">
        <v>60</v>
      </c>
      <c r="B135" s="38" t="s">
        <v>50</v>
      </c>
      <c r="C135" s="9" t="s">
        <v>12</v>
      </c>
      <c r="D135" s="9" t="s">
        <v>13</v>
      </c>
      <c r="E135" s="10"/>
      <c r="F135" s="256" t="s">
        <v>14</v>
      </c>
      <c r="G135" s="257">
        <v>34</v>
      </c>
      <c r="H135" s="257">
        <v>36</v>
      </c>
      <c r="I135" s="257">
        <v>38</v>
      </c>
      <c r="J135" s="257">
        <v>40</v>
      </c>
      <c r="K135" s="257">
        <v>42</v>
      </c>
      <c r="L135" s="257">
        <v>44</v>
      </c>
      <c r="M135" s="257">
        <v>46</v>
      </c>
      <c r="N135" s="257"/>
      <c r="O135" s="258" t="s">
        <v>15</v>
      </c>
      <c r="Q135" s="259" t="s">
        <v>14</v>
      </c>
      <c r="R135" s="259"/>
      <c r="S135" s="259">
        <v>36</v>
      </c>
      <c r="T135" s="259">
        <v>38</v>
      </c>
      <c r="U135" s="259">
        <v>40</v>
      </c>
      <c r="V135" s="259">
        <v>42</v>
      </c>
      <c r="W135" s="259">
        <v>44</v>
      </c>
      <c r="X135" s="259">
        <v>46</v>
      </c>
      <c r="Y135" s="259"/>
      <c r="Z135" s="259" t="s">
        <v>15</v>
      </c>
      <c r="AB135" s="288"/>
      <c r="AC135" s="279" t="s">
        <v>29</v>
      </c>
      <c r="AD135" s="192">
        <v>11574</v>
      </c>
      <c r="AE135" s="279">
        <v>15</v>
      </c>
      <c r="AF135" s="279">
        <v>46</v>
      </c>
      <c r="AG135" s="279">
        <v>64</v>
      </c>
      <c r="AH135" s="279">
        <v>56</v>
      </c>
      <c r="AI135" s="279">
        <v>40</v>
      </c>
      <c r="AJ135" s="279">
        <v>30</v>
      </c>
      <c r="AK135" s="279">
        <f>SUM(AE135:AJ135)</f>
        <v>251</v>
      </c>
    </row>
    <row r="136" spans="1:37" ht="20.25" thickTop="1" thickBot="1">
      <c r="A136" s="308" t="str">
        <f t="shared" ref="A136:A142" si="55">+A135</f>
        <v>4208-00</v>
      </c>
      <c r="B136" s="39" t="s">
        <v>16</v>
      </c>
      <c r="C136" s="39"/>
      <c r="D136" s="39" t="str">
        <f>+B135</f>
        <v>Ayla</v>
      </c>
      <c r="E136" s="40"/>
      <c r="F136" s="261" t="s">
        <v>1</v>
      </c>
      <c r="G136" s="261"/>
      <c r="H136" s="262">
        <f>'BASE DATOS'!C18</f>
        <v>10</v>
      </c>
      <c r="I136" s="262">
        <f>'BASE DATOS'!D18</f>
        <v>29</v>
      </c>
      <c r="J136" s="262">
        <f>'BASE DATOS'!E18</f>
        <v>38</v>
      </c>
      <c r="K136" s="262">
        <f>'BASE DATOS'!F18</f>
        <v>30</v>
      </c>
      <c r="L136" s="262">
        <f>'BASE DATOS'!G18</f>
        <v>22</v>
      </c>
      <c r="M136" s="262">
        <f>'BASE DATOS'!H18</f>
        <v>15</v>
      </c>
      <c r="N136" s="262"/>
      <c r="O136" s="263">
        <f t="shared" ref="O136:O142" si="56">SUM(H136:N136)</f>
        <v>144</v>
      </c>
      <c r="Q136" s="264"/>
      <c r="R136" s="264"/>
      <c r="S136" s="264"/>
      <c r="T136" s="264"/>
      <c r="U136" s="264"/>
      <c r="V136" s="264"/>
      <c r="W136" s="264"/>
      <c r="X136" s="264"/>
      <c r="Y136" s="264"/>
      <c r="Z136" s="264">
        <f>SUBTOTAL(9,S136:Y136)</f>
        <v>0</v>
      </c>
      <c r="AB136" s="288"/>
      <c r="AC136" s="281" t="s">
        <v>30</v>
      </c>
      <c r="AD136" s="196">
        <v>4208</v>
      </c>
    </row>
    <row r="137" spans="1:37" ht="22.5" thickTop="1" thickBot="1">
      <c r="A137" s="308" t="str">
        <f t="shared" si="55"/>
        <v>4208-00</v>
      </c>
      <c r="B137" s="3">
        <v>46104</v>
      </c>
      <c r="C137" s="4" t="s">
        <v>17</v>
      </c>
      <c r="D137" s="4" t="s">
        <v>42</v>
      </c>
      <c r="E137" s="5" t="s">
        <v>3</v>
      </c>
      <c r="F137" s="265">
        <v>11574</v>
      </c>
      <c r="G137" s="2"/>
      <c r="H137" s="7">
        <f>16-H146-H155</f>
        <v>16</v>
      </c>
      <c r="I137" s="7">
        <f>46-I146-I155</f>
        <v>38</v>
      </c>
      <c r="J137" s="7">
        <f>64-J146-J155</f>
        <v>48</v>
      </c>
      <c r="K137" s="7">
        <f>56-K146-K155</f>
        <v>40</v>
      </c>
      <c r="L137" s="7">
        <f>40-L146-L155</f>
        <v>26</v>
      </c>
      <c r="M137" s="7">
        <f>30-M146-M155</f>
        <v>20</v>
      </c>
      <c r="N137" s="8"/>
      <c r="O137" s="14">
        <f t="shared" si="56"/>
        <v>188</v>
      </c>
      <c r="Q137" s="252" t="s">
        <v>19</v>
      </c>
      <c r="R137" s="266"/>
      <c r="S137" s="266"/>
      <c r="T137" s="266"/>
      <c r="U137" s="266"/>
      <c r="V137" s="266"/>
      <c r="W137" s="266"/>
      <c r="X137" s="266"/>
      <c r="Y137" s="267"/>
      <c r="Z137" s="268">
        <f t="shared" ref="Z137:Z142" si="57">SUM(S137:Y137)</f>
        <v>0</v>
      </c>
      <c r="AB137" s="288"/>
      <c r="AC137" s="279" t="s">
        <v>32</v>
      </c>
      <c r="AD137" s="504" t="s">
        <v>50</v>
      </c>
    </row>
    <row r="138" spans="1:37" ht="16.5" thickTop="1" thickBot="1">
      <c r="A138" s="308" t="str">
        <f t="shared" si="55"/>
        <v>4208-00</v>
      </c>
      <c r="B138" s="3"/>
      <c r="C138" s="3"/>
      <c r="D138" s="52"/>
      <c r="E138" s="5" t="s">
        <v>3</v>
      </c>
      <c r="F138" s="269"/>
      <c r="G138" s="6"/>
      <c r="H138" s="7"/>
      <c r="I138" s="7"/>
      <c r="J138" s="7"/>
      <c r="K138" s="7"/>
      <c r="L138" s="7"/>
      <c r="M138" s="7"/>
      <c r="N138" s="15"/>
      <c r="O138" s="14">
        <f t="shared" si="56"/>
        <v>0</v>
      </c>
      <c r="Q138" s="252" t="s">
        <v>4</v>
      </c>
      <c r="R138" s="266">
        <f>78/19</f>
        <v>4.1052631578947372</v>
      </c>
      <c r="S138" s="266"/>
      <c r="T138" s="266"/>
      <c r="U138" s="266"/>
      <c r="V138" s="266"/>
      <c r="W138" s="266"/>
      <c r="X138" s="266"/>
      <c r="Y138" s="266"/>
      <c r="Z138" s="266">
        <f t="shared" si="57"/>
        <v>0</v>
      </c>
      <c r="AB138" s="288"/>
      <c r="AC138" s="279" t="s">
        <v>12</v>
      </c>
      <c r="AD138" s="503" t="s">
        <v>53</v>
      </c>
    </row>
    <row r="139" spans="1:37" ht="16.5" thickTop="1" thickBot="1">
      <c r="A139" s="308" t="str">
        <f t="shared" si="55"/>
        <v>4208-00</v>
      </c>
      <c r="B139" s="3"/>
      <c r="C139" s="3"/>
      <c r="D139" s="3"/>
      <c r="E139" s="5" t="s">
        <v>3</v>
      </c>
      <c r="F139" s="269"/>
      <c r="G139" s="6"/>
      <c r="H139" s="15"/>
      <c r="I139" s="15"/>
      <c r="J139" s="15"/>
      <c r="K139" s="15"/>
      <c r="L139" s="15"/>
      <c r="M139" s="15"/>
      <c r="N139" s="15"/>
      <c r="O139" s="16">
        <f t="shared" si="56"/>
        <v>0</v>
      </c>
      <c r="Q139" s="252" t="s">
        <v>6</v>
      </c>
      <c r="R139" s="266">
        <f>25/11</f>
        <v>2.2727272727272729</v>
      </c>
      <c r="S139" s="266"/>
      <c r="T139" s="266"/>
      <c r="U139" s="266"/>
      <c r="V139" s="266"/>
      <c r="W139" s="266"/>
      <c r="X139" s="266"/>
      <c r="Y139" s="266"/>
      <c r="Z139" s="266">
        <f t="shared" si="57"/>
        <v>0</v>
      </c>
      <c r="AB139" s="288"/>
      <c r="AC139" s="279" t="s">
        <v>17</v>
      </c>
      <c r="AD139" s="503" t="s">
        <v>42</v>
      </c>
    </row>
    <row r="140" spans="1:37" ht="15" thickTop="1" thickBot="1">
      <c r="A140" s="308" t="str">
        <f t="shared" si="55"/>
        <v>4208-00</v>
      </c>
      <c r="B140" s="3"/>
      <c r="C140" s="3"/>
      <c r="D140" s="3"/>
      <c r="E140" s="5" t="s">
        <v>3</v>
      </c>
      <c r="F140" s="269"/>
      <c r="G140" s="6"/>
      <c r="H140" s="8"/>
      <c r="I140" s="8"/>
      <c r="J140" s="8"/>
      <c r="K140" s="8"/>
      <c r="L140" s="8"/>
      <c r="M140" s="8"/>
      <c r="N140" s="15"/>
      <c r="O140" s="16">
        <f t="shared" si="56"/>
        <v>0</v>
      </c>
      <c r="Q140" s="266"/>
      <c r="R140" s="266"/>
      <c r="S140" s="266"/>
      <c r="T140" s="266"/>
      <c r="U140" s="266"/>
      <c r="V140" s="266"/>
      <c r="W140" s="266"/>
      <c r="X140" s="266"/>
      <c r="Y140" s="266"/>
      <c r="Z140" s="266">
        <f t="shared" si="57"/>
        <v>0</v>
      </c>
      <c r="AB140" s="288"/>
      <c r="AC140" s="289"/>
      <c r="AD140" s="289"/>
      <c r="AE140" s="289"/>
      <c r="AF140" s="289"/>
      <c r="AG140" s="289"/>
    </row>
    <row r="141" spans="1:37" ht="15" thickTop="1" thickBot="1">
      <c r="A141" s="309" t="str">
        <f t="shared" si="55"/>
        <v>4208-00</v>
      </c>
      <c r="B141" s="19"/>
      <c r="C141" s="19"/>
      <c r="D141" s="19"/>
      <c r="E141" s="20" t="s">
        <v>3</v>
      </c>
      <c r="F141" s="271"/>
      <c r="G141" s="21"/>
      <c r="H141" s="22"/>
      <c r="I141" s="22"/>
      <c r="J141" s="22"/>
      <c r="K141" s="22"/>
      <c r="L141" s="22"/>
      <c r="M141" s="22"/>
      <c r="N141" s="22"/>
      <c r="O141" s="23">
        <f t="shared" si="56"/>
        <v>0</v>
      </c>
      <c r="Q141" s="252" t="s">
        <v>2</v>
      </c>
      <c r="R141" s="272">
        <f>500/10.2</f>
        <v>49.019607843137258</v>
      </c>
      <c r="S141" s="252">
        <f>49*1.2</f>
        <v>58.8</v>
      </c>
      <c r="T141" s="252">
        <f>49*2.1</f>
        <v>102.9</v>
      </c>
      <c r="U141" s="252">
        <f>49*2.4</f>
        <v>117.6</v>
      </c>
      <c r="V141" s="252">
        <f>49*2.4</f>
        <v>117.6</v>
      </c>
      <c r="W141" s="252">
        <f>49*1.5</f>
        <v>73.5</v>
      </c>
      <c r="X141" s="252">
        <f>49*0.9</f>
        <v>44.1</v>
      </c>
      <c r="Y141" s="266"/>
      <c r="Z141" s="266">
        <f t="shared" si="57"/>
        <v>514.5</v>
      </c>
      <c r="AB141" s="288"/>
      <c r="AC141" s="289"/>
      <c r="AD141" s="289"/>
      <c r="AE141" s="289"/>
      <c r="AF141" s="289"/>
      <c r="AG141" s="289"/>
    </row>
    <row r="142" spans="1:37" ht="15" thickTop="1" thickBot="1">
      <c r="A142" s="310" t="str">
        <f t="shared" si="55"/>
        <v>4208-00</v>
      </c>
      <c r="B142" s="47"/>
      <c r="C142" s="47"/>
      <c r="D142" s="47"/>
      <c r="E142" s="48" t="s">
        <v>23</v>
      </c>
      <c r="F142" s="49" t="str">
        <f>+B135</f>
        <v>Ayla</v>
      </c>
      <c r="G142" s="48"/>
      <c r="H142" s="48">
        <f>+H136-H137-H138-H139-H141+H140</f>
        <v>-6</v>
      </c>
      <c r="I142" s="48">
        <f>+I136-I137-I138-I139-I141+I140</f>
        <v>-9</v>
      </c>
      <c r="J142" s="48">
        <f>+J136-J137-J138-J139-J141-J140</f>
        <v>-10</v>
      </c>
      <c r="K142" s="48">
        <f>+K136-K137-K138-K139-K141-K140</f>
        <v>-10</v>
      </c>
      <c r="L142" s="48">
        <f>+L136-L137-L138-L139-L141-L140</f>
        <v>-4</v>
      </c>
      <c r="M142" s="48">
        <f>+M136-M137-M138-M139-M141-M140</f>
        <v>-5</v>
      </c>
      <c r="N142" s="48"/>
      <c r="O142" s="48">
        <f t="shared" si="56"/>
        <v>-44</v>
      </c>
      <c r="Q142" s="266"/>
      <c r="R142" s="266"/>
      <c r="S142" s="252">
        <f t="shared" ref="S142:X142" si="58">SUM(S138:S141)</f>
        <v>58.8</v>
      </c>
      <c r="T142" s="252">
        <f t="shared" si="58"/>
        <v>102.9</v>
      </c>
      <c r="U142" s="252">
        <f t="shared" si="58"/>
        <v>117.6</v>
      </c>
      <c r="V142" s="252">
        <f t="shared" si="58"/>
        <v>117.6</v>
      </c>
      <c r="W142" s="252">
        <f t="shared" si="58"/>
        <v>73.5</v>
      </c>
      <c r="X142" s="252">
        <f t="shared" si="58"/>
        <v>44.1</v>
      </c>
      <c r="Y142" s="252"/>
      <c r="Z142" s="252">
        <f t="shared" si="57"/>
        <v>514.5</v>
      </c>
      <c r="AB142" s="288"/>
      <c r="AC142" s="289"/>
      <c r="AD142" s="289"/>
      <c r="AE142" s="289"/>
      <c r="AF142" s="289"/>
      <c r="AG142" s="289"/>
      <c r="AH142" s="289"/>
      <c r="AI142" s="289"/>
      <c r="AJ142" s="289"/>
      <c r="AK142" s="250"/>
    </row>
    <row r="143" spans="1:37" ht="15" thickTop="1" thickBot="1">
      <c r="A143" s="306" t="s">
        <v>7</v>
      </c>
      <c r="B143" s="43" t="s">
        <v>8</v>
      </c>
      <c r="C143" s="43"/>
      <c r="D143" s="43"/>
      <c r="E143" s="44" t="s">
        <v>9</v>
      </c>
      <c r="F143" s="45"/>
      <c r="G143" s="45"/>
      <c r="H143" s="44"/>
      <c r="I143" s="44"/>
      <c r="J143" s="44"/>
      <c r="K143" s="44"/>
      <c r="L143" s="44"/>
      <c r="M143" s="44"/>
      <c r="N143" s="44"/>
      <c r="O143" s="44"/>
      <c r="AB143" s="288"/>
      <c r="AC143" s="289"/>
      <c r="AD143" s="289"/>
      <c r="AE143" s="289"/>
      <c r="AF143" s="289"/>
      <c r="AG143" s="289"/>
      <c r="AK143" s="250"/>
    </row>
    <row r="144" spans="1:37" ht="15" thickTop="1" thickBot="1">
      <c r="A144" s="307" t="s">
        <v>61</v>
      </c>
      <c r="B144" s="38" t="s">
        <v>50</v>
      </c>
      <c r="C144" s="9" t="s">
        <v>12</v>
      </c>
      <c r="D144" s="9" t="s">
        <v>13</v>
      </c>
      <c r="E144" s="10"/>
      <c r="F144" s="256" t="s">
        <v>14</v>
      </c>
      <c r="G144" s="257">
        <v>34</v>
      </c>
      <c r="H144" s="257">
        <v>36</v>
      </c>
      <c r="I144" s="257">
        <v>38</v>
      </c>
      <c r="J144" s="257">
        <v>40</v>
      </c>
      <c r="K144" s="257">
        <v>42</v>
      </c>
      <c r="L144" s="257">
        <v>44</v>
      </c>
      <c r="M144" s="257">
        <v>46</v>
      </c>
      <c r="N144" s="257"/>
      <c r="O144" s="258" t="s">
        <v>15</v>
      </c>
      <c r="Q144" s="259" t="s">
        <v>14</v>
      </c>
      <c r="R144" s="259"/>
      <c r="S144" s="259">
        <v>36</v>
      </c>
      <c r="T144" s="259">
        <v>38</v>
      </c>
      <c r="U144" s="259">
        <v>40</v>
      </c>
      <c r="V144" s="259">
        <v>42</v>
      </c>
      <c r="W144" s="259">
        <v>44</v>
      </c>
      <c r="X144" s="259">
        <v>46</v>
      </c>
      <c r="Y144" s="259"/>
      <c r="Z144" s="259" t="s">
        <v>15</v>
      </c>
      <c r="AB144" s="288"/>
      <c r="AC144" s="289"/>
      <c r="AD144" s="289"/>
      <c r="AE144" s="289"/>
      <c r="AF144" s="289"/>
      <c r="AG144" s="289"/>
      <c r="AH144" s="289"/>
      <c r="AI144" s="289"/>
      <c r="AJ144" s="289"/>
    </row>
    <row r="145" spans="1:33" ht="15" thickTop="1" thickBot="1">
      <c r="A145" s="308" t="str">
        <f t="shared" ref="A145:A151" si="59">+A144</f>
        <v>4208-01</v>
      </c>
      <c r="B145" s="39" t="s">
        <v>16</v>
      </c>
      <c r="C145" s="39"/>
      <c r="D145" s="39" t="str">
        <f>+B144</f>
        <v>Ayla</v>
      </c>
      <c r="E145" s="40"/>
      <c r="F145" s="261" t="s">
        <v>1</v>
      </c>
      <c r="G145" s="261"/>
      <c r="H145" s="262">
        <f>'BASE DATOS'!C19</f>
        <v>0</v>
      </c>
      <c r="I145" s="262">
        <f>'BASE DATOS'!D19</f>
        <v>4</v>
      </c>
      <c r="J145" s="262">
        <f>'BASE DATOS'!E19</f>
        <v>8</v>
      </c>
      <c r="K145" s="262">
        <f>'BASE DATOS'!F19</f>
        <v>8</v>
      </c>
      <c r="L145" s="262">
        <f>'BASE DATOS'!G19</f>
        <v>7</v>
      </c>
      <c r="M145" s="262">
        <f>'BASE DATOS'!H19</f>
        <v>5</v>
      </c>
      <c r="N145" s="262"/>
      <c r="O145" s="263">
        <f t="shared" ref="O145:O151" si="60">SUM(H145:N145)</f>
        <v>32</v>
      </c>
      <c r="Q145" s="264"/>
      <c r="R145" s="264"/>
      <c r="S145" s="264"/>
      <c r="T145" s="264"/>
      <c r="U145" s="264"/>
      <c r="V145" s="264"/>
      <c r="W145" s="264"/>
      <c r="X145" s="264"/>
      <c r="Y145" s="264"/>
      <c r="Z145" s="264">
        <f>SUBTOTAL(9,S145:Y145)</f>
        <v>0</v>
      </c>
      <c r="AB145" s="288"/>
      <c r="AC145" s="289"/>
      <c r="AD145" s="289"/>
      <c r="AE145" s="289"/>
      <c r="AF145" s="289"/>
      <c r="AG145" s="289"/>
    </row>
    <row r="146" spans="1:33" ht="15" thickTop="1" thickBot="1">
      <c r="A146" s="308" t="str">
        <f t="shared" si="59"/>
        <v>4208-01</v>
      </c>
      <c r="B146" s="3">
        <v>46104</v>
      </c>
      <c r="C146" s="4" t="s">
        <v>17</v>
      </c>
      <c r="D146" s="4" t="s">
        <v>42</v>
      </c>
      <c r="E146" s="5" t="s">
        <v>3</v>
      </c>
      <c r="F146" s="265">
        <v>11574</v>
      </c>
      <c r="G146" s="2"/>
      <c r="H146" s="7"/>
      <c r="I146" s="7">
        <v>4</v>
      </c>
      <c r="J146" s="7">
        <v>8</v>
      </c>
      <c r="K146" s="7">
        <v>8</v>
      </c>
      <c r="L146" s="7">
        <v>7</v>
      </c>
      <c r="M146" s="7">
        <v>5</v>
      </c>
      <c r="N146" s="8"/>
      <c r="O146" s="14">
        <f t="shared" si="60"/>
        <v>32</v>
      </c>
      <c r="Q146" s="252" t="s">
        <v>19</v>
      </c>
      <c r="R146" s="266"/>
      <c r="S146" s="266"/>
      <c r="T146" s="266"/>
      <c r="U146" s="266"/>
      <c r="V146" s="266"/>
      <c r="W146" s="266"/>
      <c r="X146" s="266"/>
      <c r="Y146" s="267"/>
      <c r="Z146" s="268">
        <f t="shared" ref="Z146:Z151" si="61">SUM(S146:Y146)</f>
        <v>0</v>
      </c>
      <c r="AB146" s="288"/>
      <c r="AC146" s="289"/>
      <c r="AD146" s="289"/>
      <c r="AE146" s="289"/>
      <c r="AF146" s="289"/>
      <c r="AG146" s="289"/>
    </row>
    <row r="147" spans="1:33" ht="15" thickTop="1" thickBot="1">
      <c r="A147" s="308" t="str">
        <f t="shared" si="59"/>
        <v>4208-01</v>
      </c>
      <c r="B147" s="3"/>
      <c r="C147" s="3"/>
      <c r="D147" s="52"/>
      <c r="E147" s="5" t="s">
        <v>3</v>
      </c>
      <c r="F147" s="269"/>
      <c r="G147" s="6"/>
      <c r="H147" s="7"/>
      <c r="I147" s="7"/>
      <c r="J147" s="7"/>
      <c r="K147" s="7"/>
      <c r="L147" s="7"/>
      <c r="M147" s="7"/>
      <c r="N147" s="15"/>
      <c r="O147" s="14">
        <f t="shared" si="60"/>
        <v>0</v>
      </c>
      <c r="Q147" s="252" t="s">
        <v>4</v>
      </c>
      <c r="R147" s="266">
        <f>78/19</f>
        <v>4.1052631578947372</v>
      </c>
      <c r="S147" s="266"/>
      <c r="T147" s="266"/>
      <c r="U147" s="266"/>
      <c r="V147" s="266"/>
      <c r="W147" s="266"/>
      <c r="X147" s="266"/>
      <c r="Y147" s="266"/>
      <c r="Z147" s="266">
        <f t="shared" si="61"/>
        <v>0</v>
      </c>
      <c r="AB147" s="288"/>
      <c r="AC147" s="289"/>
      <c r="AD147" s="289"/>
      <c r="AE147" s="289"/>
      <c r="AF147" s="289"/>
      <c r="AG147" s="289"/>
    </row>
    <row r="148" spans="1:33" ht="15" thickTop="1" thickBot="1">
      <c r="A148" s="308" t="str">
        <f t="shared" si="59"/>
        <v>4208-01</v>
      </c>
      <c r="B148" s="3"/>
      <c r="C148" s="3"/>
      <c r="D148" s="3"/>
      <c r="E148" s="5" t="s">
        <v>3</v>
      </c>
      <c r="F148" s="269"/>
      <c r="G148" s="6"/>
      <c r="H148" s="15"/>
      <c r="I148" s="15"/>
      <c r="J148" s="15"/>
      <c r="K148" s="15"/>
      <c r="L148" s="15"/>
      <c r="M148" s="15"/>
      <c r="N148" s="15"/>
      <c r="O148" s="16">
        <f t="shared" si="60"/>
        <v>0</v>
      </c>
      <c r="Q148" s="252" t="s">
        <v>6</v>
      </c>
      <c r="R148" s="266">
        <f>25/11</f>
        <v>2.2727272727272729</v>
      </c>
      <c r="S148" s="266"/>
      <c r="T148" s="266"/>
      <c r="U148" s="266"/>
      <c r="V148" s="266"/>
      <c r="W148" s="266"/>
      <c r="X148" s="266"/>
      <c r="Y148" s="266"/>
      <c r="Z148" s="266">
        <f t="shared" si="61"/>
        <v>0</v>
      </c>
      <c r="AB148" s="288"/>
      <c r="AC148" s="289"/>
      <c r="AD148" s="289"/>
      <c r="AE148" s="289"/>
      <c r="AF148" s="289"/>
      <c r="AG148" s="289"/>
    </row>
    <row r="149" spans="1:33" ht="15" thickTop="1" thickBot="1">
      <c r="A149" s="308" t="str">
        <f t="shared" si="59"/>
        <v>4208-01</v>
      </c>
      <c r="B149" s="3"/>
      <c r="C149" s="3"/>
      <c r="D149" s="3"/>
      <c r="E149" s="5" t="s">
        <v>3</v>
      </c>
      <c r="F149" s="269"/>
      <c r="G149" s="6"/>
      <c r="H149" s="8"/>
      <c r="I149" s="8"/>
      <c r="J149" s="8"/>
      <c r="K149" s="8"/>
      <c r="L149" s="8"/>
      <c r="M149" s="8"/>
      <c r="N149" s="15"/>
      <c r="O149" s="16">
        <f t="shared" si="60"/>
        <v>0</v>
      </c>
      <c r="Q149" s="266"/>
      <c r="R149" s="266"/>
      <c r="S149" s="266"/>
      <c r="T149" s="266"/>
      <c r="U149" s="266"/>
      <c r="V149" s="266"/>
      <c r="W149" s="266"/>
      <c r="X149" s="266"/>
      <c r="Y149" s="266"/>
      <c r="Z149" s="266">
        <f t="shared" si="61"/>
        <v>0</v>
      </c>
      <c r="AB149" s="288"/>
      <c r="AC149" s="289"/>
      <c r="AD149" s="289"/>
      <c r="AE149" s="289"/>
      <c r="AF149" s="289"/>
      <c r="AG149" s="289"/>
    </row>
    <row r="150" spans="1:33" ht="15" thickTop="1" thickBot="1">
      <c r="A150" s="309" t="str">
        <f t="shared" si="59"/>
        <v>4208-01</v>
      </c>
      <c r="B150" s="19"/>
      <c r="C150" s="19"/>
      <c r="D150" s="19"/>
      <c r="E150" s="20" t="s">
        <v>3</v>
      </c>
      <c r="F150" s="271"/>
      <c r="G150" s="21"/>
      <c r="H150" s="22"/>
      <c r="I150" s="22"/>
      <c r="J150" s="22"/>
      <c r="K150" s="22"/>
      <c r="L150" s="22"/>
      <c r="M150" s="22"/>
      <c r="N150" s="22"/>
      <c r="O150" s="23">
        <f t="shared" si="60"/>
        <v>0</v>
      </c>
      <c r="Q150" s="252" t="s">
        <v>2</v>
      </c>
      <c r="R150" s="272">
        <f>500/10.2</f>
        <v>49.019607843137258</v>
      </c>
      <c r="S150" s="252">
        <f>49*1.2</f>
        <v>58.8</v>
      </c>
      <c r="T150" s="252">
        <f>49*2.1</f>
        <v>102.9</v>
      </c>
      <c r="U150" s="252">
        <f>49*2.4</f>
        <v>117.6</v>
      </c>
      <c r="V150" s="252">
        <f>49*2.4</f>
        <v>117.6</v>
      </c>
      <c r="W150" s="252">
        <f>49*1.5</f>
        <v>73.5</v>
      </c>
      <c r="X150" s="252">
        <f>49*0.9</f>
        <v>44.1</v>
      </c>
      <c r="Y150" s="266"/>
      <c r="Z150" s="266">
        <f t="shared" si="61"/>
        <v>514.5</v>
      </c>
      <c r="AB150" s="288"/>
      <c r="AC150" s="289"/>
      <c r="AD150" s="289"/>
      <c r="AE150" s="289"/>
      <c r="AF150" s="289"/>
      <c r="AG150" s="289"/>
    </row>
    <row r="151" spans="1:33" ht="15" thickTop="1" thickBot="1">
      <c r="A151" s="310" t="str">
        <f t="shared" si="59"/>
        <v>4208-01</v>
      </c>
      <c r="B151" s="47"/>
      <c r="C151" s="47"/>
      <c r="D151" s="47"/>
      <c r="E151" s="48" t="s">
        <v>23</v>
      </c>
      <c r="F151" s="49" t="str">
        <f>+B144</f>
        <v>Ayla</v>
      </c>
      <c r="G151" s="48"/>
      <c r="H151" s="48">
        <f>+H145-H146-H147-H148-H150+H149</f>
        <v>0</v>
      </c>
      <c r="I151" s="48">
        <f>+I145-I146-I147-I148-I150+I149</f>
        <v>0</v>
      </c>
      <c r="J151" s="48">
        <f>+J145-J146-J147-J148-J150-J149</f>
        <v>0</v>
      </c>
      <c r="K151" s="48">
        <f>+K145-K146-K147-K148-K150-K149</f>
        <v>0</v>
      </c>
      <c r="L151" s="48">
        <f>+L145-L146-L147-L148-L150-L149</f>
        <v>0</v>
      </c>
      <c r="M151" s="48">
        <f>+M145-M146-M147-M148-M150-M149</f>
        <v>0</v>
      </c>
      <c r="N151" s="48"/>
      <c r="O151" s="48">
        <f t="shared" si="60"/>
        <v>0</v>
      </c>
      <c r="Q151" s="266"/>
      <c r="R151" s="266"/>
      <c r="S151" s="252">
        <f t="shared" ref="S151:X151" si="62">SUM(S147:S150)</f>
        <v>58.8</v>
      </c>
      <c r="T151" s="252">
        <f t="shared" si="62"/>
        <v>102.9</v>
      </c>
      <c r="U151" s="252">
        <f t="shared" si="62"/>
        <v>117.6</v>
      </c>
      <c r="V151" s="252">
        <f t="shared" si="62"/>
        <v>117.6</v>
      </c>
      <c r="W151" s="252">
        <f t="shared" si="62"/>
        <v>73.5</v>
      </c>
      <c r="X151" s="252">
        <f t="shared" si="62"/>
        <v>44.1</v>
      </c>
      <c r="Y151" s="252"/>
      <c r="Z151" s="252">
        <f t="shared" si="61"/>
        <v>514.5</v>
      </c>
      <c r="AB151" s="288"/>
      <c r="AC151" s="289"/>
      <c r="AD151" s="289"/>
      <c r="AE151" s="289"/>
      <c r="AF151" s="289"/>
      <c r="AG151" s="289"/>
    </row>
    <row r="152" spans="1:33" ht="15" thickTop="1" thickBot="1">
      <c r="A152" s="306" t="s">
        <v>7</v>
      </c>
      <c r="B152" s="43" t="s">
        <v>8</v>
      </c>
      <c r="C152" s="43"/>
      <c r="D152" s="43"/>
      <c r="E152" s="44" t="s">
        <v>9</v>
      </c>
      <c r="F152" s="45"/>
      <c r="G152" s="45"/>
      <c r="H152" s="44"/>
      <c r="I152" s="44"/>
      <c r="J152" s="44"/>
      <c r="K152" s="44"/>
      <c r="L152" s="44"/>
      <c r="M152" s="44"/>
      <c r="N152" s="44"/>
      <c r="O152" s="44"/>
      <c r="AB152" s="288"/>
      <c r="AC152" s="289"/>
      <c r="AD152" s="289"/>
      <c r="AE152" s="289"/>
      <c r="AF152" s="289"/>
      <c r="AG152" s="289"/>
    </row>
    <row r="153" spans="1:33" ht="15" thickTop="1" thickBot="1">
      <c r="A153" s="307" t="s">
        <v>62</v>
      </c>
      <c r="B153" s="38" t="s">
        <v>50</v>
      </c>
      <c r="C153" s="9" t="s">
        <v>12</v>
      </c>
      <c r="D153" s="9" t="s">
        <v>13</v>
      </c>
      <c r="E153" s="10"/>
      <c r="F153" s="256" t="s">
        <v>14</v>
      </c>
      <c r="G153" s="257">
        <v>34</v>
      </c>
      <c r="H153" s="257">
        <v>36</v>
      </c>
      <c r="I153" s="257">
        <v>38</v>
      </c>
      <c r="J153" s="257">
        <v>40</v>
      </c>
      <c r="K153" s="257">
        <v>42</v>
      </c>
      <c r="L153" s="257">
        <v>44</v>
      </c>
      <c r="M153" s="257">
        <v>46</v>
      </c>
      <c r="N153" s="257"/>
      <c r="O153" s="258" t="s">
        <v>15</v>
      </c>
      <c r="Q153" s="259" t="s">
        <v>14</v>
      </c>
      <c r="R153" s="259"/>
      <c r="S153" s="259">
        <v>36</v>
      </c>
      <c r="T153" s="259">
        <v>38</v>
      </c>
      <c r="U153" s="259">
        <v>40</v>
      </c>
      <c r="V153" s="259">
        <v>42</v>
      </c>
      <c r="W153" s="259">
        <v>44</v>
      </c>
      <c r="X153" s="259">
        <v>46</v>
      </c>
      <c r="Y153" s="259"/>
      <c r="Z153" s="259" t="s">
        <v>15</v>
      </c>
      <c r="AB153" s="288"/>
      <c r="AC153" s="289"/>
      <c r="AD153" s="289"/>
      <c r="AE153" s="289"/>
      <c r="AF153" s="289"/>
      <c r="AG153" s="289"/>
    </row>
    <row r="154" spans="1:33" ht="15" thickTop="1" thickBot="1">
      <c r="A154" s="308" t="str">
        <f t="shared" ref="A154:A160" si="63">+A153</f>
        <v>4208-02</v>
      </c>
      <c r="B154" s="39" t="s">
        <v>16</v>
      </c>
      <c r="C154" s="39"/>
      <c r="D154" s="39" t="str">
        <f>+B153</f>
        <v>Ayla</v>
      </c>
      <c r="E154" s="40"/>
      <c r="F154" s="261" t="s">
        <v>1</v>
      </c>
      <c r="G154" s="261"/>
      <c r="H154" s="262">
        <f>'BASE DATOS'!C20</f>
        <v>0</v>
      </c>
      <c r="I154" s="262">
        <f>'BASE DATOS'!D20</f>
        <v>4</v>
      </c>
      <c r="J154" s="262">
        <f>'BASE DATOS'!E20</f>
        <v>8</v>
      </c>
      <c r="K154" s="262">
        <f>'BASE DATOS'!F20</f>
        <v>8</v>
      </c>
      <c r="L154" s="262">
        <f>'BASE DATOS'!G20</f>
        <v>7</v>
      </c>
      <c r="M154" s="262">
        <f>'BASE DATOS'!H20</f>
        <v>5</v>
      </c>
      <c r="N154" s="262"/>
      <c r="O154" s="263">
        <f t="shared" ref="O154:O160" si="64">SUM(H154:N154)</f>
        <v>32</v>
      </c>
      <c r="Q154" s="264"/>
      <c r="R154" s="264"/>
      <c r="S154" s="264"/>
      <c r="T154" s="264"/>
      <c r="U154" s="264"/>
      <c r="V154" s="264"/>
      <c r="W154" s="264"/>
      <c r="X154" s="264"/>
      <c r="Y154" s="264"/>
      <c r="Z154" s="264">
        <f>SUBTOTAL(9,S154:Y154)</f>
        <v>0</v>
      </c>
      <c r="AB154" s="288"/>
      <c r="AC154" s="289"/>
      <c r="AD154" s="289"/>
      <c r="AE154" s="289"/>
      <c r="AF154" s="289"/>
      <c r="AG154" s="289"/>
    </row>
    <row r="155" spans="1:33" ht="15" thickTop="1" thickBot="1">
      <c r="A155" s="308" t="str">
        <f t="shared" si="63"/>
        <v>4208-02</v>
      </c>
      <c r="B155" s="3">
        <v>46104</v>
      </c>
      <c r="C155" s="4" t="s">
        <v>17</v>
      </c>
      <c r="D155" s="4" t="s">
        <v>42</v>
      </c>
      <c r="E155" s="5" t="s">
        <v>3</v>
      </c>
      <c r="F155" s="265">
        <v>11574</v>
      </c>
      <c r="G155" s="2"/>
      <c r="H155" s="7"/>
      <c r="I155" s="7">
        <v>4</v>
      </c>
      <c r="J155" s="7">
        <v>8</v>
      </c>
      <c r="K155" s="7">
        <v>8</v>
      </c>
      <c r="L155" s="7">
        <v>7</v>
      </c>
      <c r="M155" s="7">
        <v>5</v>
      </c>
      <c r="N155" s="8"/>
      <c r="O155" s="14">
        <f t="shared" si="64"/>
        <v>32</v>
      </c>
      <c r="Q155" s="252" t="s">
        <v>19</v>
      </c>
      <c r="R155" s="266"/>
      <c r="S155" s="266"/>
      <c r="T155" s="266"/>
      <c r="U155" s="266"/>
      <c r="V155" s="266"/>
      <c r="W155" s="266"/>
      <c r="X155" s="266"/>
      <c r="Y155" s="267"/>
      <c r="Z155" s="268">
        <f t="shared" ref="Z155:Z160" si="65">SUM(S155:Y155)</f>
        <v>0</v>
      </c>
      <c r="AB155" s="288"/>
      <c r="AC155" s="289"/>
      <c r="AD155" s="289"/>
      <c r="AE155" s="289"/>
      <c r="AF155" s="289"/>
      <c r="AG155" s="289"/>
    </row>
    <row r="156" spans="1:33" ht="15" thickTop="1" thickBot="1">
      <c r="A156" s="308" t="str">
        <f t="shared" si="63"/>
        <v>4208-02</v>
      </c>
      <c r="B156" s="3"/>
      <c r="C156" s="3"/>
      <c r="D156" s="52"/>
      <c r="E156" s="5" t="s">
        <v>3</v>
      </c>
      <c r="F156" s="269"/>
      <c r="G156" s="6"/>
      <c r="H156" s="7"/>
      <c r="I156" s="7"/>
      <c r="J156" s="7"/>
      <c r="K156" s="7"/>
      <c r="L156" s="7"/>
      <c r="M156" s="7"/>
      <c r="N156" s="15"/>
      <c r="O156" s="14">
        <f t="shared" si="64"/>
        <v>0</v>
      </c>
      <c r="Q156" s="252" t="s">
        <v>4</v>
      </c>
      <c r="R156" s="266">
        <f>78/19</f>
        <v>4.1052631578947372</v>
      </c>
      <c r="S156" s="266"/>
      <c r="T156" s="266"/>
      <c r="U156" s="266"/>
      <c r="V156" s="266"/>
      <c r="W156" s="266"/>
      <c r="X156" s="266"/>
      <c r="Y156" s="266"/>
      <c r="Z156" s="266">
        <f t="shared" si="65"/>
        <v>0</v>
      </c>
      <c r="AB156" s="288"/>
      <c r="AC156" s="289"/>
      <c r="AD156" s="289"/>
      <c r="AE156" s="289"/>
      <c r="AF156" s="289"/>
      <c r="AG156" s="289"/>
    </row>
    <row r="157" spans="1:33" ht="15" thickTop="1" thickBot="1">
      <c r="A157" s="308" t="str">
        <f t="shared" si="63"/>
        <v>4208-02</v>
      </c>
      <c r="B157" s="3"/>
      <c r="C157" s="3"/>
      <c r="D157" s="3"/>
      <c r="E157" s="5" t="s">
        <v>3</v>
      </c>
      <c r="F157" s="269"/>
      <c r="G157" s="6"/>
      <c r="H157" s="15"/>
      <c r="I157" s="15"/>
      <c r="J157" s="15"/>
      <c r="K157" s="15"/>
      <c r="L157" s="15"/>
      <c r="M157" s="15"/>
      <c r="N157" s="15"/>
      <c r="O157" s="16">
        <f t="shared" si="64"/>
        <v>0</v>
      </c>
      <c r="Q157" s="252" t="s">
        <v>6</v>
      </c>
      <c r="R157" s="266">
        <f>25/11</f>
        <v>2.2727272727272729</v>
      </c>
      <c r="S157" s="266"/>
      <c r="T157" s="266"/>
      <c r="U157" s="266"/>
      <c r="V157" s="266"/>
      <c r="W157" s="266"/>
      <c r="X157" s="266"/>
      <c r="Y157" s="266"/>
      <c r="Z157" s="266">
        <f t="shared" si="65"/>
        <v>0</v>
      </c>
      <c r="AB157" s="288"/>
      <c r="AC157" s="289"/>
      <c r="AD157" s="289"/>
      <c r="AE157" s="289"/>
      <c r="AF157" s="289"/>
      <c r="AG157" s="289"/>
    </row>
    <row r="158" spans="1:33" ht="15" thickTop="1" thickBot="1">
      <c r="A158" s="308" t="str">
        <f t="shared" si="63"/>
        <v>4208-02</v>
      </c>
      <c r="B158" s="3"/>
      <c r="C158" s="3"/>
      <c r="D158" s="3"/>
      <c r="E158" s="5" t="s">
        <v>3</v>
      </c>
      <c r="F158" s="269"/>
      <c r="G158" s="6"/>
      <c r="H158" s="8"/>
      <c r="I158" s="8"/>
      <c r="J158" s="8"/>
      <c r="K158" s="8"/>
      <c r="L158" s="8"/>
      <c r="M158" s="8"/>
      <c r="N158" s="15"/>
      <c r="O158" s="16">
        <f t="shared" si="64"/>
        <v>0</v>
      </c>
      <c r="Q158" s="266"/>
      <c r="R158" s="266"/>
      <c r="S158" s="266"/>
      <c r="T158" s="266"/>
      <c r="U158" s="266"/>
      <c r="V158" s="266"/>
      <c r="W158" s="266"/>
      <c r="X158" s="266"/>
      <c r="Y158" s="266"/>
      <c r="Z158" s="266">
        <f t="shared" si="65"/>
        <v>0</v>
      </c>
      <c r="AB158" s="288"/>
      <c r="AC158" s="289"/>
      <c r="AD158" s="289"/>
      <c r="AE158" s="289"/>
      <c r="AF158" s="289"/>
      <c r="AG158" s="289"/>
    </row>
    <row r="159" spans="1:33" ht="15" thickTop="1" thickBot="1">
      <c r="A159" s="309" t="str">
        <f t="shared" si="63"/>
        <v>4208-02</v>
      </c>
      <c r="B159" s="19"/>
      <c r="C159" s="19"/>
      <c r="D159" s="19"/>
      <c r="E159" s="20" t="s">
        <v>3</v>
      </c>
      <c r="F159" s="271"/>
      <c r="G159" s="21"/>
      <c r="H159" s="22"/>
      <c r="I159" s="22"/>
      <c r="J159" s="22"/>
      <c r="K159" s="22"/>
      <c r="L159" s="22"/>
      <c r="M159" s="22"/>
      <c r="N159" s="22"/>
      <c r="O159" s="23">
        <f t="shared" si="64"/>
        <v>0</v>
      </c>
      <c r="Q159" s="252" t="s">
        <v>2</v>
      </c>
      <c r="R159" s="272">
        <f>500/10.2</f>
        <v>49.019607843137258</v>
      </c>
      <c r="S159" s="252">
        <f>49*1.2</f>
        <v>58.8</v>
      </c>
      <c r="T159" s="252">
        <f>49*2.1</f>
        <v>102.9</v>
      </c>
      <c r="U159" s="252">
        <f>49*2.4</f>
        <v>117.6</v>
      </c>
      <c r="V159" s="252">
        <f>49*2.4</f>
        <v>117.6</v>
      </c>
      <c r="W159" s="252">
        <f>49*1.5</f>
        <v>73.5</v>
      </c>
      <c r="X159" s="252">
        <f>49*0.9</f>
        <v>44.1</v>
      </c>
      <c r="Y159" s="266"/>
      <c r="Z159" s="266">
        <f t="shared" si="65"/>
        <v>514.5</v>
      </c>
      <c r="AB159" s="288"/>
      <c r="AC159" s="289"/>
      <c r="AD159" s="289"/>
      <c r="AE159" s="289"/>
      <c r="AF159" s="289"/>
      <c r="AG159" s="289"/>
    </row>
    <row r="160" spans="1:33" ht="15" thickTop="1" thickBot="1">
      <c r="A160" s="310" t="str">
        <f t="shared" si="63"/>
        <v>4208-02</v>
      </c>
      <c r="B160" s="47"/>
      <c r="C160" s="47"/>
      <c r="D160" s="47"/>
      <c r="E160" s="48" t="s">
        <v>23</v>
      </c>
      <c r="F160" s="49" t="str">
        <f>+B153</f>
        <v>Ayla</v>
      </c>
      <c r="G160" s="48"/>
      <c r="H160" s="48">
        <f>+H154-H155-H156-H157-H159+H158</f>
        <v>0</v>
      </c>
      <c r="I160" s="48">
        <f>+I154-I155-I156-I157-I159+I158</f>
        <v>0</v>
      </c>
      <c r="J160" s="48">
        <f>+J154-J155-J156-J157-J159-J158</f>
        <v>0</v>
      </c>
      <c r="K160" s="48">
        <f>+K154-K155-K156-K157-K159-K158</f>
        <v>0</v>
      </c>
      <c r="L160" s="48">
        <f>+L154-L155-L156-L157-L159-L158</f>
        <v>0</v>
      </c>
      <c r="M160" s="48">
        <f>+M154-M155-M156-M157-M159-M158</f>
        <v>0</v>
      </c>
      <c r="N160" s="48"/>
      <c r="O160" s="48">
        <f t="shared" si="64"/>
        <v>0</v>
      </c>
      <c r="Q160" s="266"/>
      <c r="R160" s="266"/>
      <c r="S160" s="252">
        <f t="shared" ref="S160:X160" si="66">SUM(S156:S159)</f>
        <v>58.8</v>
      </c>
      <c r="T160" s="252">
        <f t="shared" si="66"/>
        <v>102.9</v>
      </c>
      <c r="U160" s="252">
        <f t="shared" si="66"/>
        <v>117.6</v>
      </c>
      <c r="V160" s="252">
        <f t="shared" si="66"/>
        <v>117.6</v>
      </c>
      <c r="W160" s="252">
        <f t="shared" si="66"/>
        <v>73.5</v>
      </c>
      <c r="X160" s="252">
        <f t="shared" si="66"/>
        <v>44.1</v>
      </c>
      <c r="Y160" s="252"/>
      <c r="Z160" s="252">
        <f t="shared" si="65"/>
        <v>514.5</v>
      </c>
      <c r="AB160" s="288"/>
      <c r="AC160" s="289"/>
      <c r="AD160" s="289"/>
      <c r="AE160" s="289"/>
      <c r="AF160" s="289"/>
      <c r="AG160" s="289"/>
    </row>
    <row r="161" spans="1:37" ht="15" thickTop="1" thickBot="1">
      <c r="A161" s="274" t="s">
        <v>7</v>
      </c>
      <c r="B161" s="43" t="s">
        <v>8</v>
      </c>
      <c r="C161" s="43"/>
      <c r="D161" s="43"/>
      <c r="E161" s="44" t="s">
        <v>9</v>
      </c>
      <c r="F161" s="45"/>
      <c r="G161" s="45"/>
      <c r="H161" s="44"/>
      <c r="I161" s="44"/>
      <c r="J161" s="44"/>
      <c r="K161" s="44"/>
      <c r="L161" s="44"/>
      <c r="M161" s="44"/>
      <c r="N161" s="44"/>
      <c r="O161" s="44"/>
      <c r="AB161" s="288"/>
      <c r="AC161" s="289"/>
      <c r="AD161" s="289"/>
      <c r="AE161" s="289"/>
      <c r="AF161" s="289"/>
      <c r="AG161" s="289"/>
    </row>
    <row r="162" spans="1:37" ht="15" thickTop="1" thickBot="1">
      <c r="A162" s="278" t="s">
        <v>63</v>
      </c>
      <c r="B162" s="38" t="s">
        <v>36</v>
      </c>
      <c r="C162" s="9" t="s">
        <v>12</v>
      </c>
      <c r="D162" s="9" t="s">
        <v>37</v>
      </c>
      <c r="E162" s="10"/>
      <c r="F162" s="256" t="s">
        <v>14</v>
      </c>
      <c r="G162" s="257">
        <v>34</v>
      </c>
      <c r="H162" s="257">
        <v>36</v>
      </c>
      <c r="I162" s="257">
        <v>38</v>
      </c>
      <c r="J162" s="257">
        <v>40</v>
      </c>
      <c r="K162" s="257">
        <v>42</v>
      </c>
      <c r="L162" s="257">
        <v>44</v>
      </c>
      <c r="M162" s="257">
        <v>46</v>
      </c>
      <c r="N162" s="257"/>
      <c r="O162" s="258" t="s">
        <v>15</v>
      </c>
      <c r="Q162" s="259" t="s">
        <v>14</v>
      </c>
      <c r="R162" s="259"/>
      <c r="S162" s="259">
        <v>36</v>
      </c>
      <c r="T162" s="259">
        <v>38</v>
      </c>
      <c r="U162" s="259">
        <v>40</v>
      </c>
      <c r="V162" s="259">
        <v>42</v>
      </c>
      <c r="W162" s="259">
        <v>44</v>
      </c>
      <c r="X162" s="259">
        <v>46</v>
      </c>
      <c r="Y162" s="259"/>
      <c r="Z162" s="259" t="s">
        <v>15</v>
      </c>
      <c r="AB162" s="288"/>
      <c r="AC162" s="289"/>
      <c r="AD162" s="289"/>
      <c r="AE162" s="289"/>
      <c r="AF162" s="289"/>
      <c r="AG162" s="289"/>
    </row>
    <row r="163" spans="1:37" ht="15" thickTop="1" thickBot="1">
      <c r="A163" s="280" t="str">
        <f t="shared" ref="A163:A169" si="67">+A162</f>
        <v>4209-00</v>
      </c>
      <c r="B163" s="39" t="s">
        <v>16</v>
      </c>
      <c r="C163" s="39"/>
      <c r="D163" s="39" t="str">
        <f>+B162</f>
        <v>B2868-V3</v>
      </c>
      <c r="E163" s="40"/>
      <c r="F163" s="261" t="s">
        <v>1</v>
      </c>
      <c r="G163" s="261"/>
      <c r="H163" s="262">
        <f>'BASE DATOS'!C21</f>
        <v>55</v>
      </c>
      <c r="I163" s="262">
        <f>'BASE DATOS'!D21</f>
        <v>109</v>
      </c>
      <c r="J163" s="262">
        <f>'BASE DATOS'!E21</f>
        <v>112</v>
      </c>
      <c r="K163" s="262">
        <f>'BASE DATOS'!F21</f>
        <v>103</v>
      </c>
      <c r="L163" s="262">
        <f>'BASE DATOS'!G21</f>
        <v>78</v>
      </c>
      <c r="M163" s="262">
        <f>'BASE DATOS'!H21</f>
        <v>55</v>
      </c>
      <c r="N163" s="262"/>
      <c r="O163" s="263">
        <f t="shared" ref="O163:O169" si="68">SUM(H163:N163)</f>
        <v>512</v>
      </c>
      <c r="Q163" s="264"/>
      <c r="R163" s="264"/>
      <c r="S163" s="264"/>
      <c r="T163" s="264"/>
      <c r="U163" s="264"/>
      <c r="V163" s="264"/>
      <c r="W163" s="264"/>
      <c r="X163" s="264"/>
      <c r="Y163" s="264"/>
      <c r="Z163" s="264">
        <f>SUBTOTAL(9,S163:Y163)</f>
        <v>0</v>
      </c>
      <c r="AB163" s="288"/>
      <c r="AC163" s="289"/>
      <c r="AD163" s="289"/>
      <c r="AE163" s="289"/>
      <c r="AF163" s="289"/>
      <c r="AG163" s="289"/>
    </row>
    <row r="164" spans="1:37" ht="15" thickTop="1" thickBot="1">
      <c r="A164" s="280" t="str">
        <f t="shared" si="67"/>
        <v>4209-00</v>
      </c>
      <c r="B164" s="3">
        <v>46063</v>
      </c>
      <c r="C164" s="4" t="s">
        <v>17</v>
      </c>
      <c r="D164" s="4" t="s">
        <v>18</v>
      </c>
      <c r="E164" s="5" t="s">
        <v>3</v>
      </c>
      <c r="F164" s="265">
        <v>11556</v>
      </c>
      <c r="G164" s="2"/>
      <c r="H164" s="7">
        <v>54</v>
      </c>
      <c r="I164" s="7">
        <v>104</v>
      </c>
      <c r="J164" s="7">
        <v>110</v>
      </c>
      <c r="K164" s="7">
        <v>100</v>
      </c>
      <c r="L164" s="7">
        <v>74</v>
      </c>
      <c r="M164" s="7">
        <v>60</v>
      </c>
      <c r="N164" s="8"/>
      <c r="O164" s="14">
        <f t="shared" si="68"/>
        <v>502</v>
      </c>
      <c r="Q164" s="252" t="s">
        <v>19</v>
      </c>
      <c r="R164" s="266"/>
      <c r="S164" s="266"/>
      <c r="T164" s="266"/>
      <c r="U164" s="266"/>
      <c r="V164" s="266"/>
      <c r="W164" s="266"/>
      <c r="X164" s="266"/>
      <c r="Y164" s="267"/>
      <c r="Z164" s="268">
        <f t="shared" ref="Z164:Z169" si="69">SUM(S164:Y164)</f>
        <v>0</v>
      </c>
      <c r="AB164" s="288"/>
      <c r="AC164" s="289"/>
      <c r="AD164" s="289"/>
      <c r="AE164" s="289"/>
      <c r="AF164" s="289"/>
      <c r="AG164" s="289"/>
    </row>
    <row r="165" spans="1:37" ht="15" thickTop="1" thickBot="1">
      <c r="A165" s="280" t="str">
        <f t="shared" si="67"/>
        <v>4209-00</v>
      </c>
      <c r="B165" s="3"/>
      <c r="C165" s="3"/>
      <c r="D165" s="52"/>
      <c r="E165" s="5" t="s">
        <v>3</v>
      </c>
      <c r="F165" s="269"/>
      <c r="G165" s="6"/>
      <c r="H165" s="7"/>
      <c r="I165" s="7"/>
      <c r="J165" s="7"/>
      <c r="K165" s="7"/>
      <c r="L165" s="7"/>
      <c r="M165" s="7"/>
      <c r="N165" s="15"/>
      <c r="O165" s="14">
        <f t="shared" si="68"/>
        <v>0</v>
      </c>
      <c r="Q165" s="252" t="s">
        <v>4</v>
      </c>
      <c r="R165" s="266">
        <f>78/19</f>
        <v>4.1052631578947372</v>
      </c>
      <c r="S165" s="266"/>
      <c r="T165" s="266"/>
      <c r="U165" s="266"/>
      <c r="V165" s="266"/>
      <c r="W165" s="266"/>
      <c r="X165" s="266"/>
      <c r="Y165" s="266"/>
      <c r="Z165" s="266">
        <f t="shared" si="69"/>
        <v>0</v>
      </c>
      <c r="AB165" s="288"/>
      <c r="AC165" s="289"/>
      <c r="AD165" s="289"/>
      <c r="AE165" s="289"/>
      <c r="AF165" s="289"/>
      <c r="AG165" s="289"/>
    </row>
    <row r="166" spans="1:37" ht="15" thickTop="1" thickBot="1">
      <c r="A166" s="280" t="str">
        <f t="shared" si="67"/>
        <v>4209-00</v>
      </c>
      <c r="B166" s="3"/>
      <c r="C166" s="3"/>
      <c r="D166" s="3"/>
      <c r="E166" s="5" t="s">
        <v>3</v>
      </c>
      <c r="F166" s="269"/>
      <c r="G166" s="6"/>
      <c r="H166" s="15"/>
      <c r="I166" s="15"/>
      <c r="J166" s="15"/>
      <c r="K166" s="15"/>
      <c r="L166" s="15"/>
      <c r="M166" s="15"/>
      <c r="N166" s="15"/>
      <c r="O166" s="16">
        <f t="shared" si="68"/>
        <v>0</v>
      </c>
      <c r="Q166" s="252" t="s">
        <v>6</v>
      </c>
      <c r="R166" s="266">
        <f>25/11</f>
        <v>2.2727272727272729</v>
      </c>
      <c r="S166" s="266"/>
      <c r="T166" s="266"/>
      <c r="U166" s="266"/>
      <c r="V166" s="266"/>
      <c r="W166" s="266"/>
      <c r="X166" s="266"/>
      <c r="Y166" s="266"/>
      <c r="Z166" s="266">
        <f t="shared" si="69"/>
        <v>0</v>
      </c>
      <c r="AB166" s="288"/>
      <c r="AC166" s="289"/>
      <c r="AD166" s="289"/>
      <c r="AE166" s="289"/>
      <c r="AF166" s="289"/>
      <c r="AG166" s="289"/>
    </row>
    <row r="167" spans="1:37" ht="15" thickTop="1" thickBot="1">
      <c r="A167" s="280" t="str">
        <f t="shared" si="67"/>
        <v>4209-00</v>
      </c>
      <c r="B167" s="3"/>
      <c r="C167" s="3"/>
      <c r="D167" s="3"/>
      <c r="E167" s="5" t="s">
        <v>3</v>
      </c>
      <c r="F167" s="269"/>
      <c r="G167" s="6"/>
      <c r="H167" s="8"/>
      <c r="I167" s="8"/>
      <c r="J167" s="8"/>
      <c r="K167" s="8"/>
      <c r="L167" s="8"/>
      <c r="M167" s="8"/>
      <c r="N167" s="15"/>
      <c r="O167" s="16">
        <f t="shared" si="68"/>
        <v>0</v>
      </c>
      <c r="Q167" s="266"/>
      <c r="R167" s="266"/>
      <c r="S167" s="266"/>
      <c r="T167" s="266"/>
      <c r="U167" s="266"/>
      <c r="V167" s="266"/>
      <c r="W167" s="266"/>
      <c r="X167" s="266"/>
      <c r="Y167" s="266"/>
      <c r="Z167" s="266">
        <f t="shared" si="69"/>
        <v>0</v>
      </c>
      <c r="AB167" s="288"/>
      <c r="AC167" s="289"/>
      <c r="AD167" s="289"/>
      <c r="AE167" s="289"/>
      <c r="AF167" s="289"/>
      <c r="AG167" s="289"/>
    </row>
    <row r="168" spans="1:37" ht="15" thickTop="1" thickBot="1">
      <c r="A168" s="283" t="str">
        <f t="shared" si="67"/>
        <v>4209-00</v>
      </c>
      <c r="B168" s="19"/>
      <c r="C168" s="19"/>
      <c r="D168" s="19"/>
      <c r="E168" s="20" t="s">
        <v>3</v>
      </c>
      <c r="F168" s="271"/>
      <c r="G168" s="21"/>
      <c r="H168" s="22"/>
      <c r="I168" s="22"/>
      <c r="J168" s="22"/>
      <c r="K168" s="22"/>
      <c r="L168" s="22"/>
      <c r="M168" s="22"/>
      <c r="N168" s="22"/>
      <c r="O168" s="23">
        <f t="shared" si="68"/>
        <v>0</v>
      </c>
      <c r="Q168" s="252" t="s">
        <v>2</v>
      </c>
      <c r="R168" s="272">
        <f>500/10.2</f>
        <v>49.019607843137258</v>
      </c>
      <c r="S168" s="252">
        <f>49*1.2</f>
        <v>58.8</v>
      </c>
      <c r="T168" s="252">
        <f>49*2.1</f>
        <v>102.9</v>
      </c>
      <c r="U168" s="252">
        <f>49*2.4</f>
        <v>117.6</v>
      </c>
      <c r="V168" s="252">
        <f>49*2.4</f>
        <v>117.6</v>
      </c>
      <c r="W168" s="252">
        <f>49*1.5</f>
        <v>73.5</v>
      </c>
      <c r="X168" s="252">
        <f>49*0.9</f>
        <v>44.1</v>
      </c>
      <c r="Y168" s="266"/>
      <c r="Z168" s="266">
        <f t="shared" si="69"/>
        <v>514.5</v>
      </c>
      <c r="AB168" s="288"/>
      <c r="AC168" s="289"/>
      <c r="AD168" s="289"/>
      <c r="AE168" s="289"/>
      <c r="AF168" s="289"/>
      <c r="AG168" s="289"/>
    </row>
    <row r="169" spans="1:37" ht="15" thickTop="1" thickBot="1">
      <c r="A169" s="284" t="str">
        <f t="shared" si="67"/>
        <v>4209-00</v>
      </c>
      <c r="B169" s="47"/>
      <c r="C169" s="47"/>
      <c r="D169" s="47"/>
      <c r="E169" s="48" t="s">
        <v>23</v>
      </c>
      <c r="F169" s="49" t="str">
        <f>+B162</f>
        <v>B2868-V3</v>
      </c>
      <c r="G169" s="48"/>
      <c r="H169" s="48">
        <f>+H163-H164-H165-H166-H168+H167</f>
        <v>1</v>
      </c>
      <c r="I169" s="48">
        <f>+I163-I164-I165-I166-I168+I167</f>
        <v>5</v>
      </c>
      <c r="J169" s="48">
        <f>+J163-J164-J165-J166-J168-J167</f>
        <v>2</v>
      </c>
      <c r="K169" s="48">
        <f>+K163-K164-K165-K166-K168-K167</f>
        <v>3</v>
      </c>
      <c r="L169" s="48">
        <f>+L163-L164-L165-L166-L168-L167</f>
        <v>4</v>
      </c>
      <c r="M169" s="48">
        <f>+M163-M164-M165-M166-M168-M167</f>
        <v>-5</v>
      </c>
      <c r="N169" s="48"/>
      <c r="O169" s="48">
        <f t="shared" si="68"/>
        <v>10</v>
      </c>
      <c r="Q169" s="266"/>
      <c r="R169" s="266"/>
      <c r="S169" s="252">
        <f t="shared" ref="S169:X169" si="70">SUM(S165:S168)</f>
        <v>58.8</v>
      </c>
      <c r="T169" s="252">
        <f t="shared" si="70"/>
        <v>102.9</v>
      </c>
      <c r="U169" s="252">
        <f t="shared" si="70"/>
        <v>117.6</v>
      </c>
      <c r="V169" s="252">
        <f t="shared" si="70"/>
        <v>117.6</v>
      </c>
      <c r="W169" s="252">
        <f t="shared" si="70"/>
        <v>73.5</v>
      </c>
      <c r="X169" s="252">
        <f t="shared" si="70"/>
        <v>44.1</v>
      </c>
      <c r="Y169" s="252"/>
      <c r="Z169" s="252">
        <f t="shared" si="69"/>
        <v>514.5</v>
      </c>
      <c r="AB169" s="288"/>
      <c r="AC169" s="289"/>
      <c r="AD169" s="289"/>
      <c r="AE169" s="289"/>
      <c r="AF169" s="289"/>
      <c r="AG169" s="289"/>
    </row>
    <row r="170" spans="1:37" ht="15" thickTop="1" thickBot="1">
      <c r="A170" s="311" t="s">
        <v>7</v>
      </c>
      <c r="B170" s="43" t="s">
        <v>8</v>
      </c>
      <c r="C170" s="43"/>
      <c r="D170" s="43"/>
      <c r="E170" s="44" t="s">
        <v>9</v>
      </c>
      <c r="F170" s="45"/>
      <c r="G170" s="45"/>
      <c r="H170" s="44"/>
      <c r="I170" s="44"/>
      <c r="J170" s="44"/>
      <c r="K170" s="44"/>
      <c r="L170" s="44"/>
      <c r="M170" s="44"/>
      <c r="N170" s="44"/>
      <c r="O170" s="44"/>
      <c r="AB170" s="288"/>
      <c r="AC170" s="275" t="s">
        <v>3</v>
      </c>
      <c r="AD170" s="276">
        <v>46104</v>
      </c>
      <c r="AE170" s="275">
        <v>36</v>
      </c>
      <c r="AF170" s="275">
        <v>38</v>
      </c>
      <c r="AG170" s="275">
        <v>40</v>
      </c>
      <c r="AH170" s="275">
        <v>42</v>
      </c>
      <c r="AI170" s="277">
        <v>44</v>
      </c>
      <c r="AJ170" s="277">
        <v>46</v>
      </c>
      <c r="AK170" s="277" t="s">
        <v>28</v>
      </c>
    </row>
    <row r="171" spans="1:37" ht="20.25" thickTop="1" thickBot="1">
      <c r="A171" s="312" t="s">
        <v>64</v>
      </c>
      <c r="B171" s="38" t="s">
        <v>50</v>
      </c>
      <c r="C171" s="9" t="s">
        <v>12</v>
      </c>
      <c r="D171" s="9" t="s">
        <v>37</v>
      </c>
      <c r="E171" s="10"/>
      <c r="F171" s="256" t="s">
        <v>14</v>
      </c>
      <c r="G171" s="257">
        <v>34</v>
      </c>
      <c r="H171" s="257">
        <v>36</v>
      </c>
      <c r="I171" s="257">
        <v>38</v>
      </c>
      <c r="J171" s="257">
        <v>40</v>
      </c>
      <c r="K171" s="257">
        <v>42</v>
      </c>
      <c r="L171" s="257">
        <v>44</v>
      </c>
      <c r="M171" s="257">
        <v>46</v>
      </c>
      <c r="N171" s="257"/>
      <c r="O171" s="258" t="s">
        <v>15</v>
      </c>
      <c r="Q171" s="259" t="s">
        <v>14</v>
      </c>
      <c r="R171" s="259"/>
      <c r="S171" s="259">
        <v>36</v>
      </c>
      <c r="T171" s="259">
        <v>38</v>
      </c>
      <c r="U171" s="259">
        <v>40</v>
      </c>
      <c r="V171" s="259">
        <v>42</v>
      </c>
      <c r="W171" s="259">
        <v>44</v>
      </c>
      <c r="X171" s="259">
        <v>46</v>
      </c>
      <c r="Y171" s="259"/>
      <c r="Z171" s="259" t="s">
        <v>15</v>
      </c>
      <c r="AB171" s="288"/>
      <c r="AC171" s="279" t="s">
        <v>29</v>
      </c>
      <c r="AD171" s="192">
        <v>11575</v>
      </c>
      <c r="AE171" s="279">
        <v>16</v>
      </c>
      <c r="AF171" s="279">
        <v>50</v>
      </c>
      <c r="AG171" s="279">
        <v>56</v>
      </c>
      <c r="AH171" s="279">
        <v>50</v>
      </c>
      <c r="AI171" s="279">
        <v>34</v>
      </c>
      <c r="AJ171" s="279">
        <v>24</v>
      </c>
      <c r="AK171" s="275">
        <f>SUM(AE171:AJ171)</f>
        <v>230</v>
      </c>
    </row>
    <row r="172" spans="1:37" ht="20.25" thickTop="1" thickBot="1">
      <c r="A172" s="313" t="str">
        <f t="shared" ref="A172:A178" si="71">+A171</f>
        <v>4210-00</v>
      </c>
      <c r="B172" s="39" t="s">
        <v>16</v>
      </c>
      <c r="C172" s="39"/>
      <c r="D172" s="39" t="str">
        <f>+B171</f>
        <v>Ayla</v>
      </c>
      <c r="E172" s="40"/>
      <c r="F172" s="261" t="s">
        <v>1</v>
      </c>
      <c r="G172" s="261"/>
      <c r="H172" s="262">
        <f>'BASE DATOS'!C22</f>
        <v>7</v>
      </c>
      <c r="I172" s="262">
        <f>'BASE DATOS'!D22</f>
        <v>26</v>
      </c>
      <c r="J172" s="262">
        <f>'BASE DATOS'!E22</f>
        <v>30</v>
      </c>
      <c r="K172" s="262">
        <f>'BASE DATOS'!F22</f>
        <v>29</v>
      </c>
      <c r="L172" s="262">
        <f>'BASE DATOS'!G22</f>
        <v>21</v>
      </c>
      <c r="M172" s="262">
        <f>'BASE DATOS'!H22</f>
        <v>16</v>
      </c>
      <c r="N172" s="262"/>
      <c r="O172" s="263">
        <f t="shared" ref="O172:O178" si="72">SUM(H172:N172)</f>
        <v>129</v>
      </c>
      <c r="Q172" s="264"/>
      <c r="R172" s="264"/>
      <c r="S172" s="264"/>
      <c r="T172" s="264"/>
      <c r="U172" s="264"/>
      <c r="V172" s="264"/>
      <c r="W172" s="264"/>
      <c r="X172" s="264"/>
      <c r="Y172" s="264"/>
      <c r="Z172" s="264">
        <f>SUBTOTAL(9,S172:Y172)</f>
        <v>0</v>
      </c>
      <c r="AB172" s="288"/>
      <c r="AC172" s="281" t="s">
        <v>30</v>
      </c>
      <c r="AD172" s="196">
        <v>4210</v>
      </c>
    </row>
    <row r="173" spans="1:37" ht="22.5" thickTop="1" thickBot="1">
      <c r="A173" s="313" t="str">
        <f t="shared" si="71"/>
        <v>4210-00</v>
      </c>
      <c r="B173" s="3">
        <v>46104</v>
      </c>
      <c r="C173" s="4" t="s">
        <v>17</v>
      </c>
      <c r="D173" s="4" t="s">
        <v>31</v>
      </c>
      <c r="E173" s="5" t="s">
        <v>3</v>
      </c>
      <c r="F173" s="265">
        <v>11575</v>
      </c>
      <c r="G173" s="2"/>
      <c r="H173" s="7">
        <f>16-H182</f>
        <v>8</v>
      </c>
      <c r="I173" s="7">
        <f>50-I182</f>
        <v>29</v>
      </c>
      <c r="J173" s="7">
        <f>56-J182</f>
        <v>34</v>
      </c>
      <c r="K173" s="7">
        <f>50-K182</f>
        <v>35</v>
      </c>
      <c r="L173" s="7">
        <f>34-L182</f>
        <v>24</v>
      </c>
      <c r="M173" s="7">
        <f>24-M182</f>
        <v>19</v>
      </c>
      <c r="N173" s="8"/>
      <c r="O173" s="14">
        <f t="shared" si="72"/>
        <v>149</v>
      </c>
      <c r="Q173" s="252" t="s">
        <v>19</v>
      </c>
      <c r="R173" s="266"/>
      <c r="S173" s="266"/>
      <c r="T173" s="266"/>
      <c r="U173" s="266"/>
      <c r="V173" s="266"/>
      <c r="W173" s="266"/>
      <c r="X173" s="266"/>
      <c r="Y173" s="267"/>
      <c r="Z173" s="268">
        <f t="shared" ref="Z173:Z178" si="73">SUM(S173:Y173)</f>
        <v>0</v>
      </c>
      <c r="AB173" s="288"/>
      <c r="AC173" s="279" t="s">
        <v>32</v>
      </c>
      <c r="AD173" s="504" t="s">
        <v>50</v>
      </c>
    </row>
    <row r="174" spans="1:37" ht="16.5" thickTop="1" thickBot="1">
      <c r="A174" s="313" t="str">
        <f t="shared" si="71"/>
        <v>4210-00</v>
      </c>
      <c r="B174" s="3"/>
      <c r="C174" s="3"/>
      <c r="D174" s="52"/>
      <c r="E174" s="5" t="s">
        <v>3</v>
      </c>
      <c r="F174" s="269"/>
      <c r="G174" s="6"/>
      <c r="H174" s="7"/>
      <c r="I174" s="7"/>
      <c r="J174" s="7"/>
      <c r="K174" s="7"/>
      <c r="L174" s="7"/>
      <c r="M174" s="7"/>
      <c r="N174" s="15"/>
      <c r="O174" s="14">
        <f t="shared" si="72"/>
        <v>0</v>
      </c>
      <c r="Q174" s="252" t="s">
        <v>4</v>
      </c>
      <c r="R174" s="266">
        <f>78/19</f>
        <v>4.1052631578947372</v>
      </c>
      <c r="S174" s="266"/>
      <c r="T174" s="266"/>
      <c r="U174" s="266"/>
      <c r="V174" s="266"/>
      <c r="W174" s="266"/>
      <c r="X174" s="266"/>
      <c r="Y174" s="266"/>
      <c r="Z174" s="266">
        <f t="shared" si="73"/>
        <v>0</v>
      </c>
      <c r="AB174" s="288"/>
      <c r="AC174" s="279" t="s">
        <v>12</v>
      </c>
      <c r="AD174" s="503" t="s">
        <v>37</v>
      </c>
    </row>
    <row r="175" spans="1:37" ht="16.5" thickTop="1" thickBot="1">
      <c r="A175" s="313" t="str">
        <f t="shared" si="71"/>
        <v>4210-00</v>
      </c>
      <c r="B175" s="3"/>
      <c r="C175" s="3"/>
      <c r="D175" s="3"/>
      <c r="E175" s="5" t="s">
        <v>3</v>
      </c>
      <c r="F175" s="269"/>
      <c r="G175" s="6"/>
      <c r="H175" s="15"/>
      <c r="I175" s="15"/>
      <c r="J175" s="15"/>
      <c r="K175" s="15"/>
      <c r="L175" s="15"/>
      <c r="M175" s="15"/>
      <c r="N175" s="15"/>
      <c r="O175" s="16">
        <f t="shared" si="72"/>
        <v>0</v>
      </c>
      <c r="Q175" s="252" t="s">
        <v>6</v>
      </c>
      <c r="R175" s="266">
        <f>25/11</f>
        <v>2.2727272727272729</v>
      </c>
      <c r="S175" s="266"/>
      <c r="T175" s="266"/>
      <c r="U175" s="266"/>
      <c r="V175" s="266"/>
      <c r="W175" s="266"/>
      <c r="X175" s="266"/>
      <c r="Y175" s="266"/>
      <c r="Z175" s="266">
        <f t="shared" si="73"/>
        <v>0</v>
      </c>
      <c r="AB175" s="288"/>
      <c r="AC175" s="279" t="s">
        <v>17</v>
      </c>
      <c r="AD175" s="503" t="s">
        <v>31</v>
      </c>
    </row>
    <row r="176" spans="1:37" ht="15" thickTop="1" thickBot="1">
      <c r="A176" s="313" t="str">
        <f t="shared" si="71"/>
        <v>4210-00</v>
      </c>
      <c r="B176" s="3"/>
      <c r="C176" s="3"/>
      <c r="D176" s="3"/>
      <c r="E176" s="5" t="s">
        <v>3</v>
      </c>
      <c r="F176" s="269"/>
      <c r="G176" s="6"/>
      <c r="H176" s="8"/>
      <c r="I176" s="8"/>
      <c r="J176" s="8"/>
      <c r="K176" s="8"/>
      <c r="L176" s="8"/>
      <c r="M176" s="8"/>
      <c r="N176" s="15"/>
      <c r="O176" s="16">
        <f t="shared" si="72"/>
        <v>0</v>
      </c>
      <c r="Q176" s="266"/>
      <c r="R176" s="266"/>
      <c r="S176" s="266"/>
      <c r="T176" s="266"/>
      <c r="U176" s="266"/>
      <c r="V176" s="266"/>
      <c r="W176" s="266"/>
      <c r="X176" s="266"/>
      <c r="Y176" s="266"/>
      <c r="Z176" s="266">
        <f t="shared" si="73"/>
        <v>0</v>
      </c>
      <c r="AB176" s="288"/>
      <c r="AC176" s="289"/>
      <c r="AD176" s="289"/>
      <c r="AE176" s="289"/>
      <c r="AF176" s="289"/>
      <c r="AG176" s="289"/>
    </row>
    <row r="177" spans="1:37" ht="15" thickTop="1" thickBot="1">
      <c r="A177" s="314" t="str">
        <f t="shared" si="71"/>
        <v>4210-00</v>
      </c>
      <c r="B177" s="19"/>
      <c r="C177" s="19"/>
      <c r="D177" s="19"/>
      <c r="E177" s="20" t="s">
        <v>3</v>
      </c>
      <c r="F177" s="271"/>
      <c r="G177" s="21"/>
      <c r="H177" s="22"/>
      <c r="I177" s="22"/>
      <c r="J177" s="22"/>
      <c r="K177" s="22"/>
      <c r="L177" s="22"/>
      <c r="M177" s="22"/>
      <c r="N177" s="22"/>
      <c r="O177" s="23">
        <f t="shared" si="72"/>
        <v>0</v>
      </c>
      <c r="Q177" s="252" t="s">
        <v>2</v>
      </c>
      <c r="R177" s="272">
        <f>500/10.2</f>
        <v>49.019607843137258</v>
      </c>
      <c r="S177" s="252">
        <f>49*1.2</f>
        <v>58.8</v>
      </c>
      <c r="T177" s="252">
        <f>49*2.1</f>
        <v>102.9</v>
      </c>
      <c r="U177" s="252">
        <f>49*2.4</f>
        <v>117.6</v>
      </c>
      <c r="V177" s="252">
        <f>49*2.4</f>
        <v>117.6</v>
      </c>
      <c r="W177" s="252">
        <f>49*1.5</f>
        <v>73.5</v>
      </c>
      <c r="X177" s="252">
        <f>49*0.9</f>
        <v>44.1</v>
      </c>
      <c r="Y177" s="266"/>
      <c r="Z177" s="266">
        <f t="shared" si="73"/>
        <v>514.5</v>
      </c>
      <c r="AB177" s="288"/>
      <c r="AC177" s="289"/>
      <c r="AD177" s="289"/>
      <c r="AE177" s="289"/>
      <c r="AF177" s="289"/>
      <c r="AG177" s="289"/>
      <c r="AH177" s="289"/>
      <c r="AI177" s="289"/>
      <c r="AJ177" s="289"/>
      <c r="AK177" s="250"/>
    </row>
    <row r="178" spans="1:37" ht="15" thickTop="1" thickBot="1">
      <c r="A178" s="315" t="str">
        <f t="shared" si="71"/>
        <v>4210-00</v>
      </c>
      <c r="B178" s="47"/>
      <c r="C178" s="47"/>
      <c r="D178" s="47"/>
      <c r="E178" s="48" t="s">
        <v>23</v>
      </c>
      <c r="F178" s="49" t="str">
        <f>+B171</f>
        <v>Ayla</v>
      </c>
      <c r="G178" s="48"/>
      <c r="H178" s="48">
        <f>+H172-H173-H174-H175-H177+H176</f>
        <v>-1</v>
      </c>
      <c r="I178" s="48">
        <f>+I172-I173-I174-I175-I177+I176</f>
        <v>-3</v>
      </c>
      <c r="J178" s="48">
        <f>+J172-J173-J174-J175-J177-J176</f>
        <v>-4</v>
      </c>
      <c r="K178" s="48">
        <f>+K172-K173-K174-K175-K177-K176</f>
        <v>-6</v>
      </c>
      <c r="L178" s="48">
        <f>+L172-L173-L174-L175-L177-L176</f>
        <v>-3</v>
      </c>
      <c r="M178" s="48">
        <f>+M172-M173-M174-M175-M177-M176</f>
        <v>-3</v>
      </c>
      <c r="N178" s="48"/>
      <c r="O178" s="48">
        <f t="shared" si="72"/>
        <v>-20</v>
      </c>
      <c r="Q178" s="266"/>
      <c r="R178" s="266"/>
      <c r="S178" s="252">
        <f t="shared" ref="S178:X178" si="74">SUM(S174:S177)</f>
        <v>58.8</v>
      </c>
      <c r="T178" s="252">
        <f t="shared" si="74"/>
        <v>102.9</v>
      </c>
      <c r="U178" s="252">
        <f t="shared" si="74"/>
        <v>117.6</v>
      </c>
      <c r="V178" s="252">
        <f t="shared" si="74"/>
        <v>117.6</v>
      </c>
      <c r="W178" s="252">
        <f t="shared" si="74"/>
        <v>73.5</v>
      </c>
      <c r="X178" s="252">
        <f t="shared" si="74"/>
        <v>44.1</v>
      </c>
      <c r="Y178" s="252"/>
      <c r="Z178" s="252">
        <f t="shared" si="73"/>
        <v>514.5</v>
      </c>
      <c r="AB178" s="288"/>
      <c r="AC178" s="289"/>
      <c r="AD178" s="289"/>
      <c r="AE178" s="289"/>
      <c r="AF178" s="289"/>
      <c r="AG178" s="289"/>
      <c r="AK178" s="250"/>
    </row>
    <row r="179" spans="1:37" ht="15" thickTop="1" thickBot="1">
      <c r="A179" s="311" t="s">
        <v>7</v>
      </c>
      <c r="B179" s="43" t="s">
        <v>8</v>
      </c>
      <c r="C179" s="43"/>
      <c r="D179" s="43"/>
      <c r="E179" s="44" t="s">
        <v>9</v>
      </c>
      <c r="F179" s="45"/>
      <c r="G179" s="45"/>
      <c r="H179" s="44"/>
      <c r="I179" s="44"/>
      <c r="J179" s="44"/>
      <c r="K179" s="44"/>
      <c r="L179" s="44"/>
      <c r="M179" s="44"/>
      <c r="N179" s="44"/>
      <c r="O179" s="44"/>
      <c r="AB179" s="288"/>
      <c r="AC179" s="289"/>
      <c r="AD179" s="289"/>
      <c r="AE179" s="289"/>
      <c r="AF179" s="289"/>
      <c r="AG179" s="289"/>
      <c r="AH179" s="289"/>
      <c r="AI179" s="289"/>
      <c r="AJ179" s="289"/>
      <c r="AK179" s="289"/>
    </row>
    <row r="180" spans="1:37" ht="15" thickTop="1" thickBot="1">
      <c r="A180" s="312" t="s">
        <v>65</v>
      </c>
      <c r="B180" s="38" t="s">
        <v>50</v>
      </c>
      <c r="C180" s="9" t="s">
        <v>12</v>
      </c>
      <c r="D180" s="9" t="s">
        <v>37</v>
      </c>
      <c r="E180" s="10"/>
      <c r="F180" s="256" t="s">
        <v>14</v>
      </c>
      <c r="G180" s="257">
        <v>34</v>
      </c>
      <c r="H180" s="257">
        <v>36</v>
      </c>
      <c r="I180" s="257">
        <v>38</v>
      </c>
      <c r="J180" s="257">
        <v>40</v>
      </c>
      <c r="K180" s="257">
        <v>42</v>
      </c>
      <c r="L180" s="257">
        <v>44</v>
      </c>
      <c r="M180" s="257">
        <v>46</v>
      </c>
      <c r="N180" s="257"/>
      <c r="O180" s="258" t="s">
        <v>15</v>
      </c>
      <c r="Q180" s="259" t="s">
        <v>14</v>
      </c>
      <c r="R180" s="259"/>
      <c r="S180" s="259">
        <v>36</v>
      </c>
      <c r="T180" s="259">
        <v>38</v>
      </c>
      <c r="U180" s="259">
        <v>40</v>
      </c>
      <c r="V180" s="259">
        <v>42</v>
      </c>
      <c r="W180" s="259">
        <v>44</v>
      </c>
      <c r="X180" s="259">
        <v>46</v>
      </c>
      <c r="Y180" s="259"/>
      <c r="Z180" s="259" t="s">
        <v>15</v>
      </c>
      <c r="AB180" s="288"/>
      <c r="AC180" s="289"/>
      <c r="AD180" s="289"/>
      <c r="AE180" s="289"/>
      <c r="AF180" s="289"/>
      <c r="AG180" s="289"/>
    </row>
    <row r="181" spans="1:37" ht="15" thickTop="1" thickBot="1">
      <c r="A181" s="313" t="str">
        <f t="shared" ref="A181:A187" si="75">+A180</f>
        <v>4210-01</v>
      </c>
      <c r="B181" s="39" t="s">
        <v>16</v>
      </c>
      <c r="C181" s="39"/>
      <c r="D181" s="39" t="str">
        <f>+B180</f>
        <v>Ayla</v>
      </c>
      <c r="E181" s="40"/>
      <c r="F181" s="261" t="s">
        <v>1</v>
      </c>
      <c r="G181" s="261"/>
      <c r="H181" s="262">
        <f>'BASE DATOS'!C23</f>
        <v>5</v>
      </c>
      <c r="I181" s="262">
        <f>'BASE DATOS'!D23</f>
        <v>14</v>
      </c>
      <c r="J181" s="262">
        <f>'BASE DATOS'!E23</f>
        <v>15</v>
      </c>
      <c r="K181" s="262">
        <f>'BASE DATOS'!F23</f>
        <v>12</v>
      </c>
      <c r="L181" s="262">
        <f>'BASE DATOS'!G23</f>
        <v>8</v>
      </c>
      <c r="M181" s="262">
        <f>'BASE DATOS'!H23</f>
        <v>4</v>
      </c>
      <c r="N181" s="262"/>
      <c r="O181" s="263">
        <f t="shared" ref="O181:O187" si="76">SUM(H181:N181)</f>
        <v>58</v>
      </c>
      <c r="Q181" s="264"/>
      <c r="R181" s="264"/>
      <c r="S181" s="264"/>
      <c r="T181" s="264"/>
      <c r="U181" s="264"/>
      <c r="V181" s="264"/>
      <c r="W181" s="264"/>
      <c r="X181" s="264"/>
      <c r="Y181" s="264"/>
      <c r="Z181" s="264">
        <f>SUBTOTAL(9,S181:Y181)</f>
        <v>0</v>
      </c>
      <c r="AB181" s="288"/>
      <c r="AC181" s="289"/>
      <c r="AD181" s="289"/>
      <c r="AE181" s="289"/>
      <c r="AF181" s="289"/>
      <c r="AG181" s="289"/>
    </row>
    <row r="182" spans="1:37" ht="15" thickTop="1" thickBot="1">
      <c r="A182" s="313" t="str">
        <f t="shared" si="75"/>
        <v>4210-01</v>
      </c>
      <c r="B182" s="3">
        <v>46104</v>
      </c>
      <c r="C182" s="4" t="s">
        <v>17</v>
      </c>
      <c r="D182" s="4" t="s">
        <v>31</v>
      </c>
      <c r="E182" s="5" t="s">
        <v>3</v>
      </c>
      <c r="F182" s="265">
        <v>11575</v>
      </c>
      <c r="G182" s="2"/>
      <c r="H182" s="7">
        <v>8</v>
      </c>
      <c r="I182" s="7">
        <v>21</v>
      </c>
      <c r="J182" s="7">
        <v>22</v>
      </c>
      <c r="K182" s="7">
        <v>15</v>
      </c>
      <c r="L182" s="7">
        <v>10</v>
      </c>
      <c r="M182" s="7">
        <v>5</v>
      </c>
      <c r="N182" s="8"/>
      <c r="O182" s="14">
        <f t="shared" si="76"/>
        <v>81</v>
      </c>
      <c r="Q182" s="252" t="s">
        <v>19</v>
      </c>
      <c r="R182" s="266"/>
      <c r="S182" s="266"/>
      <c r="T182" s="266"/>
      <c r="U182" s="266"/>
      <c r="V182" s="266"/>
      <c r="W182" s="266"/>
      <c r="X182" s="266"/>
      <c r="Y182" s="267"/>
      <c r="Z182" s="268">
        <f t="shared" ref="Z182:Z187" si="77">SUM(S182:Y182)</f>
        <v>0</v>
      </c>
      <c r="AB182" s="288"/>
      <c r="AC182" s="289"/>
      <c r="AD182" s="289"/>
      <c r="AE182" s="289"/>
      <c r="AF182" s="289"/>
      <c r="AG182" s="289"/>
    </row>
    <row r="183" spans="1:37" ht="15" thickTop="1" thickBot="1">
      <c r="A183" s="313" t="str">
        <f t="shared" si="75"/>
        <v>4210-01</v>
      </c>
      <c r="B183" s="3"/>
      <c r="C183" s="3"/>
      <c r="D183" s="52"/>
      <c r="E183" s="5" t="s">
        <v>3</v>
      </c>
      <c r="F183" s="269"/>
      <c r="G183" s="6"/>
      <c r="H183" s="7"/>
      <c r="I183" s="7"/>
      <c r="J183" s="7"/>
      <c r="K183" s="7"/>
      <c r="L183" s="7"/>
      <c r="M183" s="7"/>
      <c r="N183" s="15"/>
      <c r="O183" s="14">
        <f t="shared" si="76"/>
        <v>0</v>
      </c>
      <c r="Q183" s="252" t="s">
        <v>4</v>
      </c>
      <c r="R183" s="266">
        <f>78/19</f>
        <v>4.1052631578947372</v>
      </c>
      <c r="S183" s="266"/>
      <c r="T183" s="266"/>
      <c r="U183" s="266"/>
      <c r="V183" s="266"/>
      <c r="W183" s="266"/>
      <c r="X183" s="266"/>
      <c r="Y183" s="266"/>
      <c r="Z183" s="266">
        <f t="shared" si="77"/>
        <v>0</v>
      </c>
      <c r="AB183" s="288"/>
      <c r="AC183" s="289"/>
      <c r="AD183" s="289"/>
      <c r="AE183" s="289"/>
      <c r="AF183" s="289"/>
      <c r="AG183" s="289"/>
    </row>
    <row r="184" spans="1:37" ht="15" thickTop="1" thickBot="1">
      <c r="A184" s="313" t="str">
        <f t="shared" si="75"/>
        <v>4210-01</v>
      </c>
      <c r="B184" s="3"/>
      <c r="C184" s="3"/>
      <c r="D184" s="3"/>
      <c r="E184" s="5" t="s">
        <v>3</v>
      </c>
      <c r="F184" s="269"/>
      <c r="G184" s="6"/>
      <c r="H184" s="15"/>
      <c r="I184" s="15"/>
      <c r="J184" s="15"/>
      <c r="K184" s="15"/>
      <c r="L184" s="15"/>
      <c r="M184" s="15"/>
      <c r="N184" s="15"/>
      <c r="O184" s="16">
        <f t="shared" si="76"/>
        <v>0</v>
      </c>
      <c r="Q184" s="252" t="s">
        <v>6</v>
      </c>
      <c r="R184" s="266">
        <f>25/11</f>
        <v>2.2727272727272729</v>
      </c>
      <c r="S184" s="266"/>
      <c r="T184" s="266"/>
      <c r="U184" s="266"/>
      <c r="V184" s="266"/>
      <c r="W184" s="266"/>
      <c r="X184" s="266"/>
      <c r="Y184" s="266"/>
      <c r="Z184" s="266">
        <f t="shared" si="77"/>
        <v>0</v>
      </c>
      <c r="AB184" s="288"/>
      <c r="AC184" s="289"/>
      <c r="AD184" s="289"/>
      <c r="AE184" s="289"/>
      <c r="AF184" s="289"/>
      <c r="AG184" s="289"/>
    </row>
    <row r="185" spans="1:37" ht="15" thickTop="1" thickBot="1">
      <c r="A185" s="313" t="str">
        <f t="shared" si="75"/>
        <v>4210-01</v>
      </c>
      <c r="B185" s="3"/>
      <c r="C185" s="3"/>
      <c r="D185" s="3"/>
      <c r="E185" s="5" t="s">
        <v>3</v>
      </c>
      <c r="F185" s="269"/>
      <c r="G185" s="6"/>
      <c r="H185" s="8"/>
      <c r="I185" s="8"/>
      <c r="J185" s="8"/>
      <c r="K185" s="8"/>
      <c r="L185" s="8"/>
      <c r="M185" s="8"/>
      <c r="N185" s="15"/>
      <c r="O185" s="16">
        <f t="shared" si="76"/>
        <v>0</v>
      </c>
      <c r="Q185" s="266"/>
      <c r="R185" s="266"/>
      <c r="S185" s="266"/>
      <c r="T185" s="266"/>
      <c r="U185" s="266"/>
      <c r="V185" s="266"/>
      <c r="W185" s="266"/>
      <c r="X185" s="266"/>
      <c r="Y185" s="266"/>
      <c r="Z185" s="266">
        <f t="shared" si="77"/>
        <v>0</v>
      </c>
      <c r="AB185" s="288"/>
      <c r="AC185" s="289"/>
      <c r="AD185" s="289"/>
      <c r="AE185" s="289"/>
      <c r="AF185" s="289"/>
      <c r="AG185" s="289"/>
    </row>
    <row r="186" spans="1:37" ht="15" thickTop="1" thickBot="1">
      <c r="A186" s="314" t="str">
        <f t="shared" si="75"/>
        <v>4210-01</v>
      </c>
      <c r="B186" s="19"/>
      <c r="C186" s="19"/>
      <c r="D186" s="19"/>
      <c r="E186" s="20" t="s">
        <v>3</v>
      </c>
      <c r="F186" s="271"/>
      <c r="G186" s="21"/>
      <c r="H186" s="22"/>
      <c r="I186" s="22"/>
      <c r="J186" s="22"/>
      <c r="K186" s="22"/>
      <c r="L186" s="22"/>
      <c r="M186" s="22"/>
      <c r="N186" s="22"/>
      <c r="O186" s="23">
        <f t="shared" si="76"/>
        <v>0</v>
      </c>
      <c r="Q186" s="252" t="s">
        <v>2</v>
      </c>
      <c r="R186" s="272">
        <f>500/10.2</f>
        <v>49.019607843137258</v>
      </c>
      <c r="S186" s="252">
        <f>49*1.2</f>
        <v>58.8</v>
      </c>
      <c r="T186" s="252">
        <f>49*2.1</f>
        <v>102.9</v>
      </c>
      <c r="U186" s="252">
        <f>49*2.4</f>
        <v>117.6</v>
      </c>
      <c r="V186" s="252">
        <f>49*2.4</f>
        <v>117.6</v>
      </c>
      <c r="W186" s="252">
        <f>49*1.5</f>
        <v>73.5</v>
      </c>
      <c r="X186" s="252">
        <f>49*0.9</f>
        <v>44.1</v>
      </c>
      <c r="Y186" s="266"/>
      <c r="Z186" s="266">
        <f t="shared" si="77"/>
        <v>514.5</v>
      </c>
      <c r="AB186" s="288"/>
      <c r="AC186" s="289"/>
      <c r="AD186" s="289"/>
      <c r="AE186" s="289"/>
      <c r="AF186" s="289"/>
      <c r="AG186" s="289"/>
    </row>
    <row r="187" spans="1:37" ht="15" thickTop="1" thickBot="1">
      <c r="A187" s="315" t="str">
        <f t="shared" si="75"/>
        <v>4210-01</v>
      </c>
      <c r="B187" s="47"/>
      <c r="C187" s="47"/>
      <c r="D187" s="47"/>
      <c r="E187" s="48" t="s">
        <v>23</v>
      </c>
      <c r="F187" s="49" t="str">
        <f>+B180</f>
        <v>Ayla</v>
      </c>
      <c r="G187" s="48"/>
      <c r="H187" s="48">
        <f>+H181-H182-H183-H184-H186+H185</f>
        <v>-3</v>
      </c>
      <c r="I187" s="48">
        <f>+I181-I182-I183-I184-I186+I185</f>
        <v>-7</v>
      </c>
      <c r="J187" s="48">
        <f>+J181-J182-J183-J184-J186-J185</f>
        <v>-7</v>
      </c>
      <c r="K187" s="48">
        <f>+K181-K182-K183-K184-K186-K185</f>
        <v>-3</v>
      </c>
      <c r="L187" s="48">
        <f>+L181-L182-L183-L184-L186-L185</f>
        <v>-2</v>
      </c>
      <c r="M187" s="48">
        <f>+M181-M182-M183-M184-M186-M185</f>
        <v>-1</v>
      </c>
      <c r="N187" s="48"/>
      <c r="O187" s="48">
        <f t="shared" si="76"/>
        <v>-23</v>
      </c>
      <c r="Q187" s="266"/>
      <c r="R187" s="266"/>
      <c r="S187" s="252">
        <f t="shared" ref="S187:X187" si="78">SUM(S183:S186)</f>
        <v>58.8</v>
      </c>
      <c r="T187" s="252">
        <f t="shared" si="78"/>
        <v>102.9</v>
      </c>
      <c r="U187" s="252">
        <f t="shared" si="78"/>
        <v>117.6</v>
      </c>
      <c r="V187" s="252">
        <f t="shared" si="78"/>
        <v>117.6</v>
      </c>
      <c r="W187" s="252">
        <f t="shared" si="78"/>
        <v>73.5</v>
      </c>
      <c r="X187" s="252">
        <f t="shared" si="78"/>
        <v>44.1</v>
      </c>
      <c r="Y187" s="252"/>
      <c r="Z187" s="252">
        <f t="shared" si="77"/>
        <v>514.5</v>
      </c>
      <c r="AB187" s="288"/>
      <c r="AC187" s="289"/>
      <c r="AD187" s="289"/>
      <c r="AE187" s="289"/>
      <c r="AF187" s="289"/>
      <c r="AG187" s="289"/>
    </row>
    <row r="188" spans="1:37" ht="15" thickTop="1" thickBot="1">
      <c r="A188" s="316" t="s">
        <v>7</v>
      </c>
      <c r="B188" s="43" t="s">
        <v>8</v>
      </c>
      <c r="C188" s="43"/>
      <c r="D188" s="43"/>
      <c r="E188" s="44" t="s">
        <v>9</v>
      </c>
      <c r="F188" s="45"/>
      <c r="G188" s="45"/>
      <c r="H188" s="44"/>
      <c r="I188" s="44"/>
      <c r="J188" s="44"/>
      <c r="K188" s="44"/>
      <c r="L188" s="44"/>
      <c r="M188" s="44"/>
      <c r="N188" s="44"/>
      <c r="O188" s="44"/>
      <c r="AB188" s="288"/>
      <c r="AC188" s="289"/>
      <c r="AD188" s="289"/>
      <c r="AE188" s="289"/>
      <c r="AF188" s="289"/>
      <c r="AG188" s="289"/>
    </row>
    <row r="189" spans="1:37" ht="15" thickTop="1" thickBot="1">
      <c r="A189" s="317" t="s">
        <v>66</v>
      </c>
      <c r="B189" s="38" t="s">
        <v>50</v>
      </c>
      <c r="C189" s="9" t="s">
        <v>12</v>
      </c>
      <c r="D189" s="9" t="s">
        <v>13</v>
      </c>
      <c r="E189" s="10"/>
      <c r="F189" s="256" t="s">
        <v>14</v>
      </c>
      <c r="G189" s="257">
        <v>34</v>
      </c>
      <c r="H189" s="257">
        <v>36</v>
      </c>
      <c r="I189" s="257">
        <v>38</v>
      </c>
      <c r="J189" s="257">
        <v>40</v>
      </c>
      <c r="K189" s="257">
        <v>42</v>
      </c>
      <c r="L189" s="257">
        <v>44</v>
      </c>
      <c r="M189" s="257">
        <v>46</v>
      </c>
      <c r="N189" s="257"/>
      <c r="O189" s="258" t="s">
        <v>15</v>
      </c>
      <c r="Q189" s="259" t="s">
        <v>14</v>
      </c>
      <c r="R189" s="259"/>
      <c r="S189" s="259">
        <v>36</v>
      </c>
      <c r="T189" s="259">
        <v>38</v>
      </c>
      <c r="U189" s="259">
        <v>40</v>
      </c>
      <c r="V189" s="259">
        <v>42</v>
      </c>
      <c r="W189" s="259">
        <v>44</v>
      </c>
      <c r="X189" s="259">
        <v>46</v>
      </c>
      <c r="Y189" s="259"/>
      <c r="Z189" s="259" t="s">
        <v>15</v>
      </c>
      <c r="AB189" s="288"/>
      <c r="AC189" s="289"/>
      <c r="AD189" s="289"/>
      <c r="AE189" s="289"/>
      <c r="AF189" s="289"/>
      <c r="AG189" s="289"/>
    </row>
    <row r="190" spans="1:37" ht="15" thickTop="1" thickBot="1">
      <c r="A190" s="318" t="str">
        <f t="shared" ref="A190:A196" si="79">+A189</f>
        <v>4211-00</v>
      </c>
      <c r="B190" s="39" t="s">
        <v>16</v>
      </c>
      <c r="C190" s="39"/>
      <c r="D190" s="39" t="str">
        <f>+B189</f>
        <v>Ayla</v>
      </c>
      <c r="E190" s="40"/>
      <c r="F190" s="261" t="s">
        <v>1</v>
      </c>
      <c r="G190" s="261"/>
      <c r="H190" s="262">
        <f>'BASE DATOS'!C24</f>
        <v>11</v>
      </c>
      <c r="I190" s="262">
        <f>'BASE DATOS'!D24</f>
        <v>21</v>
      </c>
      <c r="J190" s="262">
        <f>'BASE DATOS'!E24</f>
        <v>29</v>
      </c>
      <c r="K190" s="262">
        <f>'BASE DATOS'!F24</f>
        <v>25</v>
      </c>
      <c r="L190" s="262">
        <f>'BASE DATOS'!G24</f>
        <v>20</v>
      </c>
      <c r="M190" s="262">
        <f>'BASE DATOS'!H24</f>
        <v>11</v>
      </c>
      <c r="N190" s="262"/>
      <c r="O190" s="263">
        <f t="shared" ref="O190:O196" si="80">SUM(H190:N190)</f>
        <v>117</v>
      </c>
      <c r="Q190" s="264"/>
      <c r="R190" s="264"/>
      <c r="S190" s="264"/>
      <c r="T190" s="264"/>
      <c r="U190" s="264"/>
      <c r="V190" s="264"/>
      <c r="W190" s="264"/>
      <c r="X190" s="264"/>
      <c r="Y190" s="264"/>
      <c r="Z190" s="264">
        <f>SUBTOTAL(9,S190:Y190)</f>
        <v>0</v>
      </c>
      <c r="AB190" s="288"/>
      <c r="AC190" s="289"/>
      <c r="AD190" s="289"/>
      <c r="AE190" s="289"/>
      <c r="AF190" s="289"/>
      <c r="AG190" s="289"/>
    </row>
    <row r="191" spans="1:37" ht="15" thickTop="1" thickBot="1">
      <c r="A191" s="318" t="str">
        <f t="shared" si="79"/>
        <v>4211-00</v>
      </c>
      <c r="B191" s="3">
        <v>46063</v>
      </c>
      <c r="C191" s="4" t="s">
        <v>17</v>
      </c>
      <c r="D191" s="4" t="s">
        <v>42</v>
      </c>
      <c r="E191" s="5" t="s">
        <v>3</v>
      </c>
      <c r="F191" s="265">
        <v>11557</v>
      </c>
      <c r="G191" s="2"/>
      <c r="H191" s="7">
        <f>40-H200</f>
        <v>25</v>
      </c>
      <c r="I191" s="7">
        <f>84-I200</f>
        <v>38</v>
      </c>
      <c r="J191" s="7">
        <f>100-J200</f>
        <v>50</v>
      </c>
      <c r="K191" s="7">
        <f>96-K200</f>
        <v>48</v>
      </c>
      <c r="L191" s="7">
        <f>75-L200</f>
        <v>44</v>
      </c>
      <c r="M191" s="7">
        <f>51-M200</f>
        <v>22</v>
      </c>
      <c r="N191" s="8"/>
      <c r="O191" s="14">
        <f t="shared" si="80"/>
        <v>227</v>
      </c>
      <c r="Q191" s="252" t="s">
        <v>19</v>
      </c>
      <c r="R191" s="266"/>
      <c r="S191" s="266"/>
      <c r="T191" s="266"/>
      <c r="U191" s="266"/>
      <c r="V191" s="266"/>
      <c r="W191" s="266"/>
      <c r="X191" s="266"/>
      <c r="Y191" s="267"/>
      <c r="Z191" s="268">
        <f t="shared" ref="Z191:Z196" si="81">SUM(S191:Y191)</f>
        <v>0</v>
      </c>
      <c r="AB191" s="288"/>
      <c r="AC191" s="289"/>
      <c r="AD191" s="289"/>
      <c r="AE191" s="289"/>
      <c r="AF191" s="289"/>
      <c r="AG191" s="289"/>
    </row>
    <row r="192" spans="1:37" ht="15" thickTop="1" thickBot="1">
      <c r="A192" s="318" t="str">
        <f t="shared" si="79"/>
        <v>4211-00</v>
      </c>
      <c r="B192" s="3"/>
      <c r="C192" s="3"/>
      <c r="D192" s="52"/>
      <c r="E192" s="5" t="s">
        <v>3</v>
      </c>
      <c r="F192" s="269"/>
      <c r="G192" s="6"/>
      <c r="H192" s="7"/>
      <c r="I192" s="7"/>
      <c r="J192" s="7"/>
      <c r="K192" s="7"/>
      <c r="L192" s="7"/>
      <c r="M192" s="7"/>
      <c r="N192" s="15"/>
      <c r="O192" s="14">
        <f t="shared" si="80"/>
        <v>0</v>
      </c>
      <c r="Q192" s="252" t="s">
        <v>4</v>
      </c>
      <c r="R192" s="266">
        <f>78/19</f>
        <v>4.1052631578947372</v>
      </c>
      <c r="S192" s="266"/>
      <c r="T192" s="266"/>
      <c r="U192" s="266"/>
      <c r="V192" s="266"/>
      <c r="W192" s="266"/>
      <c r="X192" s="266"/>
      <c r="Y192" s="266"/>
      <c r="Z192" s="266">
        <f t="shared" si="81"/>
        <v>0</v>
      </c>
      <c r="AB192" s="288"/>
      <c r="AC192" s="289"/>
      <c r="AD192" s="289"/>
      <c r="AE192" s="289"/>
      <c r="AF192" s="289"/>
      <c r="AG192" s="289"/>
    </row>
    <row r="193" spans="1:33" ht="15" thickTop="1" thickBot="1">
      <c r="A193" s="318" t="str">
        <f t="shared" si="79"/>
        <v>4211-00</v>
      </c>
      <c r="B193" s="3"/>
      <c r="C193" s="3"/>
      <c r="D193" s="3"/>
      <c r="E193" s="5" t="s">
        <v>3</v>
      </c>
      <c r="F193" s="269"/>
      <c r="G193" s="6"/>
      <c r="H193" s="15"/>
      <c r="I193" s="15"/>
      <c r="J193" s="15"/>
      <c r="K193" s="15"/>
      <c r="L193" s="15"/>
      <c r="M193" s="15"/>
      <c r="N193" s="15"/>
      <c r="O193" s="16">
        <f t="shared" si="80"/>
        <v>0</v>
      </c>
      <c r="Q193" s="252" t="s">
        <v>6</v>
      </c>
      <c r="R193" s="266">
        <f>25/11</f>
        <v>2.2727272727272729</v>
      </c>
      <c r="S193" s="266"/>
      <c r="T193" s="266"/>
      <c r="U193" s="266"/>
      <c r="V193" s="266"/>
      <c r="W193" s="266"/>
      <c r="X193" s="266"/>
      <c r="Y193" s="266"/>
      <c r="Z193" s="266">
        <f t="shared" si="81"/>
        <v>0</v>
      </c>
      <c r="AB193" s="288"/>
      <c r="AC193" s="289"/>
      <c r="AD193" s="289"/>
      <c r="AE193" s="289"/>
      <c r="AF193" s="289"/>
      <c r="AG193" s="289"/>
    </row>
    <row r="194" spans="1:33" ht="15" thickTop="1" thickBot="1">
      <c r="A194" s="318" t="str">
        <f t="shared" si="79"/>
        <v>4211-00</v>
      </c>
      <c r="B194" s="3"/>
      <c r="C194" s="3"/>
      <c r="D194" s="3"/>
      <c r="E194" s="5" t="s">
        <v>3</v>
      </c>
      <c r="F194" s="269"/>
      <c r="G194" s="6"/>
      <c r="H194" s="8"/>
      <c r="I194" s="8"/>
      <c r="J194" s="8"/>
      <c r="K194" s="8"/>
      <c r="L194" s="8"/>
      <c r="M194" s="8"/>
      <c r="N194" s="15"/>
      <c r="O194" s="16">
        <f t="shared" si="80"/>
        <v>0</v>
      </c>
      <c r="Q194" s="266"/>
      <c r="R194" s="266"/>
      <c r="S194" s="266"/>
      <c r="T194" s="266"/>
      <c r="U194" s="266"/>
      <c r="V194" s="266"/>
      <c r="W194" s="266"/>
      <c r="X194" s="266"/>
      <c r="Y194" s="266"/>
      <c r="Z194" s="266">
        <f t="shared" si="81"/>
        <v>0</v>
      </c>
      <c r="AB194" s="288"/>
      <c r="AC194" s="289"/>
      <c r="AD194" s="289"/>
      <c r="AE194" s="289"/>
      <c r="AF194" s="289"/>
      <c r="AG194" s="289"/>
    </row>
    <row r="195" spans="1:33" ht="15" thickTop="1" thickBot="1">
      <c r="A195" s="319" t="str">
        <f t="shared" si="79"/>
        <v>4211-00</v>
      </c>
      <c r="B195" s="19"/>
      <c r="C195" s="19"/>
      <c r="D195" s="19"/>
      <c r="E195" s="20" t="s">
        <v>3</v>
      </c>
      <c r="F195" s="271"/>
      <c r="G195" s="21"/>
      <c r="H195" s="22"/>
      <c r="I195" s="22"/>
      <c r="J195" s="22"/>
      <c r="K195" s="22"/>
      <c r="L195" s="22"/>
      <c r="M195" s="22"/>
      <c r="N195" s="22"/>
      <c r="O195" s="23">
        <f t="shared" si="80"/>
        <v>0</v>
      </c>
      <c r="Q195" s="252" t="s">
        <v>2</v>
      </c>
      <c r="R195" s="272">
        <f>500/10.2</f>
        <v>49.019607843137258</v>
      </c>
      <c r="S195" s="252">
        <f>49*1.2</f>
        <v>58.8</v>
      </c>
      <c r="T195" s="252">
        <f>49*2.1</f>
        <v>102.9</v>
      </c>
      <c r="U195" s="252">
        <f>49*2.4</f>
        <v>117.6</v>
      </c>
      <c r="V195" s="252">
        <f>49*2.4</f>
        <v>117.6</v>
      </c>
      <c r="W195" s="252">
        <f>49*1.5</f>
        <v>73.5</v>
      </c>
      <c r="X195" s="252">
        <f>49*0.9</f>
        <v>44.1</v>
      </c>
      <c r="Y195" s="266"/>
      <c r="Z195" s="266">
        <f t="shared" si="81"/>
        <v>514.5</v>
      </c>
      <c r="AB195" s="288"/>
      <c r="AC195" s="289"/>
      <c r="AD195" s="289"/>
      <c r="AE195" s="289"/>
      <c r="AF195" s="289"/>
      <c r="AG195" s="289"/>
    </row>
    <row r="196" spans="1:33" ht="15" thickTop="1" thickBot="1">
      <c r="A196" s="320" t="str">
        <f t="shared" si="79"/>
        <v>4211-00</v>
      </c>
      <c r="B196" s="47"/>
      <c r="C196" s="47"/>
      <c r="D196" s="47"/>
      <c r="E196" s="48" t="s">
        <v>23</v>
      </c>
      <c r="F196" s="49" t="str">
        <f>+B189</f>
        <v>Ayla</v>
      </c>
      <c r="G196" s="48"/>
      <c r="H196" s="48">
        <f>+H190-H191-H192-H193-H195+H194</f>
        <v>-14</v>
      </c>
      <c r="I196" s="48">
        <f>+I190-I191-I192-I193-I195+I194</f>
        <v>-17</v>
      </c>
      <c r="J196" s="48">
        <f>+J190-J191-J192-J193-J195-J194</f>
        <v>-21</v>
      </c>
      <c r="K196" s="48">
        <f>+K190-K191-K192-K193-K195-K194</f>
        <v>-23</v>
      </c>
      <c r="L196" s="48">
        <f>+L190-L191-L192-L193-L195-L194</f>
        <v>-24</v>
      </c>
      <c r="M196" s="48">
        <f>+M190-M191-M192-M193-M195-M194</f>
        <v>-11</v>
      </c>
      <c r="N196" s="48"/>
      <c r="O196" s="48">
        <f t="shared" si="80"/>
        <v>-110</v>
      </c>
      <c r="Q196" s="266"/>
      <c r="R196" s="266"/>
      <c r="S196" s="252">
        <f t="shared" ref="S196:X196" si="82">SUM(S192:S195)</f>
        <v>58.8</v>
      </c>
      <c r="T196" s="252">
        <f t="shared" si="82"/>
        <v>102.9</v>
      </c>
      <c r="U196" s="252">
        <f t="shared" si="82"/>
        <v>117.6</v>
      </c>
      <c r="V196" s="252">
        <f t="shared" si="82"/>
        <v>117.6</v>
      </c>
      <c r="W196" s="252">
        <f t="shared" si="82"/>
        <v>73.5</v>
      </c>
      <c r="X196" s="252">
        <f t="shared" si="82"/>
        <v>44.1</v>
      </c>
      <c r="Y196" s="252"/>
      <c r="Z196" s="252">
        <f t="shared" si="81"/>
        <v>514.5</v>
      </c>
      <c r="AB196" s="288"/>
      <c r="AC196" s="289"/>
      <c r="AD196" s="289"/>
      <c r="AE196" s="289"/>
      <c r="AF196" s="289"/>
      <c r="AG196" s="289"/>
    </row>
    <row r="197" spans="1:33" ht="15" thickTop="1" thickBot="1">
      <c r="A197" s="316" t="s">
        <v>7</v>
      </c>
      <c r="B197" s="43" t="s">
        <v>8</v>
      </c>
      <c r="C197" s="43"/>
      <c r="D197" s="43"/>
      <c r="E197" s="44" t="s">
        <v>9</v>
      </c>
      <c r="F197" s="45"/>
      <c r="G197" s="45"/>
      <c r="H197" s="44"/>
      <c r="I197" s="44"/>
      <c r="J197" s="44"/>
      <c r="K197" s="44"/>
      <c r="L197" s="44"/>
      <c r="M197" s="44"/>
      <c r="N197" s="44"/>
      <c r="O197" s="44"/>
      <c r="AB197" s="288"/>
      <c r="AC197" s="289"/>
      <c r="AD197" s="289"/>
      <c r="AE197" s="289"/>
      <c r="AF197" s="289"/>
      <c r="AG197" s="289"/>
    </row>
    <row r="198" spans="1:33" ht="15" thickTop="1" thickBot="1">
      <c r="A198" s="317" t="s">
        <v>67</v>
      </c>
      <c r="B198" s="38" t="s">
        <v>50</v>
      </c>
      <c r="C198" s="9" t="s">
        <v>12</v>
      </c>
      <c r="D198" s="9" t="s">
        <v>13</v>
      </c>
      <c r="E198" s="10"/>
      <c r="F198" s="256" t="s">
        <v>14</v>
      </c>
      <c r="G198" s="257">
        <v>34</v>
      </c>
      <c r="H198" s="257">
        <v>36</v>
      </c>
      <c r="I198" s="257">
        <v>38</v>
      </c>
      <c r="J198" s="257">
        <v>40</v>
      </c>
      <c r="K198" s="257">
        <v>42</v>
      </c>
      <c r="L198" s="257">
        <v>44</v>
      </c>
      <c r="M198" s="257">
        <v>46</v>
      </c>
      <c r="N198" s="257"/>
      <c r="O198" s="258" t="s">
        <v>15</v>
      </c>
      <c r="Q198" s="259" t="s">
        <v>14</v>
      </c>
      <c r="R198" s="259"/>
      <c r="S198" s="259">
        <v>36</v>
      </c>
      <c r="T198" s="259">
        <v>38</v>
      </c>
      <c r="U198" s="259">
        <v>40</v>
      </c>
      <c r="V198" s="259">
        <v>42</v>
      </c>
      <c r="W198" s="259">
        <v>44</v>
      </c>
      <c r="X198" s="259">
        <v>46</v>
      </c>
      <c r="Y198" s="259"/>
      <c r="Z198" s="259" t="s">
        <v>15</v>
      </c>
      <c r="AB198" s="288"/>
      <c r="AC198" s="289"/>
      <c r="AD198" s="289"/>
      <c r="AE198" s="289"/>
      <c r="AF198" s="289"/>
      <c r="AG198" s="289"/>
    </row>
    <row r="199" spans="1:33" ht="15" thickTop="1" thickBot="1">
      <c r="A199" s="318" t="str">
        <f t="shared" ref="A199:A205" si="83">+A198</f>
        <v>4211-01</v>
      </c>
      <c r="B199" s="39" t="s">
        <v>16</v>
      </c>
      <c r="C199" s="39"/>
      <c r="D199" s="39" t="str">
        <f>+B198</f>
        <v>Ayla</v>
      </c>
      <c r="E199" s="40"/>
      <c r="F199" s="261" t="s">
        <v>1</v>
      </c>
      <c r="G199" s="261"/>
      <c r="H199" s="262">
        <f>'BASE DATOS'!C25</f>
        <v>19</v>
      </c>
      <c r="I199" s="262">
        <f>'BASE DATOS'!D25</f>
        <v>53</v>
      </c>
      <c r="J199" s="262">
        <f>'BASE DATOS'!E25</f>
        <v>57</v>
      </c>
      <c r="K199" s="262">
        <f>'BASE DATOS'!F25</f>
        <v>54</v>
      </c>
      <c r="L199" s="262">
        <f>'BASE DATOS'!G25</f>
        <v>36</v>
      </c>
      <c r="M199" s="262">
        <f>'BASE DATOS'!H25</f>
        <v>34</v>
      </c>
      <c r="N199" s="262"/>
      <c r="O199" s="263">
        <f t="shared" ref="O199:O205" si="84">SUM(H199:N199)</f>
        <v>253</v>
      </c>
      <c r="Q199" s="264"/>
      <c r="R199" s="264"/>
      <c r="S199" s="264"/>
      <c r="T199" s="264"/>
      <c r="U199" s="264"/>
      <c r="V199" s="264"/>
      <c r="W199" s="264"/>
      <c r="X199" s="264"/>
      <c r="Y199" s="264"/>
      <c r="Z199" s="264">
        <f>SUBTOTAL(9,S199:Y199)</f>
        <v>0</v>
      </c>
      <c r="AB199" s="288"/>
      <c r="AC199" s="289"/>
      <c r="AD199" s="289"/>
      <c r="AE199" s="289"/>
      <c r="AF199" s="289"/>
      <c r="AG199" s="289"/>
    </row>
    <row r="200" spans="1:33" ht="15" thickTop="1" thickBot="1">
      <c r="A200" s="318" t="str">
        <f t="shared" si="83"/>
        <v>4211-01</v>
      </c>
      <c r="B200" s="3"/>
      <c r="C200" s="4" t="s">
        <v>17</v>
      </c>
      <c r="D200" s="4" t="s">
        <v>42</v>
      </c>
      <c r="E200" s="5" t="s">
        <v>3</v>
      </c>
      <c r="F200" s="265">
        <v>11557</v>
      </c>
      <c r="G200" s="2"/>
      <c r="H200" s="7">
        <v>15</v>
      </c>
      <c r="I200" s="7">
        <v>46</v>
      </c>
      <c r="J200" s="7">
        <v>50</v>
      </c>
      <c r="K200" s="7">
        <v>48</v>
      </c>
      <c r="L200" s="7">
        <v>31</v>
      </c>
      <c r="M200" s="7">
        <v>29</v>
      </c>
      <c r="N200" s="8"/>
      <c r="O200" s="14">
        <f t="shared" si="84"/>
        <v>219</v>
      </c>
      <c r="Q200" s="252" t="s">
        <v>19</v>
      </c>
      <c r="R200" s="266"/>
      <c r="S200" s="266"/>
      <c r="T200" s="266"/>
      <c r="U200" s="266"/>
      <c r="V200" s="266"/>
      <c r="W200" s="266"/>
      <c r="X200" s="266"/>
      <c r="Y200" s="267"/>
      <c r="Z200" s="268">
        <f t="shared" ref="Z200:Z205" si="85">SUM(S200:Y200)</f>
        <v>0</v>
      </c>
      <c r="AB200" s="288"/>
      <c r="AC200" s="289"/>
      <c r="AD200" s="289"/>
      <c r="AE200" s="289"/>
      <c r="AF200" s="289"/>
      <c r="AG200" s="289"/>
    </row>
    <row r="201" spans="1:33" ht="15" thickTop="1" thickBot="1">
      <c r="A201" s="318" t="str">
        <f t="shared" si="83"/>
        <v>4211-01</v>
      </c>
      <c r="B201" s="3"/>
      <c r="C201" s="3"/>
      <c r="D201" s="52"/>
      <c r="E201" s="5" t="s">
        <v>3</v>
      </c>
      <c r="F201" s="269"/>
      <c r="G201" s="6"/>
      <c r="H201" s="7"/>
      <c r="I201" s="7"/>
      <c r="J201" s="7"/>
      <c r="K201" s="7"/>
      <c r="L201" s="7"/>
      <c r="M201" s="7"/>
      <c r="N201" s="15"/>
      <c r="O201" s="14">
        <f t="shared" si="84"/>
        <v>0</v>
      </c>
      <c r="Q201" s="252" t="s">
        <v>4</v>
      </c>
      <c r="R201" s="266">
        <f>78/19</f>
        <v>4.1052631578947372</v>
      </c>
      <c r="S201" s="266"/>
      <c r="T201" s="266"/>
      <c r="U201" s="266"/>
      <c r="V201" s="266"/>
      <c r="W201" s="266"/>
      <c r="X201" s="266"/>
      <c r="Y201" s="266"/>
      <c r="Z201" s="266">
        <f t="shared" si="85"/>
        <v>0</v>
      </c>
      <c r="AB201" s="288"/>
      <c r="AC201" s="289"/>
      <c r="AD201" s="289"/>
      <c r="AE201" s="289"/>
      <c r="AF201" s="289"/>
      <c r="AG201" s="289"/>
    </row>
    <row r="202" spans="1:33" ht="15" thickTop="1" thickBot="1">
      <c r="A202" s="318" t="str">
        <f t="shared" si="83"/>
        <v>4211-01</v>
      </c>
      <c r="B202" s="3"/>
      <c r="C202" s="3"/>
      <c r="D202" s="3"/>
      <c r="E202" s="5" t="s">
        <v>3</v>
      </c>
      <c r="F202" s="269"/>
      <c r="G202" s="6"/>
      <c r="H202" s="15"/>
      <c r="I202" s="15"/>
      <c r="J202" s="15"/>
      <c r="K202" s="15"/>
      <c r="L202" s="15"/>
      <c r="M202" s="15"/>
      <c r="N202" s="15"/>
      <c r="O202" s="16">
        <f t="shared" si="84"/>
        <v>0</v>
      </c>
      <c r="Q202" s="252" t="s">
        <v>6</v>
      </c>
      <c r="R202" s="266">
        <f>25/11</f>
        <v>2.2727272727272729</v>
      </c>
      <c r="S202" s="266"/>
      <c r="T202" s="266"/>
      <c r="U202" s="266"/>
      <c r="V202" s="266"/>
      <c r="W202" s="266"/>
      <c r="X202" s="266"/>
      <c r="Y202" s="266"/>
      <c r="Z202" s="266">
        <f t="shared" si="85"/>
        <v>0</v>
      </c>
      <c r="AB202" s="288"/>
      <c r="AC202" s="289"/>
      <c r="AD202" s="289"/>
      <c r="AE202" s="289"/>
      <c r="AF202" s="289"/>
      <c r="AG202" s="289"/>
    </row>
    <row r="203" spans="1:33" ht="15" thickTop="1" thickBot="1">
      <c r="A203" s="318" t="str">
        <f t="shared" si="83"/>
        <v>4211-01</v>
      </c>
      <c r="B203" s="3"/>
      <c r="C203" s="3"/>
      <c r="D203" s="3"/>
      <c r="E203" s="5" t="s">
        <v>3</v>
      </c>
      <c r="F203" s="269"/>
      <c r="G203" s="6"/>
      <c r="H203" s="8"/>
      <c r="I203" s="8"/>
      <c r="J203" s="8"/>
      <c r="K203" s="8"/>
      <c r="L203" s="8"/>
      <c r="M203" s="8"/>
      <c r="N203" s="15"/>
      <c r="O203" s="16">
        <f t="shared" si="84"/>
        <v>0</v>
      </c>
      <c r="Q203" s="266"/>
      <c r="R203" s="266"/>
      <c r="S203" s="266"/>
      <c r="T203" s="266"/>
      <c r="U203" s="266"/>
      <c r="V203" s="266"/>
      <c r="W203" s="266"/>
      <c r="X203" s="266"/>
      <c r="Y203" s="266"/>
      <c r="Z203" s="266">
        <f t="shared" si="85"/>
        <v>0</v>
      </c>
      <c r="AB203" s="288"/>
      <c r="AC203" s="289"/>
      <c r="AD203" s="289"/>
      <c r="AE203" s="289"/>
      <c r="AF203" s="289"/>
      <c r="AG203" s="289"/>
    </row>
    <row r="204" spans="1:33" ht="15" thickTop="1" thickBot="1">
      <c r="A204" s="319" t="str">
        <f t="shared" si="83"/>
        <v>4211-01</v>
      </c>
      <c r="B204" s="19"/>
      <c r="C204" s="19"/>
      <c r="D204" s="19"/>
      <c r="E204" s="20" t="s">
        <v>3</v>
      </c>
      <c r="F204" s="271"/>
      <c r="G204" s="21"/>
      <c r="H204" s="22"/>
      <c r="I204" s="22"/>
      <c r="J204" s="22"/>
      <c r="K204" s="22"/>
      <c r="L204" s="22"/>
      <c r="M204" s="22"/>
      <c r="N204" s="22"/>
      <c r="O204" s="23">
        <f t="shared" si="84"/>
        <v>0</v>
      </c>
      <c r="Q204" s="252" t="s">
        <v>2</v>
      </c>
      <c r="R204" s="272">
        <f>500/10.2</f>
        <v>49.019607843137258</v>
      </c>
      <c r="S204" s="252">
        <f>49*1.2</f>
        <v>58.8</v>
      </c>
      <c r="T204" s="252">
        <f>49*2.1</f>
        <v>102.9</v>
      </c>
      <c r="U204" s="252">
        <f>49*2.4</f>
        <v>117.6</v>
      </c>
      <c r="V204" s="252">
        <f>49*2.4</f>
        <v>117.6</v>
      </c>
      <c r="W204" s="252">
        <f>49*1.5</f>
        <v>73.5</v>
      </c>
      <c r="X204" s="252">
        <f>49*0.9</f>
        <v>44.1</v>
      </c>
      <c r="Y204" s="266"/>
      <c r="Z204" s="266">
        <f t="shared" si="85"/>
        <v>514.5</v>
      </c>
      <c r="AB204" s="288"/>
      <c r="AC204" s="289"/>
      <c r="AD204" s="289"/>
      <c r="AE204" s="289"/>
      <c r="AF204" s="289"/>
      <c r="AG204" s="289"/>
    </row>
    <row r="205" spans="1:33" ht="15" thickTop="1" thickBot="1">
      <c r="A205" s="320" t="str">
        <f t="shared" si="83"/>
        <v>4211-01</v>
      </c>
      <c r="B205" s="47"/>
      <c r="C205" s="47"/>
      <c r="D205" s="47"/>
      <c r="E205" s="48" t="s">
        <v>23</v>
      </c>
      <c r="F205" s="49" t="str">
        <f>+B198</f>
        <v>Ayla</v>
      </c>
      <c r="G205" s="48"/>
      <c r="H205" s="48">
        <f>+H199-H200-H201-H202-H204+H203</f>
        <v>4</v>
      </c>
      <c r="I205" s="48">
        <f>+I199-I200-I201-I202-I204+I203</f>
        <v>7</v>
      </c>
      <c r="J205" s="48">
        <f>+J199-J200-J201-J202-J204-J203</f>
        <v>7</v>
      </c>
      <c r="K205" s="48">
        <f>+K199-K200-K201-K202-K204-K203</f>
        <v>6</v>
      </c>
      <c r="L205" s="48">
        <f>+L199-L200-L201-L202-L204-L203</f>
        <v>5</v>
      </c>
      <c r="M205" s="48">
        <f>+M199-M200-M201-M202-M204-M203</f>
        <v>5</v>
      </c>
      <c r="N205" s="48"/>
      <c r="O205" s="48">
        <f t="shared" si="84"/>
        <v>34</v>
      </c>
      <c r="Q205" s="266"/>
      <c r="R205" s="266"/>
      <c r="S205" s="252">
        <f t="shared" ref="S205:X205" si="86">SUM(S201:S204)</f>
        <v>58.8</v>
      </c>
      <c r="T205" s="252">
        <f t="shared" si="86"/>
        <v>102.9</v>
      </c>
      <c r="U205" s="252">
        <f t="shared" si="86"/>
        <v>117.6</v>
      </c>
      <c r="V205" s="252">
        <f t="shared" si="86"/>
        <v>117.6</v>
      </c>
      <c r="W205" s="252">
        <f t="shared" si="86"/>
        <v>73.5</v>
      </c>
      <c r="X205" s="252">
        <f t="shared" si="86"/>
        <v>44.1</v>
      </c>
      <c r="Y205" s="252"/>
      <c r="Z205" s="252">
        <f t="shared" si="85"/>
        <v>514.5</v>
      </c>
      <c r="AB205" s="288"/>
      <c r="AC205" s="289"/>
      <c r="AD205" s="289"/>
      <c r="AE205" s="289"/>
      <c r="AF205" s="289"/>
      <c r="AG205" s="289"/>
    </row>
    <row r="206" spans="1:33" ht="15" thickTop="1" thickBot="1">
      <c r="A206" s="274" t="s">
        <v>7</v>
      </c>
      <c r="B206" s="43" t="s">
        <v>8</v>
      </c>
      <c r="C206" s="43"/>
      <c r="D206" s="43"/>
      <c r="E206" s="44" t="s">
        <v>9</v>
      </c>
      <c r="F206" s="45"/>
      <c r="G206" s="45"/>
      <c r="H206" s="44"/>
      <c r="I206" s="44"/>
      <c r="J206" s="44"/>
      <c r="K206" s="44"/>
      <c r="L206" s="44"/>
      <c r="M206" s="44"/>
      <c r="N206" s="44"/>
      <c r="O206" s="44"/>
      <c r="AB206" s="288"/>
      <c r="AC206" s="289"/>
      <c r="AD206" s="289"/>
      <c r="AE206" s="289"/>
      <c r="AF206" s="289"/>
      <c r="AG206" s="289"/>
    </row>
    <row r="207" spans="1:33" ht="15" thickTop="1" thickBot="1">
      <c r="A207" s="278" t="s">
        <v>68</v>
      </c>
      <c r="B207" s="38"/>
      <c r="C207" s="9" t="s">
        <v>12</v>
      </c>
      <c r="D207" s="9"/>
      <c r="E207" s="10"/>
      <c r="F207" s="256" t="s">
        <v>14</v>
      </c>
      <c r="G207" s="257">
        <v>34</v>
      </c>
      <c r="H207" s="257">
        <v>36</v>
      </c>
      <c r="I207" s="257">
        <v>38</v>
      </c>
      <c r="J207" s="257">
        <v>40</v>
      </c>
      <c r="K207" s="257">
        <v>42</v>
      </c>
      <c r="L207" s="257">
        <v>44</v>
      </c>
      <c r="M207" s="257">
        <v>46</v>
      </c>
      <c r="N207" s="257"/>
      <c r="O207" s="258" t="s">
        <v>15</v>
      </c>
      <c r="Q207" s="259" t="s">
        <v>14</v>
      </c>
      <c r="R207" s="259"/>
      <c r="S207" s="259">
        <v>36</v>
      </c>
      <c r="T207" s="259">
        <v>38</v>
      </c>
      <c r="U207" s="259">
        <v>40</v>
      </c>
      <c r="V207" s="259">
        <v>42</v>
      </c>
      <c r="W207" s="259">
        <v>44</v>
      </c>
      <c r="X207" s="259">
        <v>46</v>
      </c>
      <c r="Y207" s="259"/>
      <c r="Z207" s="259" t="s">
        <v>15</v>
      </c>
      <c r="AB207" s="288"/>
      <c r="AC207" s="289"/>
      <c r="AD207" s="289"/>
      <c r="AE207" s="289"/>
      <c r="AF207" s="289"/>
      <c r="AG207" s="289"/>
    </row>
    <row r="208" spans="1:33" ht="15" thickTop="1" thickBot="1">
      <c r="A208" s="280" t="str">
        <f t="shared" ref="A208:A214" si="87">+A207</f>
        <v>4212-00</v>
      </c>
      <c r="B208" s="39" t="s">
        <v>16</v>
      </c>
      <c r="C208" s="39"/>
      <c r="D208" s="39">
        <f>+B207</f>
        <v>0</v>
      </c>
      <c r="E208" s="40"/>
      <c r="F208" s="261" t="s">
        <v>1</v>
      </c>
      <c r="G208" s="261"/>
      <c r="H208" s="262">
        <f>'BASE DATOS'!C26</f>
        <v>2</v>
      </c>
      <c r="I208" s="262">
        <f>'BASE DATOS'!D26</f>
        <v>3</v>
      </c>
      <c r="J208" s="262">
        <f>'BASE DATOS'!E26</f>
        <v>3</v>
      </c>
      <c r="K208" s="262">
        <f>'BASE DATOS'!F26</f>
        <v>3</v>
      </c>
      <c r="L208" s="262">
        <f>'BASE DATOS'!G26</f>
        <v>2</v>
      </c>
      <c r="M208" s="262">
        <f>'BASE DATOS'!H26</f>
        <v>1</v>
      </c>
      <c r="N208" s="262"/>
      <c r="O208" s="263">
        <f t="shared" ref="O208:O214" si="88">SUM(H208:N208)</f>
        <v>14</v>
      </c>
      <c r="Q208" s="264"/>
      <c r="R208" s="264"/>
      <c r="S208" s="264"/>
      <c r="T208" s="264"/>
      <c r="U208" s="264"/>
      <c r="V208" s="264"/>
      <c r="W208" s="264"/>
      <c r="X208" s="264"/>
      <c r="Y208" s="264"/>
      <c r="Z208" s="264">
        <f>SUBTOTAL(9,S208:Y208)</f>
        <v>0</v>
      </c>
      <c r="AB208" s="288"/>
      <c r="AC208" s="289"/>
      <c r="AD208" s="289"/>
      <c r="AE208" s="289"/>
      <c r="AF208" s="289"/>
      <c r="AG208" s="289"/>
    </row>
    <row r="209" spans="1:33" ht="15" thickTop="1" thickBot="1">
      <c r="A209" s="280" t="str">
        <f t="shared" si="87"/>
        <v>4212-00</v>
      </c>
      <c r="B209" s="3"/>
      <c r="C209" s="4" t="s">
        <v>17</v>
      </c>
      <c r="D209" s="4"/>
      <c r="E209" s="5" t="s">
        <v>3</v>
      </c>
      <c r="F209" s="265"/>
      <c r="G209" s="2"/>
      <c r="H209" s="7"/>
      <c r="I209" s="7"/>
      <c r="J209" s="7"/>
      <c r="K209" s="7"/>
      <c r="L209" s="7"/>
      <c r="M209" s="7"/>
      <c r="N209" s="8"/>
      <c r="O209" s="14">
        <f t="shared" si="88"/>
        <v>0</v>
      </c>
      <c r="Q209" s="252" t="s">
        <v>19</v>
      </c>
      <c r="R209" s="266"/>
      <c r="S209" s="266"/>
      <c r="T209" s="266"/>
      <c r="U209" s="266"/>
      <c r="V209" s="266"/>
      <c r="W209" s="266"/>
      <c r="X209" s="266"/>
      <c r="Y209" s="267"/>
      <c r="Z209" s="268">
        <f t="shared" ref="Z209:Z214" si="89">SUM(S209:Y209)</f>
        <v>0</v>
      </c>
      <c r="AB209" s="288"/>
      <c r="AC209" s="289"/>
      <c r="AD209" s="289"/>
      <c r="AE209" s="289"/>
      <c r="AF209" s="289"/>
      <c r="AG209" s="289"/>
    </row>
    <row r="210" spans="1:33" ht="15" thickTop="1" thickBot="1">
      <c r="A210" s="280" t="str">
        <f t="shared" si="87"/>
        <v>4212-00</v>
      </c>
      <c r="B210" s="3"/>
      <c r="C210" s="3"/>
      <c r="D210" s="52"/>
      <c r="E210" s="5" t="s">
        <v>3</v>
      </c>
      <c r="F210" s="269"/>
      <c r="G210" s="6"/>
      <c r="H210" s="7"/>
      <c r="I210" s="7"/>
      <c r="J210" s="7"/>
      <c r="K210" s="7"/>
      <c r="L210" s="7"/>
      <c r="M210" s="7"/>
      <c r="N210" s="15"/>
      <c r="O210" s="14">
        <f t="shared" si="88"/>
        <v>0</v>
      </c>
      <c r="Q210" s="252" t="s">
        <v>4</v>
      </c>
      <c r="R210" s="266">
        <f>78/19</f>
        <v>4.1052631578947372</v>
      </c>
      <c r="S210" s="266"/>
      <c r="T210" s="266"/>
      <c r="U210" s="266"/>
      <c r="V210" s="266"/>
      <c r="W210" s="266"/>
      <c r="X210" s="266"/>
      <c r="Y210" s="266"/>
      <c r="Z210" s="266">
        <f t="shared" si="89"/>
        <v>0</v>
      </c>
      <c r="AB210" s="288"/>
      <c r="AC210" s="289"/>
      <c r="AD210" s="289"/>
      <c r="AE210" s="289"/>
      <c r="AF210" s="289"/>
      <c r="AG210" s="289"/>
    </row>
    <row r="211" spans="1:33" ht="15" thickTop="1" thickBot="1">
      <c r="A211" s="280" t="str">
        <f t="shared" si="87"/>
        <v>4212-00</v>
      </c>
      <c r="B211" s="3"/>
      <c r="C211" s="3"/>
      <c r="D211" s="3"/>
      <c r="E211" s="5" t="s">
        <v>3</v>
      </c>
      <c r="F211" s="269"/>
      <c r="G211" s="6"/>
      <c r="H211" s="15"/>
      <c r="I211" s="15"/>
      <c r="J211" s="15"/>
      <c r="K211" s="15"/>
      <c r="L211" s="15"/>
      <c r="M211" s="15"/>
      <c r="N211" s="15"/>
      <c r="O211" s="16">
        <f t="shared" si="88"/>
        <v>0</v>
      </c>
      <c r="Q211" s="252" t="s">
        <v>6</v>
      </c>
      <c r="R211" s="266">
        <f>25/11</f>
        <v>2.2727272727272729</v>
      </c>
      <c r="S211" s="266"/>
      <c r="T211" s="266"/>
      <c r="U211" s="266"/>
      <c r="V211" s="266"/>
      <c r="W211" s="266"/>
      <c r="X211" s="266"/>
      <c r="Y211" s="266"/>
      <c r="Z211" s="266">
        <f t="shared" si="89"/>
        <v>0</v>
      </c>
      <c r="AB211" s="288"/>
      <c r="AC211" s="289"/>
      <c r="AD211" s="289"/>
      <c r="AE211" s="289"/>
      <c r="AF211" s="289"/>
      <c r="AG211" s="289"/>
    </row>
    <row r="212" spans="1:33" ht="15" thickTop="1" thickBot="1">
      <c r="A212" s="280" t="str">
        <f t="shared" si="87"/>
        <v>4212-00</v>
      </c>
      <c r="B212" s="3"/>
      <c r="C212" s="3"/>
      <c r="D212" s="3"/>
      <c r="E212" s="5" t="s">
        <v>3</v>
      </c>
      <c r="F212" s="269"/>
      <c r="G212" s="6"/>
      <c r="H212" s="8"/>
      <c r="I212" s="8"/>
      <c r="J212" s="8"/>
      <c r="K212" s="8"/>
      <c r="L212" s="8"/>
      <c r="M212" s="8"/>
      <c r="N212" s="15"/>
      <c r="O212" s="16">
        <f t="shared" si="88"/>
        <v>0</v>
      </c>
      <c r="Q212" s="266"/>
      <c r="R212" s="266"/>
      <c r="S212" s="266"/>
      <c r="T212" s="266"/>
      <c r="U212" s="266"/>
      <c r="V212" s="266"/>
      <c r="W212" s="266"/>
      <c r="X212" s="266"/>
      <c r="Y212" s="266"/>
      <c r="Z212" s="266">
        <f t="shared" si="89"/>
        <v>0</v>
      </c>
      <c r="AB212" s="288"/>
      <c r="AC212" s="289"/>
      <c r="AD212" s="289"/>
      <c r="AE212" s="289"/>
      <c r="AF212" s="289"/>
      <c r="AG212" s="289"/>
    </row>
    <row r="213" spans="1:33" ht="15" thickTop="1" thickBot="1">
      <c r="A213" s="283" t="str">
        <f t="shared" si="87"/>
        <v>4212-00</v>
      </c>
      <c r="B213" s="19"/>
      <c r="C213" s="19"/>
      <c r="D213" s="19"/>
      <c r="E213" s="20" t="s">
        <v>3</v>
      </c>
      <c r="F213" s="271"/>
      <c r="G213" s="21"/>
      <c r="H213" s="22"/>
      <c r="I213" s="22"/>
      <c r="J213" s="22"/>
      <c r="K213" s="22"/>
      <c r="L213" s="22"/>
      <c r="M213" s="22"/>
      <c r="N213" s="22"/>
      <c r="O213" s="23">
        <f t="shared" si="88"/>
        <v>0</v>
      </c>
      <c r="Q213" s="252" t="s">
        <v>2</v>
      </c>
      <c r="R213" s="272">
        <f>500/10.2</f>
        <v>49.019607843137258</v>
      </c>
      <c r="S213" s="252">
        <f>49*1.2</f>
        <v>58.8</v>
      </c>
      <c r="T213" s="252">
        <f>49*2.1</f>
        <v>102.9</v>
      </c>
      <c r="U213" s="252">
        <f>49*2.4</f>
        <v>117.6</v>
      </c>
      <c r="V213" s="252">
        <f>49*2.4</f>
        <v>117.6</v>
      </c>
      <c r="W213" s="252">
        <f>49*1.5</f>
        <v>73.5</v>
      </c>
      <c r="X213" s="252">
        <f>49*0.9</f>
        <v>44.1</v>
      </c>
      <c r="Y213" s="266"/>
      <c r="Z213" s="266">
        <f t="shared" si="89"/>
        <v>514.5</v>
      </c>
      <c r="AB213" s="288"/>
      <c r="AC213" s="289"/>
      <c r="AD213" s="289"/>
      <c r="AE213" s="289"/>
      <c r="AF213" s="289"/>
      <c r="AG213" s="289"/>
    </row>
    <row r="214" spans="1:33" ht="15" thickTop="1" thickBot="1">
      <c r="A214" s="284" t="str">
        <f t="shared" si="87"/>
        <v>4212-00</v>
      </c>
      <c r="B214" s="47"/>
      <c r="C214" s="47"/>
      <c r="D214" s="47"/>
      <c r="E214" s="48" t="s">
        <v>23</v>
      </c>
      <c r="F214" s="49">
        <f>+B207</f>
        <v>0</v>
      </c>
      <c r="G214" s="48"/>
      <c r="H214" s="48">
        <f>+H208-H209-H210-H211-H213+H212</f>
        <v>2</v>
      </c>
      <c r="I214" s="48">
        <f>+I208-I209-I210-I211-I213+I212</f>
        <v>3</v>
      </c>
      <c r="J214" s="48">
        <f>+J208-J209-J210-J211-J213-J212</f>
        <v>3</v>
      </c>
      <c r="K214" s="48">
        <f>+K208-K209-K210-K211-K213-K212</f>
        <v>3</v>
      </c>
      <c r="L214" s="48">
        <f>+L208-L209-L210-L211-L213-L212</f>
        <v>2</v>
      </c>
      <c r="M214" s="48">
        <f>+M208-M209-M210-M211-M213-M212</f>
        <v>1</v>
      </c>
      <c r="N214" s="48"/>
      <c r="O214" s="48">
        <f t="shared" si="88"/>
        <v>14</v>
      </c>
      <c r="Q214" s="266"/>
      <c r="R214" s="266"/>
      <c r="S214" s="252">
        <f t="shared" ref="S214:X214" si="90">SUM(S210:S213)</f>
        <v>58.8</v>
      </c>
      <c r="T214" s="252">
        <f t="shared" si="90"/>
        <v>102.9</v>
      </c>
      <c r="U214" s="252">
        <f t="shared" si="90"/>
        <v>117.6</v>
      </c>
      <c r="V214" s="252">
        <f t="shared" si="90"/>
        <v>117.6</v>
      </c>
      <c r="W214" s="252">
        <f t="shared" si="90"/>
        <v>73.5</v>
      </c>
      <c r="X214" s="252">
        <f t="shared" si="90"/>
        <v>44.1</v>
      </c>
      <c r="Y214" s="252"/>
      <c r="Z214" s="252">
        <f t="shared" si="89"/>
        <v>514.5</v>
      </c>
      <c r="AB214" s="288"/>
      <c r="AC214" s="289"/>
      <c r="AD214" s="289"/>
      <c r="AE214" s="289"/>
      <c r="AF214" s="289"/>
      <c r="AG214" s="289"/>
    </row>
    <row r="215" spans="1:33" ht="15" thickTop="1" thickBot="1">
      <c r="A215" s="321" t="s">
        <v>7</v>
      </c>
      <c r="B215" s="43" t="s">
        <v>8</v>
      </c>
      <c r="C215" s="43"/>
      <c r="D215" s="43"/>
      <c r="E215" s="44" t="s">
        <v>9</v>
      </c>
      <c r="F215" s="45"/>
      <c r="G215" s="45"/>
      <c r="H215" s="44"/>
      <c r="I215" s="44"/>
      <c r="J215" s="44"/>
      <c r="K215" s="44"/>
      <c r="L215" s="44"/>
      <c r="M215" s="44"/>
      <c r="N215" s="44"/>
      <c r="O215" s="44"/>
      <c r="AB215" s="288"/>
      <c r="AC215" s="289"/>
      <c r="AD215" s="289"/>
      <c r="AE215" s="289"/>
      <c r="AF215" s="289"/>
      <c r="AG215" s="289"/>
    </row>
    <row r="216" spans="1:33" ht="15" thickTop="1" thickBot="1">
      <c r="A216" s="322" t="s">
        <v>69</v>
      </c>
      <c r="B216" s="38" t="s">
        <v>36</v>
      </c>
      <c r="C216" s="9" t="s">
        <v>12</v>
      </c>
      <c r="D216" s="9" t="s">
        <v>13</v>
      </c>
      <c r="E216" s="10"/>
      <c r="F216" s="256" t="s">
        <v>14</v>
      </c>
      <c r="G216" s="257">
        <v>34</v>
      </c>
      <c r="H216" s="257">
        <v>36</v>
      </c>
      <c r="I216" s="257">
        <v>38</v>
      </c>
      <c r="J216" s="257">
        <v>40</v>
      </c>
      <c r="K216" s="257">
        <v>42</v>
      </c>
      <c r="L216" s="257">
        <v>44</v>
      </c>
      <c r="M216" s="257">
        <v>46</v>
      </c>
      <c r="N216" s="257"/>
      <c r="O216" s="258" t="s">
        <v>15</v>
      </c>
      <c r="Q216" s="259" t="s">
        <v>14</v>
      </c>
      <c r="R216" s="259"/>
      <c r="S216" s="259">
        <v>36</v>
      </c>
      <c r="T216" s="259">
        <v>38</v>
      </c>
      <c r="U216" s="259">
        <v>40</v>
      </c>
      <c r="V216" s="259">
        <v>42</v>
      </c>
      <c r="W216" s="259">
        <v>44</v>
      </c>
      <c r="X216" s="259">
        <v>46</v>
      </c>
      <c r="Y216" s="259"/>
      <c r="Z216" s="259" t="s">
        <v>15</v>
      </c>
      <c r="AB216" s="288"/>
      <c r="AC216" s="289"/>
      <c r="AD216" s="289"/>
      <c r="AE216" s="289"/>
      <c r="AF216" s="289"/>
      <c r="AG216" s="289"/>
    </row>
    <row r="217" spans="1:33" ht="15" thickTop="1" thickBot="1">
      <c r="A217" s="323" t="str">
        <f t="shared" ref="A217:A223" si="91">+A216</f>
        <v>4213-00</v>
      </c>
      <c r="B217" s="39" t="s">
        <v>16</v>
      </c>
      <c r="C217" s="39"/>
      <c r="D217" s="39" t="str">
        <f>+B216</f>
        <v>B2868-V3</v>
      </c>
      <c r="E217" s="40"/>
      <c r="F217" s="261" t="s">
        <v>1</v>
      </c>
      <c r="G217" s="261"/>
      <c r="H217" s="262">
        <f>'BASE DATOS'!C27</f>
        <v>15</v>
      </c>
      <c r="I217" s="262">
        <f>'BASE DATOS'!D27</f>
        <v>45</v>
      </c>
      <c r="J217" s="262">
        <f>'BASE DATOS'!E27</f>
        <v>51</v>
      </c>
      <c r="K217" s="262">
        <f>'BASE DATOS'!F27</f>
        <v>50</v>
      </c>
      <c r="L217" s="262">
        <f>'BASE DATOS'!G27</f>
        <v>36</v>
      </c>
      <c r="M217" s="262">
        <f>'BASE DATOS'!H27</f>
        <v>32</v>
      </c>
      <c r="N217" s="262"/>
      <c r="O217" s="263">
        <f t="shared" ref="O217:O223" si="92">SUM(H217:N217)</f>
        <v>229</v>
      </c>
      <c r="Q217" s="264"/>
      <c r="R217" s="264"/>
      <c r="S217" s="264"/>
      <c r="T217" s="264"/>
      <c r="U217" s="264"/>
      <c r="V217" s="264"/>
      <c r="W217" s="264"/>
      <c r="X217" s="264"/>
      <c r="Y217" s="264"/>
      <c r="Z217" s="264">
        <f>SUBTOTAL(9,S217:Y217)</f>
        <v>0</v>
      </c>
      <c r="AB217" s="288"/>
      <c r="AC217" s="289"/>
      <c r="AD217" s="289"/>
      <c r="AE217" s="289"/>
      <c r="AF217" s="289"/>
      <c r="AG217" s="289"/>
    </row>
    <row r="218" spans="1:33" ht="15" thickTop="1" thickBot="1">
      <c r="A218" s="323" t="str">
        <f t="shared" si="91"/>
        <v>4213-00</v>
      </c>
      <c r="B218" s="3">
        <v>45953</v>
      </c>
      <c r="C218" s="4" t="s">
        <v>17</v>
      </c>
      <c r="D218" s="4" t="s">
        <v>51</v>
      </c>
      <c r="E218" s="5" t="s">
        <v>3</v>
      </c>
      <c r="F218" s="265" t="s">
        <v>70</v>
      </c>
      <c r="G218" s="2"/>
      <c r="H218" s="7">
        <v>23</v>
      </c>
      <c r="I218" s="7">
        <v>40</v>
      </c>
      <c r="J218" s="7">
        <v>47</v>
      </c>
      <c r="K218" s="7">
        <v>42</v>
      </c>
      <c r="L218" s="7">
        <v>30</v>
      </c>
      <c r="M218" s="7">
        <v>18</v>
      </c>
      <c r="N218" s="8"/>
      <c r="O218" s="14">
        <f t="shared" si="92"/>
        <v>200</v>
      </c>
      <c r="Q218" s="252" t="s">
        <v>19</v>
      </c>
      <c r="R218" s="266"/>
      <c r="S218" s="266"/>
      <c r="T218" s="266"/>
      <c r="U218" s="266"/>
      <c r="V218" s="266"/>
      <c r="W218" s="266"/>
      <c r="X218" s="266"/>
      <c r="Y218" s="267"/>
      <c r="Z218" s="268">
        <f t="shared" ref="Z218:Z223" si="93">SUM(S218:Y218)</f>
        <v>0</v>
      </c>
      <c r="AB218" s="288"/>
      <c r="AC218" s="289"/>
      <c r="AD218" s="289"/>
      <c r="AE218" s="289"/>
      <c r="AF218" s="289"/>
      <c r="AG218" s="289"/>
    </row>
    <row r="219" spans="1:33" ht="15" thickTop="1" thickBot="1">
      <c r="A219" s="323" t="str">
        <f t="shared" si="91"/>
        <v>4213-00</v>
      </c>
      <c r="B219" s="3"/>
      <c r="C219" s="3"/>
      <c r="D219" s="57" t="s">
        <v>71</v>
      </c>
      <c r="E219" s="5" t="s">
        <v>3</v>
      </c>
      <c r="F219" s="269"/>
      <c r="G219" s="6"/>
      <c r="H219" s="7"/>
      <c r="I219" s="7"/>
      <c r="J219" s="7"/>
      <c r="K219" s="7"/>
      <c r="L219" s="7"/>
      <c r="M219" s="7"/>
      <c r="N219" s="15"/>
      <c r="O219" s="14">
        <f t="shared" si="92"/>
        <v>0</v>
      </c>
      <c r="Q219" s="252" t="s">
        <v>4</v>
      </c>
      <c r="R219" s="266">
        <f>78/19</f>
        <v>4.1052631578947372</v>
      </c>
      <c r="S219" s="266"/>
      <c r="T219" s="266"/>
      <c r="U219" s="266"/>
      <c r="V219" s="266"/>
      <c r="W219" s="266"/>
      <c r="X219" s="266"/>
      <c r="Y219" s="266"/>
      <c r="Z219" s="266">
        <f t="shared" si="93"/>
        <v>0</v>
      </c>
      <c r="AB219" s="288"/>
      <c r="AC219" s="289"/>
      <c r="AD219" s="289"/>
      <c r="AE219" s="289"/>
      <c r="AF219" s="289"/>
      <c r="AG219" s="289"/>
    </row>
    <row r="220" spans="1:33" ht="15" thickTop="1" thickBot="1">
      <c r="A220" s="323" t="str">
        <f t="shared" si="91"/>
        <v>4213-00</v>
      </c>
      <c r="B220" s="3"/>
      <c r="C220" s="3"/>
      <c r="D220" s="57" t="s">
        <v>72</v>
      </c>
      <c r="E220" s="5" t="s">
        <v>3</v>
      </c>
      <c r="F220" s="269"/>
      <c r="G220" s="6"/>
      <c r="H220" s="15"/>
      <c r="I220" s="15"/>
      <c r="J220" s="15"/>
      <c r="K220" s="15"/>
      <c r="L220" s="15"/>
      <c r="M220" s="15"/>
      <c r="N220" s="15"/>
      <c r="O220" s="16">
        <f t="shared" si="92"/>
        <v>0</v>
      </c>
      <c r="Q220" s="252" t="s">
        <v>6</v>
      </c>
      <c r="R220" s="266">
        <f>25/11</f>
        <v>2.2727272727272729</v>
      </c>
      <c r="S220" s="266"/>
      <c r="T220" s="266"/>
      <c r="U220" s="266"/>
      <c r="V220" s="266"/>
      <c r="W220" s="266"/>
      <c r="X220" s="266"/>
      <c r="Y220" s="266"/>
      <c r="Z220" s="266">
        <f t="shared" si="93"/>
        <v>0</v>
      </c>
      <c r="AB220" s="288"/>
      <c r="AC220" s="289"/>
      <c r="AD220" s="289"/>
      <c r="AE220" s="289"/>
      <c r="AF220" s="289"/>
      <c r="AG220" s="289"/>
    </row>
    <row r="221" spans="1:33" ht="15" thickTop="1" thickBot="1">
      <c r="A221" s="323" t="str">
        <f t="shared" si="91"/>
        <v>4213-00</v>
      </c>
      <c r="B221" s="3"/>
      <c r="C221" s="3"/>
      <c r="D221" s="3"/>
      <c r="E221" s="5" t="s">
        <v>3</v>
      </c>
      <c r="F221" s="269"/>
      <c r="G221" s="6"/>
      <c r="H221" s="8"/>
      <c r="I221" s="8"/>
      <c r="J221" s="8"/>
      <c r="K221" s="8"/>
      <c r="L221" s="8"/>
      <c r="M221" s="8"/>
      <c r="N221" s="15"/>
      <c r="O221" s="16">
        <f t="shared" si="92"/>
        <v>0</v>
      </c>
      <c r="Q221" s="266"/>
      <c r="R221" s="266"/>
      <c r="S221" s="266"/>
      <c r="T221" s="266"/>
      <c r="U221" s="266"/>
      <c r="V221" s="266"/>
      <c r="W221" s="266"/>
      <c r="X221" s="266"/>
      <c r="Y221" s="266"/>
      <c r="Z221" s="266">
        <f t="shared" si="93"/>
        <v>0</v>
      </c>
      <c r="AB221" s="288"/>
      <c r="AC221" s="289"/>
      <c r="AD221" s="289"/>
      <c r="AE221" s="289"/>
      <c r="AF221" s="289"/>
      <c r="AG221" s="289"/>
    </row>
    <row r="222" spans="1:33" ht="15" thickTop="1" thickBot="1">
      <c r="A222" s="324" t="str">
        <f t="shared" si="91"/>
        <v>4213-00</v>
      </c>
      <c r="B222" s="19"/>
      <c r="C222" s="19"/>
      <c r="D222" s="19"/>
      <c r="E222" s="20" t="s">
        <v>3</v>
      </c>
      <c r="F222" s="271"/>
      <c r="G222" s="21"/>
      <c r="H222" s="22"/>
      <c r="I222" s="22"/>
      <c r="J222" s="22"/>
      <c r="K222" s="22"/>
      <c r="L222" s="22"/>
      <c r="M222" s="22"/>
      <c r="N222" s="22"/>
      <c r="O222" s="23">
        <f t="shared" si="92"/>
        <v>0</v>
      </c>
      <c r="Q222" s="252" t="s">
        <v>2</v>
      </c>
      <c r="R222" s="272">
        <f>500/10.2</f>
        <v>49.019607843137258</v>
      </c>
      <c r="S222" s="252">
        <f>49*1.2</f>
        <v>58.8</v>
      </c>
      <c r="T222" s="252">
        <f>49*2.1</f>
        <v>102.9</v>
      </c>
      <c r="U222" s="252">
        <f>49*2.4</f>
        <v>117.6</v>
      </c>
      <c r="V222" s="252">
        <f>49*2.4</f>
        <v>117.6</v>
      </c>
      <c r="W222" s="252">
        <f>49*1.5</f>
        <v>73.5</v>
      </c>
      <c r="X222" s="252">
        <f>49*0.9</f>
        <v>44.1</v>
      </c>
      <c r="Y222" s="266"/>
      <c r="Z222" s="266">
        <f t="shared" si="93"/>
        <v>514.5</v>
      </c>
      <c r="AB222" s="288"/>
      <c r="AC222" s="289"/>
      <c r="AD222" s="289"/>
      <c r="AE222" s="289"/>
      <c r="AF222" s="289"/>
      <c r="AG222" s="289"/>
    </row>
    <row r="223" spans="1:33" ht="15" thickTop="1" thickBot="1">
      <c r="A223" s="325" t="str">
        <f t="shared" si="91"/>
        <v>4213-00</v>
      </c>
      <c r="B223" s="47"/>
      <c r="C223" s="47"/>
      <c r="D223" s="47"/>
      <c r="E223" s="48" t="s">
        <v>23</v>
      </c>
      <c r="F223" s="49" t="str">
        <f>+B216</f>
        <v>B2868-V3</v>
      </c>
      <c r="G223" s="48"/>
      <c r="H223" s="48">
        <f>+H217-H218-H219-H220-H222+H221</f>
        <v>-8</v>
      </c>
      <c r="I223" s="48">
        <f>+I217-I218-I219-I220-I222+I221</f>
        <v>5</v>
      </c>
      <c r="J223" s="48">
        <f>+J217-J218-J219-J220-J222-J221</f>
        <v>4</v>
      </c>
      <c r="K223" s="48">
        <f>+K217-K218-K219-K220-K222-K221</f>
        <v>8</v>
      </c>
      <c r="L223" s="48">
        <f>+L217-L218-L219-L220-L222-L221</f>
        <v>6</v>
      </c>
      <c r="M223" s="48">
        <f>+M217-M218-M219-M220-M222-M221</f>
        <v>14</v>
      </c>
      <c r="N223" s="48"/>
      <c r="O223" s="48">
        <f t="shared" si="92"/>
        <v>29</v>
      </c>
      <c r="Q223" s="266"/>
      <c r="R223" s="266"/>
      <c r="S223" s="252">
        <f t="shared" ref="S223:X223" si="94">SUM(S219:S222)</f>
        <v>58.8</v>
      </c>
      <c r="T223" s="252">
        <f t="shared" si="94"/>
        <v>102.9</v>
      </c>
      <c r="U223" s="252">
        <f t="shared" si="94"/>
        <v>117.6</v>
      </c>
      <c r="V223" s="252">
        <f t="shared" si="94"/>
        <v>117.6</v>
      </c>
      <c r="W223" s="252">
        <f t="shared" si="94"/>
        <v>73.5</v>
      </c>
      <c r="X223" s="252">
        <f t="shared" si="94"/>
        <v>44.1</v>
      </c>
      <c r="Y223" s="252"/>
      <c r="Z223" s="252">
        <f t="shared" si="93"/>
        <v>514.5</v>
      </c>
      <c r="AB223" s="288"/>
      <c r="AC223" s="289"/>
      <c r="AD223" s="289"/>
      <c r="AE223" s="289"/>
      <c r="AF223" s="289"/>
      <c r="AG223" s="289"/>
    </row>
    <row r="224" spans="1:33" ht="15" thickTop="1" thickBot="1">
      <c r="A224" s="321" t="s">
        <v>7</v>
      </c>
      <c r="B224" s="43" t="s">
        <v>8</v>
      </c>
      <c r="C224" s="43"/>
      <c r="D224" s="43"/>
      <c r="E224" s="44" t="s">
        <v>9</v>
      </c>
      <c r="F224" s="45"/>
      <c r="G224" s="45"/>
      <c r="H224" s="44"/>
      <c r="I224" s="44"/>
      <c r="J224" s="44"/>
      <c r="K224" s="44"/>
      <c r="L224" s="44"/>
      <c r="M224" s="44"/>
      <c r="N224" s="44"/>
      <c r="O224" s="44"/>
      <c r="AB224" s="288"/>
      <c r="AC224" s="289"/>
      <c r="AD224" s="289"/>
      <c r="AE224" s="289"/>
      <c r="AF224" s="289"/>
      <c r="AG224" s="289"/>
    </row>
    <row r="225" spans="1:33" ht="15" thickTop="1" thickBot="1">
      <c r="A225" s="322" t="s">
        <v>73</v>
      </c>
      <c r="B225" s="38" t="s">
        <v>36</v>
      </c>
      <c r="C225" s="9" t="s">
        <v>12</v>
      </c>
      <c r="D225" s="9" t="s">
        <v>13</v>
      </c>
      <c r="E225" s="10"/>
      <c r="F225" s="256" t="s">
        <v>14</v>
      </c>
      <c r="G225" s="257">
        <v>34</v>
      </c>
      <c r="H225" s="257">
        <v>36</v>
      </c>
      <c r="I225" s="257">
        <v>38</v>
      </c>
      <c r="J225" s="257">
        <v>40</v>
      </c>
      <c r="K225" s="257">
        <v>42</v>
      </c>
      <c r="L225" s="257">
        <v>44</v>
      </c>
      <c r="M225" s="257">
        <v>46</v>
      </c>
      <c r="N225" s="257"/>
      <c r="O225" s="258" t="s">
        <v>15</v>
      </c>
      <c r="Q225" s="259" t="s">
        <v>14</v>
      </c>
      <c r="R225" s="259"/>
      <c r="S225" s="259">
        <v>36</v>
      </c>
      <c r="T225" s="259">
        <v>38</v>
      </c>
      <c r="U225" s="259">
        <v>40</v>
      </c>
      <c r="V225" s="259">
        <v>42</v>
      </c>
      <c r="W225" s="259">
        <v>44</v>
      </c>
      <c r="X225" s="259">
        <v>46</v>
      </c>
      <c r="Y225" s="259"/>
      <c r="Z225" s="259" t="s">
        <v>15</v>
      </c>
      <c r="AB225" s="288"/>
      <c r="AC225" s="289"/>
      <c r="AD225" s="289"/>
      <c r="AE225" s="289"/>
      <c r="AF225" s="289"/>
      <c r="AG225" s="289"/>
    </row>
    <row r="226" spans="1:33" ht="15" thickTop="1" thickBot="1">
      <c r="A226" s="323" t="str">
        <f t="shared" ref="A226:A232" si="95">+A225</f>
        <v>4213-01</v>
      </c>
      <c r="B226" s="39" t="s">
        <v>16</v>
      </c>
      <c r="C226" s="39"/>
      <c r="D226" s="39" t="str">
        <f>+B225</f>
        <v>B2868-V3</v>
      </c>
      <c r="E226" s="40"/>
      <c r="F226" s="261" t="s">
        <v>1</v>
      </c>
      <c r="G226" s="261"/>
      <c r="H226" s="262">
        <f>'BASE DATOS'!C28</f>
        <v>31</v>
      </c>
      <c r="I226" s="262">
        <f>'BASE DATOS'!D28</f>
        <v>57</v>
      </c>
      <c r="J226" s="262">
        <f>'BASE DATOS'!E28</f>
        <v>64</v>
      </c>
      <c r="K226" s="262">
        <f>'BASE DATOS'!F28</f>
        <v>59</v>
      </c>
      <c r="L226" s="262">
        <f>'BASE DATOS'!G28</f>
        <v>40</v>
      </c>
      <c r="M226" s="262">
        <f>'BASE DATOS'!H28</f>
        <v>31</v>
      </c>
      <c r="N226" s="262"/>
      <c r="O226" s="263">
        <f t="shared" ref="O226:O232" si="96">SUM(H226:N226)</f>
        <v>282</v>
      </c>
      <c r="Q226" s="264"/>
      <c r="R226" s="264"/>
      <c r="S226" s="264"/>
      <c r="T226" s="264"/>
      <c r="U226" s="264"/>
      <c r="V226" s="264"/>
      <c r="W226" s="264"/>
      <c r="X226" s="264"/>
      <c r="Y226" s="264"/>
      <c r="Z226" s="264">
        <f>SUBTOTAL(9,S226:Y226)</f>
        <v>0</v>
      </c>
      <c r="AB226" s="288"/>
      <c r="AC226" s="289"/>
      <c r="AD226" s="289"/>
      <c r="AE226" s="289"/>
      <c r="AF226" s="289"/>
      <c r="AG226" s="289"/>
    </row>
    <row r="227" spans="1:33" ht="15" thickTop="1" thickBot="1">
      <c r="A227" s="323" t="str">
        <f t="shared" si="95"/>
        <v>4213-01</v>
      </c>
      <c r="B227" s="3">
        <v>46006</v>
      </c>
      <c r="C227" s="4" t="s">
        <v>17</v>
      </c>
      <c r="D227" s="4" t="s">
        <v>51</v>
      </c>
      <c r="E227" s="5" t="s">
        <v>3</v>
      </c>
      <c r="F227" s="265" t="s">
        <v>70</v>
      </c>
      <c r="G227" s="2"/>
      <c r="H227" s="7">
        <v>34</v>
      </c>
      <c r="I227" s="7">
        <v>60</v>
      </c>
      <c r="J227" s="7">
        <v>71</v>
      </c>
      <c r="K227" s="7">
        <v>62</v>
      </c>
      <c r="L227" s="7">
        <v>46</v>
      </c>
      <c r="M227" s="7">
        <v>27</v>
      </c>
      <c r="N227" s="8"/>
      <c r="O227" s="14">
        <f t="shared" si="96"/>
        <v>300</v>
      </c>
      <c r="Q227" s="252" t="s">
        <v>19</v>
      </c>
      <c r="R227" s="266"/>
      <c r="S227" s="266"/>
      <c r="T227" s="266"/>
      <c r="U227" s="266"/>
      <c r="V227" s="266"/>
      <c r="W227" s="266"/>
      <c r="X227" s="266"/>
      <c r="Y227" s="267"/>
      <c r="Z227" s="268">
        <f t="shared" ref="Z227:Z232" si="97">SUM(S227:Y227)</f>
        <v>0</v>
      </c>
      <c r="AB227" s="288"/>
      <c r="AC227" s="289"/>
      <c r="AD227" s="289"/>
      <c r="AE227" s="289"/>
      <c r="AF227" s="289"/>
      <c r="AG227" s="289"/>
    </row>
    <row r="228" spans="1:33" ht="15" thickTop="1" thickBot="1">
      <c r="A228" s="323" t="str">
        <f t="shared" si="95"/>
        <v>4213-01</v>
      </c>
      <c r="B228" s="3">
        <v>45953</v>
      </c>
      <c r="C228" s="3"/>
      <c r="D228" s="57" t="s">
        <v>71</v>
      </c>
      <c r="E228" s="5" t="s">
        <v>3</v>
      </c>
      <c r="F228" s="269"/>
      <c r="G228" s="6"/>
      <c r="H228" s="7"/>
      <c r="I228" s="7"/>
      <c r="J228" s="7"/>
      <c r="K228" s="7"/>
      <c r="L228" s="7"/>
      <c r="M228" s="7"/>
      <c r="N228" s="15"/>
      <c r="O228" s="14">
        <f t="shared" si="96"/>
        <v>0</v>
      </c>
      <c r="Q228" s="252" t="s">
        <v>4</v>
      </c>
      <c r="R228" s="266">
        <f>78/19</f>
        <v>4.1052631578947372</v>
      </c>
      <c r="S228" s="266"/>
      <c r="T228" s="266"/>
      <c r="U228" s="266"/>
      <c r="V228" s="266"/>
      <c r="W228" s="266"/>
      <c r="X228" s="266"/>
      <c r="Y228" s="266"/>
      <c r="Z228" s="266">
        <f t="shared" si="97"/>
        <v>0</v>
      </c>
      <c r="AB228" s="288"/>
      <c r="AC228" s="289"/>
      <c r="AD228" s="289"/>
      <c r="AE228" s="289"/>
      <c r="AF228" s="289"/>
      <c r="AG228" s="289"/>
    </row>
    <row r="229" spans="1:33" ht="15" thickTop="1" thickBot="1">
      <c r="A229" s="323" t="str">
        <f t="shared" si="95"/>
        <v>4213-01</v>
      </c>
      <c r="B229" s="3"/>
      <c r="C229" s="3"/>
      <c r="D229" s="57" t="s">
        <v>74</v>
      </c>
      <c r="E229" s="5" t="s">
        <v>3</v>
      </c>
      <c r="F229" s="269"/>
      <c r="G229" s="6"/>
      <c r="H229" s="15"/>
      <c r="I229" s="15"/>
      <c r="J229" s="15"/>
      <c r="K229" s="15"/>
      <c r="L229" s="15"/>
      <c r="M229" s="15"/>
      <c r="N229" s="15"/>
      <c r="O229" s="16">
        <f t="shared" si="96"/>
        <v>0</v>
      </c>
      <c r="Q229" s="252" t="s">
        <v>6</v>
      </c>
      <c r="R229" s="266">
        <f>25/11</f>
        <v>2.2727272727272729</v>
      </c>
      <c r="S229" s="266"/>
      <c r="T229" s="266"/>
      <c r="U229" s="266"/>
      <c r="V229" s="266"/>
      <c r="W229" s="266"/>
      <c r="X229" s="266"/>
      <c r="Y229" s="266"/>
      <c r="Z229" s="266">
        <f t="shared" si="97"/>
        <v>0</v>
      </c>
      <c r="AB229" s="288"/>
      <c r="AC229" s="289"/>
      <c r="AD229" s="289"/>
      <c r="AE229" s="289"/>
      <c r="AF229" s="289"/>
      <c r="AG229" s="289"/>
    </row>
    <row r="230" spans="1:33" ht="15" thickTop="1" thickBot="1">
      <c r="A230" s="323" t="str">
        <f t="shared" si="95"/>
        <v>4213-01</v>
      </c>
      <c r="B230" s="3"/>
      <c r="C230" s="3"/>
      <c r="D230" s="3"/>
      <c r="E230" s="5" t="s">
        <v>3</v>
      </c>
      <c r="F230" s="269"/>
      <c r="G230" s="6"/>
      <c r="H230" s="8"/>
      <c r="I230" s="8"/>
      <c r="J230" s="8"/>
      <c r="K230" s="8"/>
      <c r="L230" s="8"/>
      <c r="M230" s="8"/>
      <c r="N230" s="15"/>
      <c r="O230" s="16">
        <f t="shared" si="96"/>
        <v>0</v>
      </c>
      <c r="Q230" s="266"/>
      <c r="R230" s="266"/>
      <c r="S230" s="266"/>
      <c r="T230" s="266"/>
      <c r="U230" s="266"/>
      <c r="V230" s="266"/>
      <c r="W230" s="266"/>
      <c r="X230" s="266"/>
      <c r="Y230" s="266"/>
      <c r="Z230" s="266">
        <f t="shared" si="97"/>
        <v>0</v>
      </c>
      <c r="AB230" s="288"/>
      <c r="AC230" s="289"/>
      <c r="AD230" s="289"/>
      <c r="AE230" s="289"/>
      <c r="AF230" s="289"/>
      <c r="AG230" s="289"/>
    </row>
    <row r="231" spans="1:33" ht="15" thickTop="1" thickBot="1">
      <c r="A231" s="324" t="str">
        <f t="shared" si="95"/>
        <v>4213-01</v>
      </c>
      <c r="B231" s="19"/>
      <c r="C231" s="19"/>
      <c r="D231" s="19"/>
      <c r="E231" s="20" t="s">
        <v>3</v>
      </c>
      <c r="F231" s="271"/>
      <c r="G231" s="21"/>
      <c r="H231" s="22"/>
      <c r="I231" s="22"/>
      <c r="J231" s="22"/>
      <c r="K231" s="22"/>
      <c r="L231" s="22"/>
      <c r="M231" s="22"/>
      <c r="N231" s="22"/>
      <c r="O231" s="23">
        <f t="shared" si="96"/>
        <v>0</v>
      </c>
      <c r="Q231" s="252" t="s">
        <v>2</v>
      </c>
      <c r="R231" s="272">
        <f>500/10.2</f>
        <v>49.019607843137258</v>
      </c>
      <c r="S231" s="252">
        <f>49*1.2</f>
        <v>58.8</v>
      </c>
      <c r="T231" s="252">
        <f>49*2.1</f>
        <v>102.9</v>
      </c>
      <c r="U231" s="252">
        <f>49*2.4</f>
        <v>117.6</v>
      </c>
      <c r="V231" s="252">
        <f>49*2.4</f>
        <v>117.6</v>
      </c>
      <c r="W231" s="252">
        <f>49*1.5</f>
        <v>73.5</v>
      </c>
      <c r="X231" s="252">
        <f>49*0.9</f>
        <v>44.1</v>
      </c>
      <c r="Y231" s="266"/>
      <c r="Z231" s="266">
        <f t="shared" si="97"/>
        <v>514.5</v>
      </c>
      <c r="AB231" s="288"/>
      <c r="AC231" s="289"/>
      <c r="AD231" s="289"/>
      <c r="AE231" s="289"/>
      <c r="AF231" s="289"/>
      <c r="AG231" s="289"/>
    </row>
    <row r="232" spans="1:33" ht="15" thickTop="1" thickBot="1">
      <c r="A232" s="325" t="str">
        <f t="shared" si="95"/>
        <v>4213-01</v>
      </c>
      <c r="B232" s="47"/>
      <c r="C232" s="47"/>
      <c r="D232" s="47"/>
      <c r="E232" s="48" t="s">
        <v>23</v>
      </c>
      <c r="F232" s="49" t="str">
        <f>+B225</f>
        <v>B2868-V3</v>
      </c>
      <c r="G232" s="48"/>
      <c r="H232" s="48">
        <f>+H226-H227-H228-H229-H231+H230</f>
        <v>-3</v>
      </c>
      <c r="I232" s="48">
        <f>+I226-I227-I228-I229-I231+I230</f>
        <v>-3</v>
      </c>
      <c r="J232" s="48">
        <f>+J226-J227-J228-J229-J231-J230</f>
        <v>-7</v>
      </c>
      <c r="K232" s="48">
        <f>+K226-K227-K228-K229-K231-K230</f>
        <v>-3</v>
      </c>
      <c r="L232" s="48">
        <f>+L226-L227-L228-L229-L231-L230</f>
        <v>-6</v>
      </c>
      <c r="M232" s="48">
        <f>+M226-M227-M228-M229-M231-M230</f>
        <v>4</v>
      </c>
      <c r="N232" s="48"/>
      <c r="O232" s="48">
        <f t="shared" si="96"/>
        <v>-18</v>
      </c>
      <c r="Q232" s="266"/>
      <c r="R232" s="266"/>
      <c r="S232" s="252">
        <f t="shared" ref="S232:X232" si="98">SUM(S228:S231)</f>
        <v>58.8</v>
      </c>
      <c r="T232" s="252">
        <f t="shared" si="98"/>
        <v>102.9</v>
      </c>
      <c r="U232" s="252">
        <f t="shared" si="98"/>
        <v>117.6</v>
      </c>
      <c r="V232" s="252">
        <f t="shared" si="98"/>
        <v>117.6</v>
      </c>
      <c r="W232" s="252">
        <f t="shared" si="98"/>
        <v>73.5</v>
      </c>
      <c r="X232" s="252">
        <f t="shared" si="98"/>
        <v>44.1</v>
      </c>
      <c r="Y232" s="252"/>
      <c r="Z232" s="252">
        <f t="shared" si="97"/>
        <v>514.5</v>
      </c>
      <c r="AB232" s="288"/>
      <c r="AC232" s="289"/>
      <c r="AD232" s="289"/>
      <c r="AE232" s="289"/>
      <c r="AF232" s="289"/>
      <c r="AG232" s="289"/>
    </row>
    <row r="233" spans="1:33" ht="15" thickTop="1" thickBot="1">
      <c r="A233" s="321" t="s">
        <v>7</v>
      </c>
      <c r="B233" s="43" t="s">
        <v>8</v>
      </c>
      <c r="C233" s="43"/>
      <c r="D233" s="43"/>
      <c r="E233" s="44" t="s">
        <v>9</v>
      </c>
      <c r="F233" s="45"/>
      <c r="G233" s="45"/>
      <c r="H233" s="44"/>
      <c r="I233" s="44"/>
      <c r="J233" s="44"/>
      <c r="K233" s="44"/>
      <c r="L233" s="44"/>
      <c r="M233" s="44"/>
      <c r="N233" s="44"/>
      <c r="O233" s="44"/>
      <c r="AB233" s="288"/>
      <c r="AC233" s="289"/>
      <c r="AD233" s="289"/>
      <c r="AE233" s="289"/>
      <c r="AF233" s="289"/>
      <c r="AG233" s="289"/>
    </row>
    <row r="234" spans="1:33" ht="15" thickTop="1" thickBot="1">
      <c r="A234" s="322" t="s">
        <v>75</v>
      </c>
      <c r="B234" s="38" t="s">
        <v>36</v>
      </c>
      <c r="C234" s="9" t="s">
        <v>12</v>
      </c>
      <c r="D234" s="9" t="s">
        <v>13</v>
      </c>
      <c r="E234" s="10"/>
      <c r="F234" s="256" t="s">
        <v>14</v>
      </c>
      <c r="G234" s="257">
        <v>34</v>
      </c>
      <c r="H234" s="257">
        <v>36</v>
      </c>
      <c r="I234" s="257">
        <v>38</v>
      </c>
      <c r="J234" s="257">
        <v>40</v>
      </c>
      <c r="K234" s="257">
        <v>42</v>
      </c>
      <c r="L234" s="257">
        <v>44</v>
      </c>
      <c r="M234" s="257">
        <v>46</v>
      </c>
      <c r="N234" s="257"/>
      <c r="O234" s="258" t="s">
        <v>15</v>
      </c>
      <c r="Q234" s="259" t="s">
        <v>14</v>
      </c>
      <c r="R234" s="259"/>
      <c r="S234" s="259">
        <v>36</v>
      </c>
      <c r="T234" s="259">
        <v>38</v>
      </c>
      <c r="U234" s="259">
        <v>40</v>
      </c>
      <c r="V234" s="259">
        <v>42</v>
      </c>
      <c r="W234" s="259">
        <v>44</v>
      </c>
      <c r="X234" s="259">
        <v>46</v>
      </c>
      <c r="Y234" s="259"/>
      <c r="Z234" s="259" t="s">
        <v>15</v>
      </c>
      <c r="AB234" s="288"/>
      <c r="AC234" s="289"/>
      <c r="AD234" s="289"/>
      <c r="AE234" s="289"/>
      <c r="AF234" s="289"/>
      <c r="AG234" s="289"/>
    </row>
    <row r="235" spans="1:33" ht="15" thickTop="1" thickBot="1">
      <c r="A235" s="323" t="str">
        <f t="shared" ref="A235:A241" si="99">+A234</f>
        <v>4213-02</v>
      </c>
      <c r="B235" s="39" t="s">
        <v>16</v>
      </c>
      <c r="C235" s="39"/>
      <c r="D235" s="39" t="str">
        <f>+B234</f>
        <v>B2868-V3</v>
      </c>
      <c r="E235" s="40"/>
      <c r="F235" s="261" t="s">
        <v>1</v>
      </c>
      <c r="G235" s="261"/>
      <c r="H235" s="262">
        <f>'BASE DATOS'!C29</f>
        <v>2</v>
      </c>
      <c r="I235" s="262">
        <f>'BASE DATOS'!D29</f>
        <v>3</v>
      </c>
      <c r="J235" s="262">
        <f>'BASE DATOS'!E29</f>
        <v>3</v>
      </c>
      <c r="K235" s="262">
        <f>'BASE DATOS'!F29</f>
        <v>3</v>
      </c>
      <c r="L235" s="262">
        <f>'BASE DATOS'!G29</f>
        <v>2</v>
      </c>
      <c r="M235" s="262">
        <f>'BASE DATOS'!H29</f>
        <v>2</v>
      </c>
      <c r="N235" s="262"/>
      <c r="O235" s="263">
        <f t="shared" ref="O235:O241" si="100">SUM(H235:N235)</f>
        <v>15</v>
      </c>
      <c r="Q235" s="264"/>
      <c r="R235" s="264"/>
      <c r="S235" s="264"/>
      <c r="T235" s="264"/>
      <c r="U235" s="264"/>
      <c r="V235" s="264"/>
      <c r="W235" s="264"/>
      <c r="X235" s="264"/>
      <c r="Y235" s="264"/>
      <c r="Z235" s="264">
        <f>SUBTOTAL(9,S235:Y235)</f>
        <v>0</v>
      </c>
      <c r="AB235" s="288"/>
      <c r="AC235" s="289"/>
      <c r="AD235" s="289"/>
      <c r="AE235" s="289"/>
      <c r="AF235" s="289"/>
      <c r="AG235" s="289"/>
    </row>
    <row r="236" spans="1:33" ht="15" thickTop="1" thickBot="1">
      <c r="A236" s="323" t="str">
        <f t="shared" si="99"/>
        <v>4213-02</v>
      </c>
      <c r="B236" s="3"/>
      <c r="C236" s="4" t="s">
        <v>17</v>
      </c>
      <c r="D236" s="4" t="s">
        <v>51</v>
      </c>
      <c r="E236" s="5" t="s">
        <v>3</v>
      </c>
      <c r="F236" s="265"/>
      <c r="G236" s="2"/>
      <c r="H236" s="7"/>
      <c r="I236" s="7"/>
      <c r="J236" s="7"/>
      <c r="K236" s="7"/>
      <c r="L236" s="7"/>
      <c r="M236" s="7"/>
      <c r="N236" s="8"/>
      <c r="O236" s="14">
        <f t="shared" si="100"/>
        <v>0</v>
      </c>
      <c r="Q236" s="252" t="s">
        <v>19</v>
      </c>
      <c r="R236" s="266"/>
      <c r="S236" s="266"/>
      <c r="T236" s="266"/>
      <c r="U236" s="266"/>
      <c r="V236" s="266"/>
      <c r="W236" s="266"/>
      <c r="X236" s="266"/>
      <c r="Y236" s="267"/>
      <c r="Z236" s="268">
        <f t="shared" ref="Z236:Z241" si="101">SUM(S236:Y236)</f>
        <v>0</v>
      </c>
      <c r="AB236" s="288"/>
      <c r="AC236" s="289"/>
      <c r="AD236" s="289"/>
      <c r="AE236" s="289"/>
      <c r="AF236" s="289"/>
      <c r="AG236" s="289"/>
    </row>
    <row r="237" spans="1:33" ht="15" thickTop="1" thickBot="1">
      <c r="A237" s="323" t="str">
        <f t="shared" si="99"/>
        <v>4213-02</v>
      </c>
      <c r="B237" s="3"/>
      <c r="C237" s="3"/>
      <c r="D237" s="57" t="s">
        <v>71</v>
      </c>
      <c r="E237" s="5" t="s">
        <v>3</v>
      </c>
      <c r="F237" s="269"/>
      <c r="G237" s="6"/>
      <c r="H237" s="7"/>
      <c r="I237" s="7"/>
      <c r="J237" s="7"/>
      <c r="K237" s="7"/>
      <c r="L237" s="7"/>
      <c r="M237" s="7"/>
      <c r="N237" s="15"/>
      <c r="O237" s="14">
        <f t="shared" si="100"/>
        <v>0</v>
      </c>
      <c r="Q237" s="252" t="s">
        <v>4</v>
      </c>
      <c r="R237" s="266">
        <f>78/19</f>
        <v>4.1052631578947372</v>
      </c>
      <c r="S237" s="266"/>
      <c r="T237" s="266"/>
      <c r="U237" s="266"/>
      <c r="V237" s="266"/>
      <c r="W237" s="266"/>
      <c r="X237" s="266"/>
      <c r="Y237" s="266"/>
      <c r="Z237" s="266">
        <f t="shared" si="101"/>
        <v>0</v>
      </c>
      <c r="AB237" s="288"/>
      <c r="AC237" s="289"/>
      <c r="AD237" s="289"/>
      <c r="AE237" s="289"/>
      <c r="AF237" s="289"/>
      <c r="AG237" s="289"/>
    </row>
    <row r="238" spans="1:33" ht="15" thickTop="1" thickBot="1">
      <c r="A238" s="323" t="str">
        <f t="shared" si="99"/>
        <v>4213-02</v>
      </c>
      <c r="B238" s="3"/>
      <c r="C238" s="3"/>
      <c r="D238" s="326" t="s">
        <v>76</v>
      </c>
      <c r="E238" s="5" t="s">
        <v>3</v>
      </c>
      <c r="F238" s="269"/>
      <c r="G238" s="6"/>
      <c r="H238" s="15"/>
      <c r="I238" s="15"/>
      <c r="J238" s="15"/>
      <c r="K238" s="15"/>
      <c r="L238" s="15"/>
      <c r="M238" s="15"/>
      <c r="N238" s="15"/>
      <c r="O238" s="16">
        <f t="shared" si="100"/>
        <v>0</v>
      </c>
      <c r="Q238" s="252" t="s">
        <v>6</v>
      </c>
      <c r="R238" s="266">
        <f>25/11</f>
        <v>2.2727272727272729</v>
      </c>
      <c r="S238" s="266"/>
      <c r="T238" s="266"/>
      <c r="U238" s="266"/>
      <c r="V238" s="266"/>
      <c r="W238" s="266"/>
      <c r="X238" s="266"/>
      <c r="Y238" s="266"/>
      <c r="Z238" s="266">
        <f t="shared" si="101"/>
        <v>0</v>
      </c>
      <c r="AB238" s="288"/>
      <c r="AC238" s="289"/>
      <c r="AD238" s="289"/>
      <c r="AE238" s="289"/>
      <c r="AF238" s="289"/>
      <c r="AG238" s="289"/>
    </row>
    <row r="239" spans="1:33" ht="15" thickTop="1" thickBot="1">
      <c r="A239" s="323" t="str">
        <f t="shared" si="99"/>
        <v>4213-02</v>
      </c>
      <c r="B239" s="3"/>
      <c r="C239" s="3"/>
      <c r="D239" s="3"/>
      <c r="E239" s="5" t="s">
        <v>3</v>
      </c>
      <c r="F239" s="269"/>
      <c r="G239" s="6"/>
      <c r="H239" s="8"/>
      <c r="I239" s="8"/>
      <c r="J239" s="8"/>
      <c r="K239" s="8"/>
      <c r="L239" s="8"/>
      <c r="M239" s="8"/>
      <c r="N239" s="15"/>
      <c r="O239" s="16">
        <f t="shared" si="100"/>
        <v>0</v>
      </c>
      <c r="Q239" s="266"/>
      <c r="R239" s="266"/>
      <c r="S239" s="266"/>
      <c r="T239" s="266"/>
      <c r="U239" s="266"/>
      <c r="V239" s="266"/>
      <c r="W239" s="266"/>
      <c r="X239" s="266"/>
      <c r="Y239" s="266"/>
      <c r="Z239" s="266">
        <f t="shared" si="101"/>
        <v>0</v>
      </c>
      <c r="AB239" s="288"/>
      <c r="AC239" s="289"/>
      <c r="AD239" s="289"/>
      <c r="AE239" s="289"/>
      <c r="AF239" s="289"/>
      <c r="AG239" s="289"/>
    </row>
    <row r="240" spans="1:33" ht="15" thickTop="1" thickBot="1">
      <c r="A240" s="324" t="str">
        <f t="shared" si="99"/>
        <v>4213-02</v>
      </c>
      <c r="B240" s="19"/>
      <c r="C240" s="19"/>
      <c r="D240" s="19"/>
      <c r="E240" s="20" t="s">
        <v>3</v>
      </c>
      <c r="F240" s="271"/>
      <c r="G240" s="21"/>
      <c r="H240" s="22"/>
      <c r="I240" s="22"/>
      <c r="J240" s="22"/>
      <c r="K240" s="22"/>
      <c r="L240" s="22"/>
      <c r="M240" s="22"/>
      <c r="N240" s="22"/>
      <c r="O240" s="23">
        <f t="shared" si="100"/>
        <v>0</v>
      </c>
      <c r="Q240" s="252" t="s">
        <v>2</v>
      </c>
      <c r="R240" s="272">
        <f>500/10.2</f>
        <v>49.019607843137258</v>
      </c>
      <c r="S240" s="252">
        <f>49*1.2</f>
        <v>58.8</v>
      </c>
      <c r="T240" s="252">
        <f>49*2.1</f>
        <v>102.9</v>
      </c>
      <c r="U240" s="252">
        <f>49*2.4</f>
        <v>117.6</v>
      </c>
      <c r="V240" s="252">
        <f>49*2.4</f>
        <v>117.6</v>
      </c>
      <c r="W240" s="252">
        <f>49*1.5</f>
        <v>73.5</v>
      </c>
      <c r="X240" s="252">
        <f>49*0.9</f>
        <v>44.1</v>
      </c>
      <c r="Y240" s="266"/>
      <c r="Z240" s="266">
        <f t="shared" si="101"/>
        <v>514.5</v>
      </c>
      <c r="AB240" s="288"/>
      <c r="AC240" s="289"/>
      <c r="AD240" s="289"/>
      <c r="AE240" s="289"/>
      <c r="AF240" s="289"/>
      <c r="AG240" s="289"/>
    </row>
    <row r="241" spans="1:37" ht="15" thickTop="1" thickBot="1">
      <c r="A241" s="325" t="str">
        <f t="shared" si="99"/>
        <v>4213-02</v>
      </c>
      <c r="B241" s="47"/>
      <c r="C241" s="47"/>
      <c r="D241" s="47"/>
      <c r="E241" s="48" t="s">
        <v>23</v>
      </c>
      <c r="F241" s="49" t="str">
        <f>+B234</f>
        <v>B2868-V3</v>
      </c>
      <c r="G241" s="48"/>
      <c r="H241" s="48">
        <f>+H235-H236-H237-H238-H240+H239</f>
        <v>2</v>
      </c>
      <c r="I241" s="48">
        <f>+I235-I236-I237-I238-I240+I239</f>
        <v>3</v>
      </c>
      <c r="J241" s="48">
        <f>+J235-J236-J237-J238-J240-J239</f>
        <v>3</v>
      </c>
      <c r="K241" s="48">
        <f>+K235-K236-K237-K238-K240-K239</f>
        <v>3</v>
      </c>
      <c r="L241" s="48">
        <f>+L235-L236-L237-L238-L240-L239</f>
        <v>2</v>
      </c>
      <c r="M241" s="48">
        <f>+M235-M236-M237-M238-M240-M239</f>
        <v>2</v>
      </c>
      <c r="N241" s="48"/>
      <c r="O241" s="48">
        <f t="shared" si="100"/>
        <v>15</v>
      </c>
      <c r="Q241" s="266"/>
      <c r="R241" s="266"/>
      <c r="S241" s="252">
        <f t="shared" ref="S241:X241" si="102">SUM(S237:S240)</f>
        <v>58.8</v>
      </c>
      <c r="T241" s="252">
        <f t="shared" si="102"/>
        <v>102.9</v>
      </c>
      <c r="U241" s="252">
        <f t="shared" si="102"/>
        <v>117.6</v>
      </c>
      <c r="V241" s="252">
        <f t="shared" si="102"/>
        <v>117.6</v>
      </c>
      <c r="W241" s="252">
        <f t="shared" si="102"/>
        <v>73.5</v>
      </c>
      <c r="X241" s="252">
        <f t="shared" si="102"/>
        <v>44.1</v>
      </c>
      <c r="Y241" s="252"/>
      <c r="Z241" s="252">
        <f t="shared" si="101"/>
        <v>514.5</v>
      </c>
      <c r="AB241" s="288"/>
      <c r="AC241" s="289"/>
      <c r="AD241" s="289"/>
      <c r="AE241" s="289"/>
      <c r="AF241" s="289"/>
      <c r="AG241" s="289"/>
    </row>
    <row r="242" spans="1:37" ht="15" thickTop="1" thickBot="1">
      <c r="A242" s="327" t="s">
        <v>7</v>
      </c>
      <c r="B242" s="43" t="s">
        <v>8</v>
      </c>
      <c r="C242" s="43"/>
      <c r="D242" s="43"/>
      <c r="E242" s="44" t="s">
        <v>9</v>
      </c>
      <c r="F242" s="45"/>
      <c r="G242" s="45"/>
      <c r="H242" s="44"/>
      <c r="I242" s="44"/>
      <c r="J242" s="44"/>
      <c r="K242" s="44"/>
      <c r="L242" s="44"/>
      <c r="M242" s="44"/>
      <c r="N242" s="44"/>
      <c r="O242" s="44"/>
      <c r="AB242" s="288"/>
      <c r="AC242" s="289"/>
      <c r="AD242" s="289"/>
      <c r="AE242" s="289"/>
      <c r="AF242" s="289"/>
      <c r="AG242" s="289"/>
    </row>
    <row r="243" spans="1:37" ht="15" thickTop="1" thickBot="1">
      <c r="A243" s="328" t="s">
        <v>77</v>
      </c>
      <c r="B243" s="38" t="s">
        <v>36</v>
      </c>
      <c r="C243" s="9" t="s">
        <v>12</v>
      </c>
      <c r="D243" s="9" t="s">
        <v>13</v>
      </c>
      <c r="E243" s="10"/>
      <c r="F243" s="256" t="s">
        <v>14</v>
      </c>
      <c r="G243" s="257">
        <v>34</v>
      </c>
      <c r="H243" s="257">
        <v>36</v>
      </c>
      <c r="I243" s="257">
        <v>38</v>
      </c>
      <c r="J243" s="257">
        <v>40</v>
      </c>
      <c r="K243" s="257">
        <v>42</v>
      </c>
      <c r="L243" s="257">
        <v>44</v>
      </c>
      <c r="M243" s="257">
        <v>46</v>
      </c>
      <c r="N243" s="257"/>
      <c r="O243" s="258" t="s">
        <v>15</v>
      </c>
      <c r="Q243" s="259" t="s">
        <v>14</v>
      </c>
      <c r="R243" s="259"/>
      <c r="S243" s="259">
        <v>36</v>
      </c>
      <c r="T243" s="259">
        <v>38</v>
      </c>
      <c r="U243" s="259">
        <v>40</v>
      </c>
      <c r="V243" s="259">
        <v>42</v>
      </c>
      <c r="W243" s="259">
        <v>44</v>
      </c>
      <c r="X243" s="259">
        <v>46</v>
      </c>
      <c r="Y243" s="259"/>
      <c r="Z243" s="259" t="s">
        <v>15</v>
      </c>
      <c r="AB243" s="288"/>
      <c r="AC243" s="275" t="s">
        <v>3</v>
      </c>
      <c r="AD243" s="276">
        <v>46070</v>
      </c>
      <c r="AE243" s="275">
        <v>36</v>
      </c>
      <c r="AF243" s="275">
        <v>38</v>
      </c>
      <c r="AG243" s="275">
        <v>40</v>
      </c>
      <c r="AH243" s="275">
        <v>42</v>
      </c>
      <c r="AI243" s="277">
        <v>44</v>
      </c>
      <c r="AJ243" s="277">
        <v>46</v>
      </c>
      <c r="AK243" s="277" t="s">
        <v>28</v>
      </c>
    </row>
    <row r="244" spans="1:37" ht="15" thickTop="1" thickBot="1">
      <c r="A244" s="329" t="str">
        <f t="shared" ref="A244:A250" si="103">+A243</f>
        <v>4214-00</v>
      </c>
      <c r="B244" s="39" t="s">
        <v>16</v>
      </c>
      <c r="C244" s="39"/>
      <c r="D244" s="39" t="str">
        <f>+B243</f>
        <v>B2868-V3</v>
      </c>
      <c r="E244" s="40"/>
      <c r="F244" s="261" t="s">
        <v>1</v>
      </c>
      <c r="G244" s="261"/>
      <c r="H244" s="262">
        <f>'BASE DATOS'!C30</f>
        <v>58</v>
      </c>
      <c r="I244" s="262">
        <f>'BASE DATOS'!D30</f>
        <v>127</v>
      </c>
      <c r="J244" s="262">
        <f>'BASE DATOS'!E30</f>
        <v>133</v>
      </c>
      <c r="K244" s="262">
        <f>'BASE DATOS'!F30</f>
        <v>131</v>
      </c>
      <c r="L244" s="262">
        <f>'BASE DATOS'!G30</f>
        <v>84</v>
      </c>
      <c r="M244" s="262">
        <f>'BASE DATOS'!H30</f>
        <v>69</v>
      </c>
      <c r="N244" s="262"/>
      <c r="O244" s="263">
        <f t="shared" ref="O244:O250" si="104">SUM(H244:N244)</f>
        <v>602</v>
      </c>
      <c r="Q244" s="264"/>
      <c r="R244" s="264"/>
      <c r="S244" s="264"/>
      <c r="T244" s="264"/>
      <c r="U244" s="264"/>
      <c r="V244" s="264"/>
      <c r="W244" s="264"/>
      <c r="X244" s="264"/>
      <c r="Y244" s="264"/>
      <c r="Z244" s="264">
        <f>SUBTOTAL(9,S244:Y244)</f>
        <v>0</v>
      </c>
      <c r="AB244" s="288"/>
      <c r="AC244" s="279" t="s">
        <v>29</v>
      </c>
      <c r="AD244" s="275">
        <v>11559</v>
      </c>
      <c r="AE244" s="279">
        <f>+H247+H255+H264+H273+H248</f>
        <v>28</v>
      </c>
      <c r="AF244" s="279">
        <f>+I247+I255+I264+I273</f>
        <v>100</v>
      </c>
      <c r="AG244" s="279">
        <f>+J247+J255+J264+J273</f>
        <v>110</v>
      </c>
      <c r="AH244" s="279">
        <f>+K247+K255+K264+K273</f>
        <v>100</v>
      </c>
      <c r="AI244" s="279">
        <f>+L247+L255+L264+L273</f>
        <v>78</v>
      </c>
      <c r="AJ244" s="279">
        <f>+M247+M255+M264+M273</f>
        <v>84</v>
      </c>
      <c r="AK244" s="279">
        <f>SUM(AE244:AJ244)</f>
        <v>500</v>
      </c>
    </row>
    <row r="245" spans="1:37" ht="15" thickTop="1" thickBot="1">
      <c r="A245" s="329" t="str">
        <f t="shared" si="103"/>
        <v>4214-00</v>
      </c>
      <c r="B245" s="3">
        <v>46006</v>
      </c>
      <c r="C245" s="4" t="s">
        <v>17</v>
      </c>
      <c r="D245" s="4" t="s">
        <v>51</v>
      </c>
      <c r="E245" s="5" t="s">
        <v>3</v>
      </c>
      <c r="F245" s="265">
        <v>11541</v>
      </c>
      <c r="G245" s="2"/>
      <c r="H245" s="7">
        <f>78-H254-H263-H272</f>
        <v>62</v>
      </c>
      <c r="I245" s="7">
        <f>119-I254-I263-I272</f>
        <v>77</v>
      </c>
      <c r="J245" s="7">
        <f>124-J254-J263-J272</f>
        <v>81</v>
      </c>
      <c r="K245" s="7">
        <f>119-K254-K263-K272</f>
        <v>78</v>
      </c>
      <c r="L245" s="7">
        <f>78-L254-L263-L272</f>
        <v>49</v>
      </c>
      <c r="M245" s="7">
        <f>50-M254-M263-M272</f>
        <v>30</v>
      </c>
      <c r="N245" s="8"/>
      <c r="O245" s="14">
        <f t="shared" si="104"/>
        <v>377</v>
      </c>
      <c r="Q245" s="252" t="s">
        <v>19</v>
      </c>
      <c r="R245" s="266"/>
      <c r="S245" s="266"/>
      <c r="T245" s="266"/>
      <c r="U245" s="266"/>
      <c r="V245" s="266"/>
      <c r="W245" s="266"/>
      <c r="X245" s="266"/>
      <c r="Y245" s="267"/>
      <c r="Z245" s="268">
        <f t="shared" ref="Z245:Z250" si="105">SUM(S245:Y245)</f>
        <v>0</v>
      </c>
      <c r="AB245" s="288"/>
      <c r="AC245" s="281" t="s">
        <v>30</v>
      </c>
      <c r="AD245" s="282">
        <v>4214</v>
      </c>
    </row>
    <row r="246" spans="1:37" ht="15" thickTop="1" thickBot="1">
      <c r="A246" s="329" t="str">
        <f t="shared" si="103"/>
        <v>4214-00</v>
      </c>
      <c r="B246" s="3"/>
      <c r="C246" s="3"/>
      <c r="D246" s="52" t="s">
        <v>78</v>
      </c>
      <c r="E246" s="5" t="s">
        <v>3</v>
      </c>
      <c r="F246" s="269"/>
      <c r="G246" s="6"/>
      <c r="H246" s="7"/>
      <c r="I246" s="7"/>
      <c r="J246" s="7"/>
      <c r="K246" s="7"/>
      <c r="L246" s="7"/>
      <c r="M246" s="7"/>
      <c r="N246" s="15"/>
      <c r="O246" s="14">
        <f t="shared" si="104"/>
        <v>0</v>
      </c>
      <c r="Q246" s="252" t="s">
        <v>4</v>
      </c>
      <c r="R246" s="266">
        <f>78/19</f>
        <v>4.1052631578947372</v>
      </c>
      <c r="S246" s="266"/>
      <c r="T246" s="266"/>
      <c r="U246" s="266"/>
      <c r="V246" s="266"/>
      <c r="W246" s="266"/>
      <c r="X246" s="266"/>
      <c r="Y246" s="266"/>
      <c r="Z246" s="266">
        <f t="shared" si="105"/>
        <v>0</v>
      </c>
      <c r="AB246" s="288"/>
      <c r="AC246" s="279" t="s">
        <v>32</v>
      </c>
      <c r="AD246" s="275" t="s">
        <v>36</v>
      </c>
    </row>
    <row r="247" spans="1:37" ht="15" thickTop="1" thickBot="1">
      <c r="A247" s="329" t="str">
        <f t="shared" si="103"/>
        <v>4214-00</v>
      </c>
      <c r="B247" s="3"/>
      <c r="C247" s="3"/>
      <c r="D247" s="3" t="s">
        <v>79</v>
      </c>
      <c r="E247" s="5" t="s">
        <v>3</v>
      </c>
      <c r="F247" s="330" t="s">
        <v>80</v>
      </c>
      <c r="G247" s="6"/>
      <c r="H247" s="15"/>
      <c r="I247" s="15">
        <f>100-I255-I264-I273</f>
        <v>32</v>
      </c>
      <c r="J247" s="15">
        <f>110-J255-J264-J273</f>
        <v>34</v>
      </c>
      <c r="K247" s="15">
        <f>100-K255-K264-K273</f>
        <v>36</v>
      </c>
      <c r="L247" s="15">
        <f>78-L255-L264-L273</f>
        <v>33</v>
      </c>
      <c r="M247" s="15">
        <f>84-M255-M264-M273</f>
        <v>48</v>
      </c>
      <c r="N247" s="15"/>
      <c r="O247" s="16">
        <f t="shared" si="104"/>
        <v>183</v>
      </c>
      <c r="Q247" s="252" t="s">
        <v>6</v>
      </c>
      <c r="R247" s="266">
        <f>25/11</f>
        <v>2.2727272727272729</v>
      </c>
      <c r="S247" s="266"/>
      <c r="T247" s="266"/>
      <c r="U247" s="266"/>
      <c r="V247" s="266"/>
      <c r="W247" s="266"/>
      <c r="X247" s="266"/>
      <c r="Y247" s="266"/>
      <c r="Z247" s="266">
        <f t="shared" si="105"/>
        <v>0</v>
      </c>
      <c r="AB247" s="288"/>
      <c r="AC247" s="279" t="s">
        <v>12</v>
      </c>
      <c r="AD247" s="275" t="s">
        <v>13</v>
      </c>
    </row>
    <row r="248" spans="1:37" ht="15" thickTop="1" thickBot="1">
      <c r="A248" s="329" t="str">
        <f t="shared" si="103"/>
        <v>4214-00</v>
      </c>
      <c r="B248" s="3"/>
      <c r="C248" s="3"/>
      <c r="D248" s="3"/>
      <c r="E248" s="5" t="s">
        <v>3</v>
      </c>
      <c r="F248" s="269"/>
      <c r="G248" s="6"/>
      <c r="H248" s="8"/>
      <c r="I248" s="8"/>
      <c r="J248" s="8"/>
      <c r="K248" s="8"/>
      <c r="L248" s="8"/>
      <c r="M248" s="8"/>
      <c r="N248" s="15"/>
      <c r="O248" s="16">
        <f t="shared" si="104"/>
        <v>0</v>
      </c>
      <c r="Q248" s="266"/>
      <c r="R248" s="266"/>
      <c r="S248" s="266"/>
      <c r="T248" s="266"/>
      <c r="U248" s="266"/>
      <c r="V248" s="266"/>
      <c r="W248" s="266"/>
      <c r="X248" s="266"/>
      <c r="Y248" s="266"/>
      <c r="Z248" s="266">
        <f t="shared" si="105"/>
        <v>0</v>
      </c>
      <c r="AB248" s="288"/>
      <c r="AC248" s="279" t="s">
        <v>17</v>
      </c>
      <c r="AD248" s="275" t="s">
        <v>51</v>
      </c>
    </row>
    <row r="249" spans="1:37" ht="15" thickTop="1" thickBot="1">
      <c r="A249" s="331" t="str">
        <f t="shared" si="103"/>
        <v>4214-00</v>
      </c>
      <c r="B249" s="19"/>
      <c r="C249" s="19"/>
      <c r="D249" s="19"/>
      <c r="E249" s="20" t="s">
        <v>3</v>
      </c>
      <c r="F249" s="271"/>
      <c r="G249" s="21"/>
      <c r="H249" s="22"/>
      <c r="I249" s="22"/>
      <c r="J249" s="22"/>
      <c r="K249" s="22"/>
      <c r="L249" s="22"/>
      <c r="M249" s="22"/>
      <c r="N249" s="22"/>
      <c r="O249" s="23">
        <f t="shared" si="104"/>
        <v>0</v>
      </c>
      <c r="Q249" s="252" t="s">
        <v>2</v>
      </c>
      <c r="R249" s="272">
        <f>500/10.2</f>
        <v>49.019607843137258</v>
      </c>
      <c r="S249" s="252">
        <f>49*1.2</f>
        <v>58.8</v>
      </c>
      <c r="T249" s="252">
        <f>49*2.1</f>
        <v>102.9</v>
      </c>
      <c r="U249" s="252">
        <f>49*2.4</f>
        <v>117.6</v>
      </c>
      <c r="V249" s="252">
        <f>49*2.4</f>
        <v>117.6</v>
      </c>
      <c r="W249" s="252">
        <f>49*1.5</f>
        <v>73.5</v>
      </c>
      <c r="X249" s="252">
        <f>49*0.9</f>
        <v>44.1</v>
      </c>
      <c r="Y249" s="266"/>
      <c r="Z249" s="266">
        <f t="shared" si="105"/>
        <v>514.5</v>
      </c>
      <c r="AB249" s="288"/>
      <c r="AC249" s="289"/>
      <c r="AD249" s="289"/>
      <c r="AE249" s="289"/>
      <c r="AF249" s="289"/>
      <c r="AG249" s="289"/>
    </row>
    <row r="250" spans="1:37" ht="15" thickTop="1" thickBot="1">
      <c r="A250" s="332" t="str">
        <f t="shared" si="103"/>
        <v>4214-00</v>
      </c>
      <c r="B250" s="47"/>
      <c r="C250" s="47"/>
      <c r="D250" s="47"/>
      <c r="E250" s="48" t="s">
        <v>23</v>
      </c>
      <c r="F250" s="49" t="str">
        <f>+B243</f>
        <v>B2868-V3</v>
      </c>
      <c r="G250" s="48"/>
      <c r="H250" s="48">
        <f t="shared" ref="H250:M250" si="106">+H244-H245-H246-H247-H249-H248</f>
        <v>-4</v>
      </c>
      <c r="I250" s="48">
        <f t="shared" si="106"/>
        <v>18</v>
      </c>
      <c r="J250" s="48">
        <f t="shared" si="106"/>
        <v>18</v>
      </c>
      <c r="K250" s="48">
        <f t="shared" si="106"/>
        <v>17</v>
      </c>
      <c r="L250" s="48">
        <f t="shared" si="106"/>
        <v>2</v>
      </c>
      <c r="M250" s="48">
        <f t="shared" si="106"/>
        <v>-9</v>
      </c>
      <c r="N250" s="48"/>
      <c r="O250" s="48">
        <f t="shared" si="104"/>
        <v>42</v>
      </c>
      <c r="Q250" s="266"/>
      <c r="R250" s="266"/>
      <c r="S250" s="252">
        <f t="shared" ref="S250:X250" si="107">SUM(S246:S249)</f>
        <v>58.8</v>
      </c>
      <c r="T250" s="252">
        <f t="shared" si="107"/>
        <v>102.9</v>
      </c>
      <c r="U250" s="252">
        <f t="shared" si="107"/>
        <v>117.6</v>
      </c>
      <c r="V250" s="252">
        <f t="shared" si="107"/>
        <v>117.6</v>
      </c>
      <c r="W250" s="252">
        <f t="shared" si="107"/>
        <v>73.5</v>
      </c>
      <c r="X250" s="252">
        <f t="shared" si="107"/>
        <v>44.1</v>
      </c>
      <c r="Y250" s="252"/>
      <c r="Z250" s="252">
        <f t="shared" si="105"/>
        <v>514.5</v>
      </c>
      <c r="AB250" s="288"/>
      <c r="AC250" s="289"/>
      <c r="AD250" s="289"/>
      <c r="AE250" s="289"/>
      <c r="AF250" s="289"/>
      <c r="AG250" s="289"/>
    </row>
    <row r="251" spans="1:37" ht="15" thickTop="1" thickBot="1">
      <c r="A251" s="327" t="s">
        <v>7</v>
      </c>
      <c r="B251" s="43" t="s">
        <v>8</v>
      </c>
      <c r="C251" s="43"/>
      <c r="D251" s="43"/>
      <c r="E251" s="44" t="s">
        <v>9</v>
      </c>
      <c r="F251" s="45"/>
      <c r="G251" s="45"/>
      <c r="H251" s="44"/>
      <c r="I251" s="44"/>
      <c r="J251" s="44"/>
      <c r="K251" s="44"/>
      <c r="L251" s="44"/>
      <c r="M251" s="44"/>
      <c r="N251" s="44"/>
      <c r="O251" s="44"/>
      <c r="AB251" s="288"/>
      <c r="AC251" s="289"/>
      <c r="AD251" s="289"/>
      <c r="AE251" s="289"/>
      <c r="AF251" s="289"/>
      <c r="AG251" s="289"/>
    </row>
    <row r="252" spans="1:37" ht="15" thickTop="1" thickBot="1">
      <c r="A252" s="328" t="s">
        <v>81</v>
      </c>
      <c r="B252" s="38" t="s">
        <v>36</v>
      </c>
      <c r="C252" s="9" t="s">
        <v>12</v>
      </c>
      <c r="D252" s="9" t="s">
        <v>13</v>
      </c>
      <c r="E252" s="10"/>
      <c r="F252" s="256" t="s">
        <v>14</v>
      </c>
      <c r="G252" s="257">
        <v>34</v>
      </c>
      <c r="H252" s="257">
        <v>36</v>
      </c>
      <c r="I252" s="257">
        <v>38</v>
      </c>
      <c r="J252" s="257">
        <v>40</v>
      </c>
      <c r="K252" s="257">
        <v>42</v>
      </c>
      <c r="L252" s="257">
        <v>44</v>
      </c>
      <c r="M252" s="257">
        <v>46</v>
      </c>
      <c r="N252" s="257"/>
      <c r="O252" s="258" t="s">
        <v>15</v>
      </c>
      <c r="Q252" s="259" t="s">
        <v>14</v>
      </c>
      <c r="R252" s="259"/>
      <c r="S252" s="259">
        <v>36</v>
      </c>
      <c r="T252" s="259">
        <v>38</v>
      </c>
      <c r="U252" s="259">
        <v>40</v>
      </c>
      <c r="V252" s="259">
        <v>42</v>
      </c>
      <c r="W252" s="259">
        <v>44</v>
      </c>
      <c r="X252" s="259">
        <v>46</v>
      </c>
      <c r="Y252" s="259"/>
      <c r="Z252" s="259" t="s">
        <v>15</v>
      </c>
      <c r="AB252" s="288"/>
      <c r="AC252" s="289"/>
      <c r="AD252" s="289"/>
      <c r="AE252" s="289"/>
      <c r="AF252" s="289"/>
      <c r="AG252" s="289"/>
    </row>
    <row r="253" spans="1:37" ht="15" thickTop="1" thickBot="1">
      <c r="A253" s="329" t="str">
        <f t="shared" ref="A253:A259" si="108">+A252</f>
        <v>4214-01</v>
      </c>
      <c r="B253" s="39" t="s">
        <v>16</v>
      </c>
      <c r="C253" s="39"/>
      <c r="D253" s="39" t="str">
        <f>+B252</f>
        <v>B2868-V3</v>
      </c>
      <c r="E253" s="40"/>
      <c r="F253" s="261" t="s">
        <v>1</v>
      </c>
      <c r="G253" s="261"/>
      <c r="H253" s="262">
        <f>'BASE DATOS'!C31</f>
        <v>18</v>
      </c>
      <c r="I253" s="262">
        <f>'BASE DATOS'!D31</f>
        <v>37</v>
      </c>
      <c r="J253" s="262">
        <f>'BASE DATOS'!E31</f>
        <v>47</v>
      </c>
      <c r="K253" s="262">
        <f>'BASE DATOS'!F31</f>
        <v>40</v>
      </c>
      <c r="L253" s="262">
        <f>'BASE DATOS'!G31</f>
        <v>30</v>
      </c>
      <c r="M253" s="262">
        <f>'BASE DATOS'!H31</f>
        <v>23</v>
      </c>
      <c r="N253" s="262"/>
      <c r="O253" s="263">
        <f t="shared" ref="O253:O259" si="109">SUM(H253:N253)</f>
        <v>195</v>
      </c>
      <c r="Q253" s="264"/>
      <c r="R253" s="264"/>
      <c r="S253" s="264"/>
      <c r="T253" s="264"/>
      <c r="U253" s="264"/>
      <c r="V253" s="264"/>
      <c r="W253" s="264"/>
      <c r="X253" s="264"/>
      <c r="Y253" s="264"/>
      <c r="Z253" s="264">
        <f>SUBTOTAL(9,S253:Y253)</f>
        <v>0</v>
      </c>
      <c r="AB253" s="288"/>
      <c r="AC253" s="289"/>
      <c r="AD253" s="289"/>
      <c r="AE253" s="289"/>
      <c r="AF253" s="289"/>
      <c r="AG253" s="289"/>
    </row>
    <row r="254" spans="1:37" ht="15" thickTop="1" thickBot="1">
      <c r="A254" s="329" t="str">
        <f t="shared" si="108"/>
        <v>4214-01</v>
      </c>
      <c r="B254" s="3"/>
      <c r="C254" s="4" t="s">
        <v>17</v>
      </c>
      <c r="D254" s="4" t="s">
        <v>51</v>
      </c>
      <c r="E254" s="5" t="s">
        <v>3</v>
      </c>
      <c r="F254" s="265"/>
      <c r="G254" s="2"/>
      <c r="H254" s="7"/>
      <c r="I254" s="7"/>
      <c r="J254" s="7"/>
      <c r="K254" s="7"/>
      <c r="L254" s="7"/>
      <c r="M254" s="7"/>
      <c r="N254" s="8"/>
      <c r="O254" s="14">
        <f t="shared" si="109"/>
        <v>0</v>
      </c>
      <c r="Q254" s="252" t="s">
        <v>19</v>
      </c>
      <c r="R254" s="266"/>
      <c r="S254" s="266"/>
      <c r="T254" s="266"/>
      <c r="U254" s="266"/>
      <c r="V254" s="266"/>
      <c r="W254" s="266"/>
      <c r="X254" s="266"/>
      <c r="Y254" s="267"/>
      <c r="Z254" s="268">
        <f t="shared" ref="Z254:Z259" si="110">SUM(S254:Y254)</f>
        <v>0</v>
      </c>
      <c r="AB254" s="288"/>
      <c r="AC254" s="289"/>
      <c r="AD254" s="289"/>
      <c r="AE254" s="289"/>
      <c r="AF254" s="289"/>
      <c r="AG254" s="289"/>
    </row>
    <row r="255" spans="1:37" ht="15" thickTop="1" thickBot="1">
      <c r="A255" s="329" t="str">
        <f t="shared" si="108"/>
        <v>4214-01</v>
      </c>
      <c r="B255" s="3"/>
      <c r="C255" s="3"/>
      <c r="D255" s="52" t="s">
        <v>78</v>
      </c>
      <c r="E255" s="5" t="s">
        <v>3</v>
      </c>
      <c r="F255" s="330" t="s">
        <v>80</v>
      </c>
      <c r="G255" s="6"/>
      <c r="H255" s="7">
        <v>14</v>
      </c>
      <c r="I255" s="7">
        <v>33</v>
      </c>
      <c r="J255" s="7">
        <v>43</v>
      </c>
      <c r="K255" s="7">
        <v>36</v>
      </c>
      <c r="L255" s="7">
        <v>27</v>
      </c>
      <c r="M255" s="7">
        <v>20</v>
      </c>
      <c r="N255" s="15"/>
      <c r="O255" s="14">
        <f t="shared" si="109"/>
        <v>173</v>
      </c>
      <c r="Q255" s="252" t="s">
        <v>4</v>
      </c>
      <c r="R255" s="266">
        <f>78/19</f>
        <v>4.1052631578947372</v>
      </c>
      <c r="S255" s="266"/>
      <c r="T255" s="266"/>
      <c r="U255" s="266"/>
      <c r="V255" s="266"/>
      <c r="W255" s="266"/>
      <c r="X255" s="266"/>
      <c r="Y255" s="266"/>
      <c r="Z255" s="266">
        <f t="shared" si="110"/>
        <v>0</v>
      </c>
      <c r="AB255" s="288"/>
      <c r="AC255" s="289"/>
      <c r="AD255" s="289"/>
      <c r="AE255" s="289"/>
      <c r="AF255" s="289"/>
      <c r="AG255" s="289"/>
    </row>
    <row r="256" spans="1:37" ht="15" thickTop="1" thickBot="1">
      <c r="A256" s="329" t="str">
        <f t="shared" si="108"/>
        <v>4214-01</v>
      </c>
      <c r="B256" s="3"/>
      <c r="C256" s="3"/>
      <c r="D256" s="3"/>
      <c r="E256" s="5" t="s">
        <v>3</v>
      </c>
      <c r="F256" s="269"/>
      <c r="G256" s="6"/>
      <c r="H256" s="15"/>
      <c r="I256" s="15"/>
      <c r="J256" s="15"/>
      <c r="K256" s="15"/>
      <c r="L256" s="15"/>
      <c r="M256" s="15"/>
      <c r="N256" s="15"/>
      <c r="O256" s="16">
        <f t="shared" si="109"/>
        <v>0</v>
      </c>
      <c r="Q256" s="252" t="s">
        <v>6</v>
      </c>
      <c r="R256" s="266">
        <f>25/11</f>
        <v>2.2727272727272729</v>
      </c>
      <c r="S256" s="266"/>
      <c r="T256" s="266"/>
      <c r="U256" s="266"/>
      <c r="V256" s="266"/>
      <c r="W256" s="266"/>
      <c r="X256" s="266"/>
      <c r="Y256" s="266"/>
      <c r="Z256" s="266">
        <f t="shared" si="110"/>
        <v>0</v>
      </c>
      <c r="AB256" s="288"/>
      <c r="AC256" s="289"/>
      <c r="AD256" s="289"/>
      <c r="AE256" s="289"/>
      <c r="AF256" s="289"/>
      <c r="AG256" s="289"/>
    </row>
    <row r="257" spans="1:33" ht="15" thickTop="1" thickBot="1">
      <c r="A257" s="329" t="str">
        <f t="shared" si="108"/>
        <v>4214-01</v>
      </c>
      <c r="B257" s="3"/>
      <c r="C257" s="3"/>
      <c r="D257" s="3"/>
      <c r="E257" s="5" t="s">
        <v>3</v>
      </c>
      <c r="F257" s="269"/>
      <c r="G257" s="6"/>
      <c r="H257" s="8"/>
      <c r="I257" s="8"/>
      <c r="J257" s="8"/>
      <c r="K257" s="8"/>
      <c r="L257" s="8"/>
      <c r="M257" s="8"/>
      <c r="N257" s="15"/>
      <c r="O257" s="16">
        <f t="shared" si="109"/>
        <v>0</v>
      </c>
      <c r="Q257" s="266"/>
      <c r="R257" s="266"/>
      <c r="S257" s="266"/>
      <c r="T257" s="266"/>
      <c r="U257" s="266"/>
      <c r="V257" s="266"/>
      <c r="W257" s="266"/>
      <c r="X257" s="266"/>
      <c r="Y257" s="266"/>
      <c r="Z257" s="266">
        <f t="shared" si="110"/>
        <v>0</v>
      </c>
      <c r="AB257" s="288"/>
      <c r="AC257" s="289"/>
      <c r="AD257" s="289"/>
      <c r="AE257" s="289"/>
      <c r="AF257" s="289"/>
      <c r="AG257" s="289"/>
    </row>
    <row r="258" spans="1:33" ht="15" thickTop="1" thickBot="1">
      <c r="A258" s="331" t="str">
        <f t="shared" si="108"/>
        <v>4214-01</v>
      </c>
      <c r="B258" s="19"/>
      <c r="C258" s="19"/>
      <c r="D258" s="19"/>
      <c r="E258" s="20" t="s">
        <v>3</v>
      </c>
      <c r="F258" s="271"/>
      <c r="G258" s="21"/>
      <c r="H258" s="22"/>
      <c r="I258" s="22"/>
      <c r="J258" s="22"/>
      <c r="K258" s="22"/>
      <c r="L258" s="22"/>
      <c r="M258" s="22"/>
      <c r="N258" s="22"/>
      <c r="O258" s="23">
        <f t="shared" si="109"/>
        <v>0</v>
      </c>
      <c r="Q258" s="252" t="s">
        <v>2</v>
      </c>
      <c r="R258" s="272">
        <f>500/10.2</f>
        <v>49.019607843137258</v>
      </c>
      <c r="S258" s="252">
        <f>49*1.2</f>
        <v>58.8</v>
      </c>
      <c r="T258" s="252">
        <f>49*2.1</f>
        <v>102.9</v>
      </c>
      <c r="U258" s="252">
        <f>49*2.4</f>
        <v>117.6</v>
      </c>
      <c r="V258" s="252">
        <f>49*2.4</f>
        <v>117.6</v>
      </c>
      <c r="W258" s="252">
        <f>49*1.5</f>
        <v>73.5</v>
      </c>
      <c r="X258" s="252">
        <f>49*0.9</f>
        <v>44.1</v>
      </c>
      <c r="Y258" s="266"/>
      <c r="Z258" s="266">
        <f t="shared" si="110"/>
        <v>514.5</v>
      </c>
      <c r="AB258" s="288"/>
      <c r="AC258" s="289"/>
      <c r="AD258" s="289"/>
      <c r="AE258" s="289"/>
      <c r="AF258" s="289"/>
      <c r="AG258" s="289"/>
    </row>
    <row r="259" spans="1:33" ht="15" thickTop="1" thickBot="1">
      <c r="A259" s="332" t="str">
        <f t="shared" si="108"/>
        <v>4214-01</v>
      </c>
      <c r="B259" s="47"/>
      <c r="C259" s="47"/>
      <c r="D259" s="47"/>
      <c r="E259" s="48" t="s">
        <v>23</v>
      </c>
      <c r="F259" s="49" t="str">
        <f>+B252</f>
        <v>B2868-V3</v>
      </c>
      <c r="G259" s="48"/>
      <c r="H259" s="48">
        <f>+H253-H254-H255-H256-H258+H257</f>
        <v>4</v>
      </c>
      <c r="I259" s="48">
        <f>+I253-I254-I255-I256-I258+I257</f>
        <v>4</v>
      </c>
      <c r="J259" s="48">
        <f>+J253-J254-J255-J256-J258-J257</f>
        <v>4</v>
      </c>
      <c r="K259" s="48">
        <f>+K253-K254-K255-K256-K258-K257</f>
        <v>4</v>
      </c>
      <c r="L259" s="48">
        <f>+L253-L254-L255-L256-L258-L257</f>
        <v>3</v>
      </c>
      <c r="M259" s="48">
        <f>+M253-M254-M255-M256-M258-M257</f>
        <v>3</v>
      </c>
      <c r="N259" s="48"/>
      <c r="O259" s="48">
        <f t="shared" si="109"/>
        <v>22</v>
      </c>
      <c r="Q259" s="266"/>
      <c r="R259" s="266"/>
      <c r="S259" s="252">
        <f t="shared" ref="S259:X259" si="111">SUM(S255:S258)</f>
        <v>58.8</v>
      </c>
      <c r="T259" s="252">
        <f t="shared" si="111"/>
        <v>102.9</v>
      </c>
      <c r="U259" s="252">
        <f t="shared" si="111"/>
        <v>117.6</v>
      </c>
      <c r="V259" s="252">
        <f t="shared" si="111"/>
        <v>117.6</v>
      </c>
      <c r="W259" s="252">
        <f t="shared" si="111"/>
        <v>73.5</v>
      </c>
      <c r="X259" s="252">
        <f t="shared" si="111"/>
        <v>44.1</v>
      </c>
      <c r="Y259" s="252"/>
      <c r="Z259" s="252">
        <f t="shared" si="110"/>
        <v>514.5</v>
      </c>
      <c r="AB259" s="288"/>
      <c r="AC259" s="289"/>
      <c r="AD259" s="289"/>
      <c r="AE259" s="289"/>
      <c r="AF259" s="289"/>
      <c r="AG259" s="289"/>
    </row>
    <row r="260" spans="1:33" ht="15" thickTop="1" thickBot="1">
      <c r="A260" s="327" t="s">
        <v>7</v>
      </c>
      <c r="B260" s="43" t="s">
        <v>8</v>
      </c>
      <c r="C260" s="43"/>
      <c r="D260" s="43"/>
      <c r="E260" s="44" t="s">
        <v>9</v>
      </c>
      <c r="F260" s="45"/>
      <c r="G260" s="45"/>
      <c r="H260" s="44"/>
      <c r="I260" s="44"/>
      <c r="J260" s="44"/>
      <c r="K260" s="44"/>
      <c r="L260" s="44"/>
      <c r="M260" s="44"/>
      <c r="N260" s="44"/>
      <c r="O260" s="44"/>
      <c r="AB260" s="288"/>
      <c r="AC260" s="289"/>
      <c r="AD260" s="289"/>
      <c r="AE260" s="289"/>
      <c r="AF260" s="289"/>
      <c r="AG260" s="289"/>
    </row>
    <row r="261" spans="1:33" ht="15" thickTop="1" thickBot="1">
      <c r="A261" s="328" t="s">
        <v>82</v>
      </c>
      <c r="B261" s="38" t="s">
        <v>36</v>
      </c>
      <c r="C261" s="9" t="s">
        <v>12</v>
      </c>
      <c r="D261" s="9" t="s">
        <v>13</v>
      </c>
      <c r="E261" s="10"/>
      <c r="F261" s="256" t="s">
        <v>14</v>
      </c>
      <c r="G261" s="257">
        <v>34</v>
      </c>
      <c r="H261" s="257">
        <v>36</v>
      </c>
      <c r="I261" s="257">
        <v>38</v>
      </c>
      <c r="J261" s="257">
        <v>40</v>
      </c>
      <c r="K261" s="257">
        <v>42</v>
      </c>
      <c r="L261" s="257">
        <v>44</v>
      </c>
      <c r="M261" s="257">
        <v>46</v>
      </c>
      <c r="N261" s="257"/>
      <c r="O261" s="258" t="s">
        <v>15</v>
      </c>
      <c r="Q261" s="259" t="s">
        <v>14</v>
      </c>
      <c r="R261" s="259"/>
      <c r="S261" s="259">
        <v>36</v>
      </c>
      <c r="T261" s="259">
        <v>38</v>
      </c>
      <c r="U261" s="259">
        <v>40</v>
      </c>
      <c r="V261" s="259">
        <v>42</v>
      </c>
      <c r="W261" s="259">
        <v>44</v>
      </c>
      <c r="X261" s="259">
        <v>46</v>
      </c>
      <c r="Y261" s="259"/>
      <c r="Z261" s="259" t="s">
        <v>15</v>
      </c>
      <c r="AB261" s="288"/>
      <c r="AC261" s="289"/>
      <c r="AD261" s="289"/>
      <c r="AE261" s="289"/>
      <c r="AF261" s="289"/>
      <c r="AG261" s="289"/>
    </row>
    <row r="262" spans="1:33" ht="15" thickTop="1" thickBot="1">
      <c r="A262" s="329" t="str">
        <f t="shared" ref="A262:A268" si="112">+A261</f>
        <v>4214-02</v>
      </c>
      <c r="B262" s="39" t="s">
        <v>16</v>
      </c>
      <c r="C262" s="39"/>
      <c r="D262" s="39" t="str">
        <f>+B261</f>
        <v>B2868-V3</v>
      </c>
      <c r="E262" s="40"/>
      <c r="F262" s="261" t="s">
        <v>1</v>
      </c>
      <c r="G262" s="261"/>
      <c r="H262" s="262">
        <f>'BASE DATOS'!C32</f>
        <v>20</v>
      </c>
      <c r="I262" s="262">
        <f>'BASE DATOS'!D32</f>
        <v>49</v>
      </c>
      <c r="J262" s="262">
        <f>'BASE DATOS'!E32</f>
        <v>50</v>
      </c>
      <c r="K262" s="262">
        <f>'BASE DATOS'!F32</f>
        <v>48</v>
      </c>
      <c r="L262" s="262">
        <f>'BASE DATOS'!G32</f>
        <v>35</v>
      </c>
      <c r="M262" s="262">
        <f>'BASE DATOS'!H32</f>
        <v>29</v>
      </c>
      <c r="N262" s="262"/>
      <c r="O262" s="263">
        <f t="shared" ref="O262:O268" si="113">SUM(H262:N262)</f>
        <v>231</v>
      </c>
      <c r="Q262" s="264"/>
      <c r="R262" s="264"/>
      <c r="S262" s="264"/>
      <c r="T262" s="264"/>
      <c r="U262" s="264"/>
      <c r="V262" s="264"/>
      <c r="W262" s="264"/>
      <c r="X262" s="264"/>
      <c r="Y262" s="264"/>
      <c r="Z262" s="264">
        <f>SUBTOTAL(9,S262:Y262)</f>
        <v>0</v>
      </c>
      <c r="AB262" s="288"/>
      <c r="AC262" s="289"/>
      <c r="AD262" s="289"/>
      <c r="AE262" s="289"/>
      <c r="AF262" s="289"/>
      <c r="AG262" s="289"/>
    </row>
    <row r="263" spans="1:33" ht="15" thickTop="1" thickBot="1">
      <c r="A263" s="329" t="str">
        <f t="shared" si="112"/>
        <v>4214-02</v>
      </c>
      <c r="B263" s="3"/>
      <c r="C263" s="4" t="s">
        <v>17</v>
      </c>
      <c r="D263" s="4" t="s">
        <v>51</v>
      </c>
      <c r="E263" s="5" t="s">
        <v>3</v>
      </c>
      <c r="F263" s="265">
        <v>11541</v>
      </c>
      <c r="G263" s="2"/>
      <c r="H263" s="7">
        <v>16</v>
      </c>
      <c r="I263" s="7">
        <v>42</v>
      </c>
      <c r="J263" s="7">
        <v>43</v>
      </c>
      <c r="K263" s="7">
        <v>41</v>
      </c>
      <c r="L263" s="7">
        <v>29</v>
      </c>
      <c r="M263" s="7">
        <v>20</v>
      </c>
      <c r="N263" s="8"/>
      <c r="O263" s="14">
        <f t="shared" si="113"/>
        <v>191</v>
      </c>
      <c r="Q263" s="252" t="s">
        <v>19</v>
      </c>
      <c r="R263" s="266"/>
      <c r="S263" s="266"/>
      <c r="T263" s="266"/>
      <c r="U263" s="266"/>
      <c r="V263" s="266"/>
      <c r="W263" s="266"/>
      <c r="X263" s="266"/>
      <c r="Y263" s="267"/>
      <c r="Z263" s="268">
        <f t="shared" ref="Z263:Z268" si="114">SUM(S263:Y263)</f>
        <v>0</v>
      </c>
      <c r="AB263" s="288"/>
      <c r="AC263" s="289"/>
      <c r="AD263" s="289"/>
      <c r="AE263" s="289"/>
      <c r="AF263" s="289"/>
      <c r="AG263" s="289"/>
    </row>
    <row r="264" spans="1:33" ht="15" thickTop="1" thickBot="1">
      <c r="A264" s="329" t="str">
        <f t="shared" si="112"/>
        <v>4214-02</v>
      </c>
      <c r="B264" s="3"/>
      <c r="C264" s="3"/>
      <c r="D264" s="52" t="s">
        <v>78</v>
      </c>
      <c r="E264" s="5" t="s">
        <v>3</v>
      </c>
      <c r="F264" s="330" t="s">
        <v>80</v>
      </c>
      <c r="G264" s="6"/>
      <c r="H264" s="7">
        <v>4</v>
      </c>
      <c r="I264" s="7">
        <v>6</v>
      </c>
      <c r="J264" s="7">
        <v>3</v>
      </c>
      <c r="K264" s="7">
        <v>6</v>
      </c>
      <c r="L264" s="7">
        <v>6</v>
      </c>
      <c r="M264" s="7">
        <v>9</v>
      </c>
      <c r="N264" s="15"/>
      <c r="O264" s="14">
        <f t="shared" si="113"/>
        <v>34</v>
      </c>
      <c r="Q264" s="252" t="s">
        <v>4</v>
      </c>
      <c r="R264" s="266">
        <f>78/19</f>
        <v>4.1052631578947372</v>
      </c>
      <c r="S264" s="266"/>
      <c r="T264" s="266"/>
      <c r="U264" s="266"/>
      <c r="V264" s="266"/>
      <c r="W264" s="266"/>
      <c r="X264" s="266"/>
      <c r="Y264" s="266"/>
      <c r="Z264" s="266">
        <f t="shared" si="114"/>
        <v>0</v>
      </c>
      <c r="AB264" s="288"/>
      <c r="AC264" s="289"/>
      <c r="AD264" s="289"/>
      <c r="AE264" s="289"/>
      <c r="AF264" s="289"/>
      <c r="AG264" s="289"/>
    </row>
    <row r="265" spans="1:33" ht="15" thickTop="1" thickBot="1">
      <c r="A265" s="329" t="str">
        <f t="shared" si="112"/>
        <v>4214-02</v>
      </c>
      <c r="B265" s="3"/>
      <c r="C265" s="3"/>
      <c r="D265" s="3"/>
      <c r="E265" s="5" t="s">
        <v>3</v>
      </c>
      <c r="F265" s="269"/>
      <c r="G265" s="6"/>
      <c r="H265" s="15"/>
      <c r="I265" s="15"/>
      <c r="J265" s="15"/>
      <c r="K265" s="15"/>
      <c r="L265" s="15"/>
      <c r="M265" s="15"/>
      <c r="N265" s="15"/>
      <c r="O265" s="16">
        <f t="shared" si="113"/>
        <v>0</v>
      </c>
      <c r="Q265" s="252" t="s">
        <v>6</v>
      </c>
      <c r="R265" s="266">
        <f>25/11</f>
        <v>2.2727272727272729</v>
      </c>
      <c r="S265" s="266"/>
      <c r="T265" s="266"/>
      <c r="U265" s="266"/>
      <c r="V265" s="266"/>
      <c r="W265" s="266"/>
      <c r="X265" s="266"/>
      <c r="Y265" s="266"/>
      <c r="Z265" s="266">
        <f t="shared" si="114"/>
        <v>0</v>
      </c>
      <c r="AB265" s="288"/>
      <c r="AC265" s="289"/>
      <c r="AD265" s="289"/>
      <c r="AE265" s="289"/>
      <c r="AF265" s="289"/>
      <c r="AG265" s="289"/>
    </row>
    <row r="266" spans="1:33" ht="15" thickTop="1" thickBot="1">
      <c r="A266" s="329" t="str">
        <f t="shared" si="112"/>
        <v>4214-02</v>
      </c>
      <c r="B266" s="3"/>
      <c r="C266" s="3"/>
      <c r="D266" s="3"/>
      <c r="E266" s="5" t="s">
        <v>3</v>
      </c>
      <c r="F266" s="269"/>
      <c r="G266" s="6"/>
      <c r="H266" s="8"/>
      <c r="I266" s="8"/>
      <c r="J266" s="8"/>
      <c r="K266" s="8"/>
      <c r="L266" s="8"/>
      <c r="M266" s="8"/>
      <c r="N266" s="15"/>
      <c r="O266" s="16">
        <f t="shared" si="113"/>
        <v>0</v>
      </c>
      <c r="Q266" s="266"/>
      <c r="R266" s="266"/>
      <c r="S266" s="266"/>
      <c r="T266" s="266"/>
      <c r="U266" s="266"/>
      <c r="V266" s="266"/>
      <c r="W266" s="266"/>
      <c r="X266" s="266"/>
      <c r="Y266" s="266"/>
      <c r="Z266" s="266">
        <f t="shared" si="114"/>
        <v>0</v>
      </c>
      <c r="AB266" s="288"/>
      <c r="AC266" s="289"/>
      <c r="AD266" s="289"/>
      <c r="AE266" s="289"/>
      <c r="AF266" s="289"/>
      <c r="AG266" s="289"/>
    </row>
    <row r="267" spans="1:33" ht="15" thickTop="1" thickBot="1">
      <c r="A267" s="331" t="str">
        <f t="shared" si="112"/>
        <v>4214-02</v>
      </c>
      <c r="B267" s="19"/>
      <c r="C267" s="19"/>
      <c r="D267" s="19"/>
      <c r="E267" s="20" t="s">
        <v>3</v>
      </c>
      <c r="F267" s="271"/>
      <c r="G267" s="21"/>
      <c r="H267" s="22"/>
      <c r="I267" s="22"/>
      <c r="J267" s="22"/>
      <c r="K267" s="22"/>
      <c r="L267" s="22"/>
      <c r="M267" s="22"/>
      <c r="N267" s="22"/>
      <c r="O267" s="23">
        <f t="shared" si="113"/>
        <v>0</v>
      </c>
      <c r="Q267" s="252" t="s">
        <v>2</v>
      </c>
      <c r="R267" s="272">
        <f>500/10.2</f>
        <v>49.019607843137258</v>
      </c>
      <c r="S267" s="252">
        <f>49*1.2</f>
        <v>58.8</v>
      </c>
      <c r="T267" s="252">
        <f>49*2.1</f>
        <v>102.9</v>
      </c>
      <c r="U267" s="252">
        <f>49*2.4</f>
        <v>117.6</v>
      </c>
      <c r="V267" s="252">
        <f>49*2.4</f>
        <v>117.6</v>
      </c>
      <c r="W267" s="252">
        <f>49*1.5</f>
        <v>73.5</v>
      </c>
      <c r="X267" s="252">
        <f>49*0.9</f>
        <v>44.1</v>
      </c>
      <c r="Y267" s="266"/>
      <c r="Z267" s="266">
        <f t="shared" si="114"/>
        <v>514.5</v>
      </c>
      <c r="AB267" s="288"/>
      <c r="AC267" s="289"/>
      <c r="AD267" s="289"/>
      <c r="AE267" s="289"/>
      <c r="AF267" s="289"/>
      <c r="AG267" s="289"/>
    </row>
    <row r="268" spans="1:33" ht="15" thickTop="1" thickBot="1">
      <c r="A268" s="332" t="str">
        <f t="shared" si="112"/>
        <v>4214-02</v>
      </c>
      <c r="B268" s="47"/>
      <c r="C268" s="47"/>
      <c r="D268" s="47"/>
      <c r="E268" s="48" t="s">
        <v>23</v>
      </c>
      <c r="F268" s="49" t="str">
        <f>+B261</f>
        <v>B2868-V3</v>
      </c>
      <c r="G268" s="48"/>
      <c r="H268" s="48">
        <f>+H262-H263-H264-H265-H267+H266</f>
        <v>0</v>
      </c>
      <c r="I268" s="48">
        <f>+I262-I263-I264-I265-I267+I266</f>
        <v>1</v>
      </c>
      <c r="J268" s="48">
        <f>+J262-J263-J264-J265-J267-J266</f>
        <v>4</v>
      </c>
      <c r="K268" s="48">
        <f>+K262-K263-K264-K265-K267-K266</f>
        <v>1</v>
      </c>
      <c r="L268" s="48">
        <f>+L262-L263-L264-L265-L267-L266</f>
        <v>0</v>
      </c>
      <c r="M268" s="48">
        <f>+M262-M263-M264-M265-M267-M266</f>
        <v>0</v>
      </c>
      <c r="N268" s="48"/>
      <c r="O268" s="48">
        <f t="shared" si="113"/>
        <v>6</v>
      </c>
      <c r="Q268" s="266"/>
      <c r="R268" s="266"/>
      <c r="S268" s="252">
        <f t="shared" ref="S268:X268" si="115">SUM(S264:S267)</f>
        <v>58.8</v>
      </c>
      <c r="T268" s="252">
        <f t="shared" si="115"/>
        <v>102.9</v>
      </c>
      <c r="U268" s="252">
        <f t="shared" si="115"/>
        <v>117.6</v>
      </c>
      <c r="V268" s="252">
        <f t="shared" si="115"/>
        <v>117.6</v>
      </c>
      <c r="W268" s="252">
        <f t="shared" si="115"/>
        <v>73.5</v>
      </c>
      <c r="X268" s="252">
        <f t="shared" si="115"/>
        <v>44.1</v>
      </c>
      <c r="Y268" s="252"/>
      <c r="Z268" s="252">
        <f t="shared" si="114"/>
        <v>514.5</v>
      </c>
      <c r="AB268" s="288"/>
      <c r="AC268" s="289"/>
      <c r="AD268" s="289"/>
      <c r="AE268" s="289"/>
      <c r="AF268" s="289"/>
      <c r="AG268" s="289"/>
    </row>
    <row r="269" spans="1:33" ht="15" thickTop="1" thickBot="1">
      <c r="A269" s="327" t="s">
        <v>7</v>
      </c>
      <c r="B269" s="43" t="s">
        <v>8</v>
      </c>
      <c r="C269" s="43"/>
      <c r="D269" s="43"/>
      <c r="E269" s="44" t="s">
        <v>9</v>
      </c>
      <c r="F269" s="45"/>
      <c r="G269" s="45"/>
      <c r="H269" s="44"/>
      <c r="I269" s="44"/>
      <c r="J269" s="44"/>
      <c r="K269" s="44"/>
      <c r="L269" s="44"/>
      <c r="M269" s="44"/>
      <c r="N269" s="44"/>
      <c r="O269" s="44"/>
      <c r="AB269" s="288"/>
      <c r="AC269" s="289"/>
      <c r="AD269" s="289"/>
      <c r="AE269" s="289"/>
      <c r="AF269" s="289"/>
      <c r="AG269" s="289"/>
    </row>
    <row r="270" spans="1:33" ht="15" thickTop="1" thickBot="1">
      <c r="A270" s="328" t="s">
        <v>83</v>
      </c>
      <c r="B270" s="38" t="s">
        <v>36</v>
      </c>
      <c r="C270" s="9" t="s">
        <v>12</v>
      </c>
      <c r="D270" s="9" t="s">
        <v>13</v>
      </c>
      <c r="E270" s="10"/>
      <c r="F270" s="256" t="s">
        <v>14</v>
      </c>
      <c r="G270" s="257">
        <v>34</v>
      </c>
      <c r="H270" s="257">
        <v>36</v>
      </c>
      <c r="I270" s="257">
        <v>38</v>
      </c>
      <c r="J270" s="257">
        <v>40</v>
      </c>
      <c r="K270" s="257">
        <v>42</v>
      </c>
      <c r="L270" s="257">
        <v>44</v>
      </c>
      <c r="M270" s="257">
        <v>46</v>
      </c>
      <c r="N270" s="257"/>
      <c r="O270" s="258" t="s">
        <v>15</v>
      </c>
      <c r="Q270" s="259" t="s">
        <v>14</v>
      </c>
      <c r="R270" s="259"/>
      <c r="S270" s="259">
        <v>36</v>
      </c>
      <c r="T270" s="259">
        <v>38</v>
      </c>
      <c r="U270" s="259">
        <v>40</v>
      </c>
      <c r="V270" s="259">
        <v>42</v>
      </c>
      <c r="W270" s="259">
        <v>44</v>
      </c>
      <c r="X270" s="259">
        <v>46</v>
      </c>
      <c r="Y270" s="259"/>
      <c r="Z270" s="259" t="s">
        <v>15</v>
      </c>
      <c r="AB270" s="288"/>
      <c r="AC270" s="289"/>
      <c r="AD270" s="289"/>
      <c r="AE270" s="289"/>
      <c r="AF270" s="289"/>
      <c r="AG270" s="289"/>
    </row>
    <row r="271" spans="1:33" ht="15" thickTop="1" thickBot="1">
      <c r="A271" s="329" t="str">
        <f t="shared" ref="A271:A277" si="116">+A270</f>
        <v>4214-60</v>
      </c>
      <c r="B271" s="39" t="s">
        <v>16</v>
      </c>
      <c r="C271" s="39"/>
      <c r="D271" s="39" t="str">
        <f>+B270</f>
        <v>B2868-V3</v>
      </c>
      <c r="E271" s="40"/>
      <c r="F271" s="261" t="s">
        <v>1</v>
      </c>
      <c r="G271" s="261"/>
      <c r="H271" s="262">
        <f>'BASE DATOS'!C33</f>
        <v>19</v>
      </c>
      <c r="I271" s="262">
        <f>'BASE DATOS'!D33</f>
        <v>30</v>
      </c>
      <c r="J271" s="262">
        <f>'BASE DATOS'!E33</f>
        <v>28</v>
      </c>
      <c r="K271" s="262">
        <f>'BASE DATOS'!F33</f>
        <v>22</v>
      </c>
      <c r="L271" s="262">
        <f>'BASE DATOS'!G33</f>
        <v>11</v>
      </c>
      <c r="M271" s="262">
        <f>'BASE DATOS'!H33</f>
        <v>6</v>
      </c>
      <c r="N271" s="262"/>
      <c r="O271" s="263">
        <f t="shared" ref="O271:O277" si="117">SUM(H271:N271)</f>
        <v>116</v>
      </c>
      <c r="Q271" s="264"/>
      <c r="R271" s="264"/>
      <c r="S271" s="264"/>
      <c r="T271" s="264"/>
      <c r="U271" s="264"/>
      <c r="V271" s="264"/>
      <c r="W271" s="264"/>
      <c r="X271" s="264"/>
      <c r="Y271" s="264"/>
      <c r="Z271" s="264">
        <f>SUBTOTAL(9,S271:Y271)</f>
        <v>0</v>
      </c>
      <c r="AB271" s="288"/>
      <c r="AC271" s="289"/>
      <c r="AD271" s="289"/>
      <c r="AE271" s="289"/>
      <c r="AF271" s="289"/>
      <c r="AG271" s="289"/>
    </row>
    <row r="272" spans="1:33" ht="15" thickTop="1" thickBot="1">
      <c r="A272" s="329" t="str">
        <f t="shared" si="116"/>
        <v>4214-60</v>
      </c>
      <c r="B272" s="3"/>
      <c r="C272" s="4" t="s">
        <v>17</v>
      </c>
      <c r="D272" s="4" t="s">
        <v>51</v>
      </c>
      <c r="E272" s="5" t="s">
        <v>3</v>
      </c>
      <c r="F272" s="265"/>
      <c r="G272" s="2"/>
      <c r="H272" s="7"/>
      <c r="I272" s="7"/>
      <c r="J272" s="7"/>
      <c r="K272" s="7"/>
      <c r="L272" s="7"/>
      <c r="M272" s="7"/>
      <c r="N272" s="8"/>
      <c r="O272" s="14">
        <f t="shared" si="117"/>
        <v>0</v>
      </c>
      <c r="Q272" s="252" t="s">
        <v>19</v>
      </c>
      <c r="R272" s="266"/>
      <c r="S272" s="266"/>
      <c r="T272" s="266"/>
      <c r="U272" s="266"/>
      <c r="V272" s="266"/>
      <c r="W272" s="266"/>
      <c r="X272" s="266"/>
      <c r="Y272" s="267"/>
      <c r="Z272" s="268">
        <f t="shared" ref="Z272:Z277" si="118">SUM(S272:Y272)</f>
        <v>0</v>
      </c>
      <c r="AB272" s="288"/>
      <c r="AC272" s="289"/>
      <c r="AD272" s="289"/>
      <c r="AE272" s="289"/>
      <c r="AF272" s="289"/>
      <c r="AG272" s="289"/>
    </row>
    <row r="273" spans="1:33" ht="15" thickTop="1" thickBot="1">
      <c r="A273" s="329" t="str">
        <f t="shared" si="116"/>
        <v>4214-60</v>
      </c>
      <c r="B273" s="3"/>
      <c r="C273" s="3"/>
      <c r="D273" s="52" t="s">
        <v>78</v>
      </c>
      <c r="E273" s="5" t="s">
        <v>3</v>
      </c>
      <c r="F273" s="330" t="s">
        <v>80</v>
      </c>
      <c r="G273" s="6"/>
      <c r="H273" s="7">
        <v>10</v>
      </c>
      <c r="I273" s="7">
        <v>29</v>
      </c>
      <c r="J273" s="7">
        <v>30</v>
      </c>
      <c r="K273" s="7">
        <v>22</v>
      </c>
      <c r="L273" s="7">
        <v>12</v>
      </c>
      <c r="M273" s="7">
        <v>7</v>
      </c>
      <c r="N273" s="15"/>
      <c r="O273" s="14">
        <f t="shared" si="117"/>
        <v>110</v>
      </c>
      <c r="Q273" s="252" t="s">
        <v>4</v>
      </c>
      <c r="R273" s="266">
        <f>78/19</f>
        <v>4.1052631578947372</v>
      </c>
      <c r="S273" s="266"/>
      <c r="T273" s="266"/>
      <c r="U273" s="266"/>
      <c r="V273" s="266"/>
      <c r="W273" s="266"/>
      <c r="X273" s="266"/>
      <c r="Y273" s="266"/>
      <c r="Z273" s="266">
        <f t="shared" si="118"/>
        <v>0</v>
      </c>
      <c r="AB273" s="288"/>
      <c r="AC273" s="289"/>
      <c r="AD273" s="289"/>
      <c r="AE273" s="289"/>
      <c r="AF273" s="289"/>
      <c r="AG273" s="289"/>
    </row>
    <row r="274" spans="1:33" ht="15" thickTop="1" thickBot="1">
      <c r="A274" s="329" t="str">
        <f t="shared" si="116"/>
        <v>4214-60</v>
      </c>
      <c r="B274" s="3"/>
      <c r="C274" s="3"/>
      <c r="D274" s="3" t="s">
        <v>74</v>
      </c>
      <c r="E274" s="5" t="s">
        <v>3</v>
      </c>
      <c r="F274" s="269"/>
      <c r="G274" s="6"/>
      <c r="H274" s="15"/>
      <c r="I274" s="15"/>
      <c r="J274" s="15"/>
      <c r="K274" s="15"/>
      <c r="L274" s="15"/>
      <c r="M274" s="15"/>
      <c r="N274" s="15"/>
      <c r="O274" s="16">
        <f t="shared" si="117"/>
        <v>0</v>
      </c>
      <c r="Q274" s="252" t="s">
        <v>6</v>
      </c>
      <c r="R274" s="266">
        <f>25/11</f>
        <v>2.2727272727272729</v>
      </c>
      <c r="S274" s="266"/>
      <c r="T274" s="266"/>
      <c r="U274" s="266"/>
      <c r="V274" s="266"/>
      <c r="W274" s="266"/>
      <c r="X274" s="266"/>
      <c r="Y274" s="266"/>
      <c r="Z274" s="266">
        <f t="shared" si="118"/>
        <v>0</v>
      </c>
      <c r="AB274" s="288"/>
      <c r="AC274" s="289"/>
      <c r="AD274" s="289"/>
      <c r="AE274" s="289"/>
      <c r="AF274" s="289"/>
      <c r="AG274" s="289"/>
    </row>
    <row r="275" spans="1:33" ht="15" thickTop="1" thickBot="1">
      <c r="A275" s="329" t="str">
        <f t="shared" si="116"/>
        <v>4214-60</v>
      </c>
      <c r="B275" s="3"/>
      <c r="C275" s="3"/>
      <c r="D275" s="3"/>
      <c r="E275" s="5" t="s">
        <v>3</v>
      </c>
      <c r="F275" s="269"/>
      <c r="G275" s="6"/>
      <c r="H275" s="8"/>
      <c r="I275" s="8"/>
      <c r="J275" s="8"/>
      <c r="K275" s="8"/>
      <c r="L275" s="8"/>
      <c r="M275" s="8"/>
      <c r="N275" s="15"/>
      <c r="O275" s="16">
        <f t="shared" si="117"/>
        <v>0</v>
      </c>
      <c r="Q275" s="266"/>
      <c r="R275" s="266"/>
      <c r="S275" s="266"/>
      <c r="T275" s="266"/>
      <c r="U275" s="266"/>
      <c r="V275" s="266"/>
      <c r="W275" s="266"/>
      <c r="X275" s="266"/>
      <c r="Y275" s="266"/>
      <c r="Z275" s="266">
        <f t="shared" si="118"/>
        <v>0</v>
      </c>
      <c r="AB275" s="288"/>
      <c r="AC275" s="289"/>
      <c r="AD275" s="289"/>
      <c r="AE275" s="289"/>
      <c r="AF275" s="289"/>
      <c r="AG275" s="289"/>
    </row>
    <row r="276" spans="1:33" ht="15" thickTop="1" thickBot="1">
      <c r="A276" s="331" t="str">
        <f t="shared" si="116"/>
        <v>4214-60</v>
      </c>
      <c r="B276" s="19"/>
      <c r="C276" s="19"/>
      <c r="D276" s="19"/>
      <c r="E276" s="20" t="s">
        <v>3</v>
      </c>
      <c r="F276" s="271"/>
      <c r="G276" s="21"/>
      <c r="H276" s="22"/>
      <c r="I276" s="22"/>
      <c r="J276" s="22"/>
      <c r="K276" s="22"/>
      <c r="L276" s="22"/>
      <c r="M276" s="22"/>
      <c r="N276" s="22"/>
      <c r="O276" s="23">
        <f t="shared" si="117"/>
        <v>0</v>
      </c>
      <c r="Q276" s="252" t="s">
        <v>2</v>
      </c>
      <c r="R276" s="272">
        <f>500/10.2</f>
        <v>49.019607843137258</v>
      </c>
      <c r="S276" s="252">
        <f>49*1.2</f>
        <v>58.8</v>
      </c>
      <c r="T276" s="252">
        <f>49*2.1</f>
        <v>102.9</v>
      </c>
      <c r="U276" s="252">
        <f>49*2.4</f>
        <v>117.6</v>
      </c>
      <c r="V276" s="252">
        <f>49*2.4</f>
        <v>117.6</v>
      </c>
      <c r="W276" s="252">
        <f>49*1.5</f>
        <v>73.5</v>
      </c>
      <c r="X276" s="252">
        <f>49*0.9</f>
        <v>44.1</v>
      </c>
      <c r="Y276" s="266"/>
      <c r="Z276" s="266">
        <f t="shared" si="118"/>
        <v>514.5</v>
      </c>
      <c r="AB276" s="288"/>
      <c r="AC276" s="289"/>
      <c r="AD276" s="289"/>
      <c r="AE276" s="289"/>
      <c r="AF276" s="289"/>
      <c r="AG276" s="289"/>
    </row>
    <row r="277" spans="1:33" ht="15" thickTop="1" thickBot="1">
      <c r="A277" s="332" t="str">
        <f t="shared" si="116"/>
        <v>4214-60</v>
      </c>
      <c r="B277" s="47"/>
      <c r="C277" s="47"/>
      <c r="D277" s="47"/>
      <c r="E277" s="48" t="s">
        <v>23</v>
      </c>
      <c r="F277" s="49" t="str">
        <f>+B270</f>
        <v>B2868-V3</v>
      </c>
      <c r="G277" s="48"/>
      <c r="H277" s="48">
        <f>+H271-H272-H273-H274-H276+H275</f>
        <v>9</v>
      </c>
      <c r="I277" s="48">
        <f>+I271-I272-I273-I274-I276+I275</f>
        <v>1</v>
      </c>
      <c r="J277" s="48">
        <f>+J271-J272-J273-J274-J276-J275</f>
        <v>-2</v>
      </c>
      <c r="K277" s="48">
        <f>+K271-K272-K273-K274-K276-K275</f>
        <v>0</v>
      </c>
      <c r="L277" s="48">
        <f>+L271-L272-L273-L274-L276-L275</f>
        <v>-1</v>
      </c>
      <c r="M277" s="48">
        <f>+M271-M272-M273-M274-M276-M275</f>
        <v>-1</v>
      </c>
      <c r="N277" s="48"/>
      <c r="O277" s="48">
        <f t="shared" si="117"/>
        <v>6</v>
      </c>
      <c r="Q277" s="266"/>
      <c r="R277" s="266"/>
      <c r="S277" s="252">
        <f t="shared" ref="S277:X277" si="119">SUM(S273:S276)</f>
        <v>58.8</v>
      </c>
      <c r="T277" s="252">
        <f t="shared" si="119"/>
        <v>102.9</v>
      </c>
      <c r="U277" s="252">
        <f t="shared" si="119"/>
        <v>117.6</v>
      </c>
      <c r="V277" s="252">
        <f t="shared" si="119"/>
        <v>117.6</v>
      </c>
      <c r="W277" s="252">
        <f t="shared" si="119"/>
        <v>73.5</v>
      </c>
      <c r="X277" s="252">
        <f t="shared" si="119"/>
        <v>44.1</v>
      </c>
      <c r="Y277" s="252"/>
      <c r="Z277" s="252">
        <f t="shared" si="118"/>
        <v>514.5</v>
      </c>
      <c r="AB277" s="288"/>
      <c r="AC277" s="289"/>
      <c r="AD277" s="289"/>
      <c r="AE277" s="289"/>
      <c r="AF277" s="289"/>
      <c r="AG277" s="289"/>
    </row>
    <row r="278" spans="1:33" ht="15" thickTop="1" thickBot="1">
      <c r="A278" s="274" t="s">
        <v>7</v>
      </c>
      <c r="B278" s="43" t="s">
        <v>8</v>
      </c>
      <c r="C278" s="43"/>
      <c r="D278" s="43"/>
      <c r="E278" s="44" t="s">
        <v>9</v>
      </c>
      <c r="F278" s="45"/>
      <c r="G278" s="45"/>
      <c r="H278" s="44"/>
      <c r="I278" s="44"/>
      <c r="J278" s="44"/>
      <c r="K278" s="44"/>
      <c r="L278" s="44"/>
      <c r="M278" s="44"/>
      <c r="N278" s="44"/>
      <c r="O278" s="44"/>
      <c r="AB278" s="288"/>
      <c r="AC278" s="289"/>
      <c r="AD278" s="289"/>
      <c r="AE278" s="289"/>
      <c r="AF278" s="289"/>
      <c r="AG278" s="289"/>
    </row>
    <row r="279" spans="1:33" ht="15" thickTop="1" thickBot="1">
      <c r="A279" s="278" t="s">
        <v>84</v>
      </c>
      <c r="B279" s="38" t="s">
        <v>85</v>
      </c>
      <c r="C279" s="9" t="s">
        <v>12</v>
      </c>
      <c r="D279" s="9" t="s">
        <v>13</v>
      </c>
      <c r="E279" s="10"/>
      <c r="F279" s="256" t="s">
        <v>14</v>
      </c>
      <c r="G279" s="257">
        <v>34</v>
      </c>
      <c r="H279" s="257">
        <v>36</v>
      </c>
      <c r="I279" s="257">
        <v>38</v>
      </c>
      <c r="J279" s="257">
        <v>40</v>
      </c>
      <c r="K279" s="257">
        <v>42</v>
      </c>
      <c r="L279" s="257">
        <v>44</v>
      </c>
      <c r="M279" s="257">
        <v>46</v>
      </c>
      <c r="N279" s="257"/>
      <c r="O279" s="258" t="s">
        <v>15</v>
      </c>
      <c r="Q279" s="259" t="s">
        <v>14</v>
      </c>
      <c r="R279" s="259"/>
      <c r="S279" s="259">
        <v>36</v>
      </c>
      <c r="T279" s="259">
        <v>38</v>
      </c>
      <c r="U279" s="259">
        <v>40</v>
      </c>
      <c r="V279" s="259">
        <v>42</v>
      </c>
      <c r="W279" s="259">
        <v>44</v>
      </c>
      <c r="X279" s="259">
        <v>46</v>
      </c>
      <c r="Y279" s="259"/>
      <c r="Z279" s="259" t="s">
        <v>15</v>
      </c>
      <c r="AB279" s="288"/>
      <c r="AC279" s="289"/>
      <c r="AD279" s="289"/>
      <c r="AE279" s="289"/>
      <c r="AF279" s="289"/>
      <c r="AG279" s="289"/>
    </row>
    <row r="280" spans="1:33" ht="15" thickTop="1" thickBot="1">
      <c r="A280" s="280" t="str">
        <f t="shared" ref="A280:A286" si="120">+A279</f>
        <v>4216-00</v>
      </c>
      <c r="B280" s="39" t="s">
        <v>16</v>
      </c>
      <c r="C280" s="39"/>
      <c r="D280" s="39" t="str">
        <f>+B279</f>
        <v>Missy Plus</v>
      </c>
      <c r="E280" s="40"/>
      <c r="F280" s="261" t="s">
        <v>1</v>
      </c>
      <c r="G280" s="261"/>
      <c r="H280" s="262">
        <f>'BASE DATOS'!C34</f>
        <v>0</v>
      </c>
      <c r="I280" s="262">
        <f>'BASE DATOS'!D34</f>
        <v>5</v>
      </c>
      <c r="J280" s="262">
        <f>'BASE DATOS'!E34</f>
        <v>5</v>
      </c>
      <c r="K280" s="262">
        <f>'BASE DATOS'!F34</f>
        <v>4</v>
      </c>
      <c r="L280" s="262">
        <f>'BASE DATOS'!G34</f>
        <v>3</v>
      </c>
      <c r="M280" s="262">
        <f>'BASE DATOS'!H34</f>
        <v>1</v>
      </c>
      <c r="N280" s="262"/>
      <c r="O280" s="263">
        <f t="shared" ref="O280:O286" si="121">SUM(H280:N280)</f>
        <v>18</v>
      </c>
      <c r="Q280" s="264"/>
      <c r="R280" s="264"/>
      <c r="S280" s="264"/>
      <c r="T280" s="264"/>
      <c r="U280" s="264"/>
      <c r="V280" s="264"/>
      <c r="W280" s="264"/>
      <c r="X280" s="264"/>
      <c r="Y280" s="264"/>
      <c r="Z280" s="264">
        <f>SUBTOTAL(9,S280:Y280)</f>
        <v>0</v>
      </c>
      <c r="AB280" s="288"/>
      <c r="AC280" s="289"/>
      <c r="AD280" s="289"/>
      <c r="AE280" s="289"/>
      <c r="AF280" s="289"/>
      <c r="AG280" s="289"/>
    </row>
    <row r="281" spans="1:33" ht="15" thickTop="1" thickBot="1">
      <c r="A281" s="280" t="str">
        <f t="shared" si="120"/>
        <v>4216-00</v>
      </c>
      <c r="B281" s="3"/>
      <c r="C281" s="4" t="s">
        <v>17</v>
      </c>
      <c r="D281" s="4" t="s">
        <v>18</v>
      </c>
      <c r="E281" s="5" t="s">
        <v>3</v>
      </c>
      <c r="F281" s="265"/>
      <c r="G281" s="2"/>
      <c r="H281" s="7"/>
      <c r="I281" s="7"/>
      <c r="J281" s="7"/>
      <c r="K281" s="7"/>
      <c r="L281" s="7"/>
      <c r="M281" s="7"/>
      <c r="N281" s="8"/>
      <c r="O281" s="14">
        <f t="shared" si="121"/>
        <v>0</v>
      </c>
      <c r="Q281" s="252" t="s">
        <v>19</v>
      </c>
      <c r="R281" s="266"/>
      <c r="S281" s="266"/>
      <c r="T281" s="266"/>
      <c r="U281" s="266"/>
      <c r="V281" s="266"/>
      <c r="W281" s="266"/>
      <c r="X281" s="266"/>
      <c r="Y281" s="267"/>
      <c r="Z281" s="268">
        <f t="shared" ref="Z281:Z286" si="122">SUM(S281:Y281)</f>
        <v>0</v>
      </c>
      <c r="AB281" s="288"/>
      <c r="AC281" s="289"/>
      <c r="AD281" s="289"/>
      <c r="AE281" s="289"/>
      <c r="AF281" s="289"/>
      <c r="AG281" s="289"/>
    </row>
    <row r="282" spans="1:33" ht="15" thickTop="1" thickBot="1">
      <c r="A282" s="280" t="str">
        <f t="shared" si="120"/>
        <v>4216-00</v>
      </c>
      <c r="B282" s="3"/>
      <c r="C282" s="3"/>
      <c r="D282" s="52"/>
      <c r="E282" s="5" t="s">
        <v>3</v>
      </c>
      <c r="F282" s="269"/>
      <c r="G282" s="6"/>
      <c r="H282" s="7"/>
      <c r="I282" s="7"/>
      <c r="J282" s="7"/>
      <c r="K282" s="7"/>
      <c r="L282" s="7"/>
      <c r="M282" s="7"/>
      <c r="N282" s="15"/>
      <c r="O282" s="14">
        <f t="shared" si="121"/>
        <v>0</v>
      </c>
      <c r="Q282" s="252" t="s">
        <v>4</v>
      </c>
      <c r="R282" s="266">
        <f>78/19</f>
        <v>4.1052631578947372</v>
      </c>
      <c r="S282" s="266"/>
      <c r="T282" s="266"/>
      <c r="U282" s="266"/>
      <c r="V282" s="266"/>
      <c r="W282" s="266"/>
      <c r="X282" s="266"/>
      <c r="Y282" s="266"/>
      <c r="Z282" s="266">
        <f t="shared" si="122"/>
        <v>0</v>
      </c>
      <c r="AB282" s="288"/>
      <c r="AC282" s="289"/>
      <c r="AD282" s="289"/>
      <c r="AE282" s="289"/>
      <c r="AF282" s="289"/>
      <c r="AG282" s="289"/>
    </row>
    <row r="283" spans="1:33" ht="15" thickTop="1" thickBot="1">
      <c r="A283" s="280" t="str">
        <f t="shared" si="120"/>
        <v>4216-00</v>
      </c>
      <c r="B283" s="3"/>
      <c r="C283" s="3"/>
      <c r="D283" s="3"/>
      <c r="E283" s="5" t="s">
        <v>3</v>
      </c>
      <c r="F283" s="269"/>
      <c r="G283" s="6"/>
      <c r="H283" s="15"/>
      <c r="I283" s="15"/>
      <c r="J283" s="15"/>
      <c r="K283" s="15"/>
      <c r="L283" s="15"/>
      <c r="M283" s="15"/>
      <c r="N283" s="15"/>
      <c r="O283" s="16">
        <f t="shared" si="121"/>
        <v>0</v>
      </c>
      <c r="Q283" s="252" t="s">
        <v>6</v>
      </c>
      <c r="R283" s="266">
        <f>25/11</f>
        <v>2.2727272727272729</v>
      </c>
      <c r="S283" s="266"/>
      <c r="T283" s="266"/>
      <c r="U283" s="266"/>
      <c r="V283" s="266"/>
      <c r="W283" s="266"/>
      <c r="X283" s="266"/>
      <c r="Y283" s="266"/>
      <c r="Z283" s="266">
        <f t="shared" si="122"/>
        <v>0</v>
      </c>
      <c r="AB283" s="288"/>
      <c r="AC283" s="289"/>
      <c r="AD283" s="289"/>
      <c r="AE283" s="289"/>
      <c r="AF283" s="289"/>
      <c r="AG283" s="289"/>
    </row>
    <row r="284" spans="1:33" ht="15" thickTop="1" thickBot="1">
      <c r="A284" s="280" t="str">
        <f t="shared" si="120"/>
        <v>4216-00</v>
      </c>
      <c r="B284" s="3"/>
      <c r="C284" s="3"/>
      <c r="D284" s="3"/>
      <c r="E284" s="5" t="s">
        <v>3</v>
      </c>
      <c r="F284" s="269"/>
      <c r="G284" s="6"/>
      <c r="H284" s="8"/>
      <c r="I284" s="8"/>
      <c r="J284" s="8"/>
      <c r="K284" s="8"/>
      <c r="L284" s="8"/>
      <c r="M284" s="8"/>
      <c r="N284" s="15"/>
      <c r="O284" s="16">
        <f t="shared" si="121"/>
        <v>0</v>
      </c>
      <c r="Q284" s="266"/>
      <c r="R284" s="266"/>
      <c r="S284" s="266"/>
      <c r="T284" s="266"/>
      <c r="U284" s="266"/>
      <c r="V284" s="266"/>
      <c r="W284" s="266"/>
      <c r="X284" s="266"/>
      <c r="Y284" s="266"/>
      <c r="Z284" s="266">
        <f t="shared" si="122"/>
        <v>0</v>
      </c>
      <c r="AB284" s="288"/>
      <c r="AC284" s="289"/>
      <c r="AD284" s="289"/>
      <c r="AE284" s="289"/>
      <c r="AF284" s="289"/>
      <c r="AG284" s="289"/>
    </row>
    <row r="285" spans="1:33" ht="15" thickTop="1" thickBot="1">
      <c r="A285" s="283" t="str">
        <f t="shared" si="120"/>
        <v>4216-00</v>
      </c>
      <c r="B285" s="19"/>
      <c r="C285" s="19"/>
      <c r="D285" s="19"/>
      <c r="E285" s="20" t="s">
        <v>3</v>
      </c>
      <c r="F285" s="271"/>
      <c r="G285" s="21"/>
      <c r="H285" s="22"/>
      <c r="I285" s="22"/>
      <c r="J285" s="22"/>
      <c r="K285" s="22"/>
      <c r="L285" s="22"/>
      <c r="M285" s="22"/>
      <c r="N285" s="22"/>
      <c r="O285" s="23">
        <f t="shared" si="121"/>
        <v>0</v>
      </c>
      <c r="Q285" s="252" t="s">
        <v>2</v>
      </c>
      <c r="R285" s="272">
        <f>500/10.2</f>
        <v>49.019607843137258</v>
      </c>
      <c r="S285" s="252">
        <f>49*1.2</f>
        <v>58.8</v>
      </c>
      <c r="T285" s="252">
        <f>49*2.1</f>
        <v>102.9</v>
      </c>
      <c r="U285" s="252">
        <f>49*2.4</f>
        <v>117.6</v>
      </c>
      <c r="V285" s="252">
        <f>49*2.4</f>
        <v>117.6</v>
      </c>
      <c r="W285" s="252">
        <f>49*1.5</f>
        <v>73.5</v>
      </c>
      <c r="X285" s="252">
        <f>49*0.9</f>
        <v>44.1</v>
      </c>
      <c r="Y285" s="266"/>
      <c r="Z285" s="266">
        <f t="shared" si="122"/>
        <v>514.5</v>
      </c>
      <c r="AB285" s="288"/>
      <c r="AC285" s="289"/>
      <c r="AD285" s="289"/>
      <c r="AE285" s="289"/>
      <c r="AF285" s="289"/>
      <c r="AG285" s="289"/>
    </row>
    <row r="286" spans="1:33" ht="15" thickTop="1" thickBot="1">
      <c r="A286" s="284" t="str">
        <f t="shared" si="120"/>
        <v>4216-00</v>
      </c>
      <c r="B286" s="47"/>
      <c r="C286" s="47"/>
      <c r="D286" s="47"/>
      <c r="E286" s="48" t="s">
        <v>23</v>
      </c>
      <c r="F286" s="49" t="str">
        <f>+B279</f>
        <v>Missy Plus</v>
      </c>
      <c r="G286" s="48"/>
      <c r="H286" s="48">
        <f>+H280-H281-H282-H283-H285+H284</f>
        <v>0</v>
      </c>
      <c r="I286" s="48">
        <f>+I280-I281-I282-I283-I285+I284</f>
        <v>5</v>
      </c>
      <c r="J286" s="48">
        <f>+J280-J281-J282-J283-J285-J284</f>
        <v>5</v>
      </c>
      <c r="K286" s="48">
        <f>+K280-K281-K282-K283-K285-K284</f>
        <v>4</v>
      </c>
      <c r="L286" s="48">
        <f>+L280-L281-L282-L283-L285-L284</f>
        <v>3</v>
      </c>
      <c r="M286" s="48">
        <f>+M280-M281-M282-M283-M285-M284</f>
        <v>1</v>
      </c>
      <c r="N286" s="48"/>
      <c r="O286" s="48">
        <f t="shared" si="121"/>
        <v>18</v>
      </c>
      <c r="Q286" s="266"/>
      <c r="R286" s="266"/>
      <c r="S286" s="252">
        <f t="shared" ref="S286:X286" si="123">SUM(S282:S285)</f>
        <v>58.8</v>
      </c>
      <c r="T286" s="252">
        <f t="shared" si="123"/>
        <v>102.9</v>
      </c>
      <c r="U286" s="252">
        <f t="shared" si="123"/>
        <v>117.6</v>
      </c>
      <c r="V286" s="252">
        <f t="shared" si="123"/>
        <v>117.6</v>
      </c>
      <c r="W286" s="252">
        <f t="shared" si="123"/>
        <v>73.5</v>
      </c>
      <c r="X286" s="252">
        <f t="shared" si="123"/>
        <v>44.1</v>
      </c>
      <c r="Y286" s="252"/>
      <c r="Z286" s="252">
        <f t="shared" si="122"/>
        <v>514.5</v>
      </c>
      <c r="AB286" s="288"/>
      <c r="AC286" s="289"/>
      <c r="AD286" s="289"/>
      <c r="AE286" s="289"/>
      <c r="AF286" s="289"/>
      <c r="AG286" s="289"/>
    </row>
    <row r="287" spans="1:33" ht="15" thickTop="1" thickBot="1">
      <c r="A287" s="274" t="s">
        <v>7</v>
      </c>
      <c r="B287" s="43" t="s">
        <v>8</v>
      </c>
      <c r="C287" s="43"/>
      <c r="D287" s="43"/>
      <c r="E287" s="44" t="s">
        <v>9</v>
      </c>
      <c r="F287" s="45"/>
      <c r="G287" s="45"/>
      <c r="H287" s="44"/>
      <c r="I287" s="44"/>
      <c r="J287" s="44"/>
      <c r="K287" s="44"/>
      <c r="L287" s="44"/>
      <c r="M287" s="44"/>
      <c r="N287" s="44"/>
      <c r="O287" s="44"/>
      <c r="AB287" s="288"/>
      <c r="AC287" s="289"/>
      <c r="AD287" s="289"/>
      <c r="AE287" s="289"/>
      <c r="AF287" s="289"/>
      <c r="AG287" s="289"/>
    </row>
    <row r="288" spans="1:33" ht="15" thickTop="1" thickBot="1">
      <c r="A288" s="278">
        <v>4217</v>
      </c>
      <c r="B288" s="38"/>
      <c r="C288" s="9" t="s">
        <v>12</v>
      </c>
      <c r="D288" s="9"/>
      <c r="E288" s="10"/>
      <c r="F288" s="256" t="s">
        <v>14</v>
      </c>
      <c r="G288" s="257">
        <v>34</v>
      </c>
      <c r="H288" s="257">
        <v>36</v>
      </c>
      <c r="I288" s="257">
        <v>38</v>
      </c>
      <c r="J288" s="257">
        <v>40</v>
      </c>
      <c r="K288" s="257">
        <v>42</v>
      </c>
      <c r="L288" s="257">
        <v>44</v>
      </c>
      <c r="M288" s="257">
        <v>46</v>
      </c>
      <c r="N288" s="257"/>
      <c r="O288" s="258" t="s">
        <v>15</v>
      </c>
      <c r="Q288" s="259" t="s">
        <v>14</v>
      </c>
      <c r="R288" s="259"/>
      <c r="S288" s="259">
        <v>36</v>
      </c>
      <c r="T288" s="259">
        <v>38</v>
      </c>
      <c r="U288" s="259">
        <v>40</v>
      </c>
      <c r="V288" s="259">
        <v>42</v>
      </c>
      <c r="W288" s="259">
        <v>44</v>
      </c>
      <c r="X288" s="259">
        <v>46</v>
      </c>
      <c r="Y288" s="259"/>
      <c r="Z288" s="259" t="s">
        <v>15</v>
      </c>
      <c r="AB288" s="288"/>
      <c r="AC288" s="289"/>
      <c r="AD288" s="289"/>
      <c r="AE288" s="289"/>
      <c r="AF288" s="289"/>
      <c r="AG288" s="289"/>
    </row>
    <row r="289" spans="1:33" ht="15" thickTop="1" thickBot="1">
      <c r="A289" s="280">
        <f t="shared" ref="A289:A295" si="124">+A288</f>
        <v>4217</v>
      </c>
      <c r="B289" s="39" t="s">
        <v>16</v>
      </c>
      <c r="C289" s="39"/>
      <c r="D289" s="39">
        <f>+B288</f>
        <v>0</v>
      </c>
      <c r="E289" s="40"/>
      <c r="F289" s="261" t="s">
        <v>1</v>
      </c>
      <c r="G289" s="261"/>
      <c r="H289" s="262">
        <f>'BASE DATOS'!C35</f>
        <v>3</v>
      </c>
      <c r="I289" s="262">
        <f>'BASE DATOS'!D35</f>
        <v>7</v>
      </c>
      <c r="J289" s="262">
        <f>'BASE DATOS'!E35</f>
        <v>9</v>
      </c>
      <c r="K289" s="262">
        <f>'BASE DATOS'!F35</f>
        <v>6</v>
      </c>
      <c r="L289" s="262">
        <f>'BASE DATOS'!G35</f>
        <v>3</v>
      </c>
      <c r="M289" s="262">
        <f>'BASE DATOS'!H35</f>
        <v>1</v>
      </c>
      <c r="N289" s="262"/>
      <c r="O289" s="263">
        <f t="shared" ref="O289:O295" si="125">SUM(H289:N289)</f>
        <v>29</v>
      </c>
      <c r="Q289" s="264"/>
      <c r="R289" s="264"/>
      <c r="S289" s="264"/>
      <c r="T289" s="264"/>
      <c r="U289" s="264"/>
      <c r="V289" s="264"/>
      <c r="W289" s="264"/>
      <c r="X289" s="264"/>
      <c r="Y289" s="264"/>
      <c r="Z289" s="264">
        <f>SUBTOTAL(9,S289:Y289)</f>
        <v>0</v>
      </c>
      <c r="AB289" s="288"/>
      <c r="AC289" s="289"/>
      <c r="AD289" s="289"/>
      <c r="AE289" s="289"/>
      <c r="AF289" s="289"/>
      <c r="AG289" s="289"/>
    </row>
    <row r="290" spans="1:33" ht="15" thickTop="1" thickBot="1">
      <c r="A290" s="280">
        <f t="shared" si="124"/>
        <v>4217</v>
      </c>
      <c r="B290" s="3"/>
      <c r="C290" s="4" t="s">
        <v>17</v>
      </c>
      <c r="D290" s="4"/>
      <c r="E290" s="5" t="s">
        <v>3</v>
      </c>
      <c r="F290" s="265"/>
      <c r="G290" s="2"/>
      <c r="H290" s="7"/>
      <c r="I290" s="7"/>
      <c r="J290" s="7"/>
      <c r="K290" s="7"/>
      <c r="L290" s="7"/>
      <c r="M290" s="7"/>
      <c r="N290" s="8"/>
      <c r="O290" s="14">
        <f t="shared" si="125"/>
        <v>0</v>
      </c>
      <c r="Q290" s="252" t="s">
        <v>19</v>
      </c>
      <c r="R290" s="266"/>
      <c r="S290" s="266"/>
      <c r="T290" s="266"/>
      <c r="U290" s="266"/>
      <c r="V290" s="266"/>
      <c r="W290" s="266"/>
      <c r="X290" s="266"/>
      <c r="Y290" s="267"/>
      <c r="Z290" s="268">
        <f t="shared" ref="Z290:Z295" si="126">SUM(S290:Y290)</f>
        <v>0</v>
      </c>
      <c r="AB290" s="288"/>
      <c r="AC290" s="289"/>
      <c r="AD290" s="289"/>
      <c r="AE290" s="289"/>
      <c r="AF290" s="289"/>
      <c r="AG290" s="289"/>
    </row>
    <row r="291" spans="1:33" ht="15" thickTop="1" thickBot="1">
      <c r="A291" s="280">
        <f t="shared" si="124"/>
        <v>4217</v>
      </c>
      <c r="B291" s="3"/>
      <c r="C291" s="3"/>
      <c r="D291" s="52"/>
      <c r="E291" s="5" t="s">
        <v>3</v>
      </c>
      <c r="F291" s="269"/>
      <c r="G291" s="6"/>
      <c r="H291" s="7"/>
      <c r="I291" s="7"/>
      <c r="J291" s="7"/>
      <c r="K291" s="7"/>
      <c r="L291" s="7"/>
      <c r="M291" s="7"/>
      <c r="N291" s="15"/>
      <c r="O291" s="14">
        <f t="shared" si="125"/>
        <v>0</v>
      </c>
      <c r="Q291" s="252" t="s">
        <v>4</v>
      </c>
      <c r="R291" s="266">
        <f>78/19</f>
        <v>4.1052631578947372</v>
      </c>
      <c r="S291" s="266"/>
      <c r="T291" s="266"/>
      <c r="U291" s="266"/>
      <c r="V291" s="266"/>
      <c r="W291" s="266"/>
      <c r="X291" s="266"/>
      <c r="Y291" s="266"/>
      <c r="Z291" s="266">
        <f t="shared" si="126"/>
        <v>0</v>
      </c>
      <c r="AB291" s="288"/>
      <c r="AC291" s="289"/>
      <c r="AD291" s="289"/>
      <c r="AE291" s="289"/>
      <c r="AF291" s="289"/>
      <c r="AG291" s="289"/>
    </row>
    <row r="292" spans="1:33" ht="15" thickTop="1" thickBot="1">
      <c r="A292" s="280">
        <f t="shared" si="124"/>
        <v>4217</v>
      </c>
      <c r="B292" s="3"/>
      <c r="C292" s="3"/>
      <c r="D292" s="3"/>
      <c r="E292" s="5" t="s">
        <v>3</v>
      </c>
      <c r="F292" s="269"/>
      <c r="G292" s="6"/>
      <c r="H292" s="15"/>
      <c r="I292" s="15"/>
      <c r="J292" s="15"/>
      <c r="K292" s="15"/>
      <c r="L292" s="15"/>
      <c r="M292" s="15"/>
      <c r="N292" s="15"/>
      <c r="O292" s="16">
        <f t="shared" si="125"/>
        <v>0</v>
      </c>
      <c r="Q292" s="252" t="s">
        <v>6</v>
      </c>
      <c r="R292" s="266">
        <f>25/11</f>
        <v>2.2727272727272729</v>
      </c>
      <c r="S292" s="266"/>
      <c r="T292" s="266"/>
      <c r="U292" s="266"/>
      <c r="V292" s="266"/>
      <c r="W292" s="266"/>
      <c r="X292" s="266"/>
      <c r="Y292" s="266"/>
      <c r="Z292" s="266">
        <f t="shared" si="126"/>
        <v>0</v>
      </c>
      <c r="AB292" s="288"/>
      <c r="AC292" s="289"/>
      <c r="AD292" s="289"/>
      <c r="AE292" s="289"/>
      <c r="AF292" s="289"/>
      <c r="AG292" s="289"/>
    </row>
    <row r="293" spans="1:33" ht="15" thickTop="1" thickBot="1">
      <c r="A293" s="280">
        <f t="shared" si="124"/>
        <v>4217</v>
      </c>
      <c r="B293" s="3"/>
      <c r="C293" s="3"/>
      <c r="D293" s="3"/>
      <c r="E293" s="5" t="s">
        <v>3</v>
      </c>
      <c r="F293" s="269"/>
      <c r="G293" s="6"/>
      <c r="H293" s="8"/>
      <c r="I293" s="8"/>
      <c r="J293" s="8"/>
      <c r="K293" s="8"/>
      <c r="L293" s="8"/>
      <c r="M293" s="8"/>
      <c r="N293" s="15"/>
      <c r="O293" s="16">
        <f t="shared" si="125"/>
        <v>0</v>
      </c>
      <c r="Q293" s="266"/>
      <c r="R293" s="266"/>
      <c r="S293" s="266"/>
      <c r="T293" s="266"/>
      <c r="U293" s="266"/>
      <c r="V293" s="266"/>
      <c r="W293" s="266"/>
      <c r="X293" s="266"/>
      <c r="Y293" s="266"/>
      <c r="Z293" s="266">
        <f t="shared" si="126"/>
        <v>0</v>
      </c>
      <c r="AB293" s="288"/>
      <c r="AC293" s="289"/>
      <c r="AD293" s="289"/>
      <c r="AE293" s="289"/>
      <c r="AF293" s="289"/>
      <c r="AG293" s="289"/>
    </row>
    <row r="294" spans="1:33" ht="15" thickTop="1" thickBot="1">
      <c r="A294" s="283">
        <f t="shared" si="124"/>
        <v>4217</v>
      </c>
      <c r="B294" s="19"/>
      <c r="C294" s="19"/>
      <c r="D294" s="19"/>
      <c r="E294" s="20" t="s">
        <v>3</v>
      </c>
      <c r="F294" s="271"/>
      <c r="G294" s="21"/>
      <c r="H294" s="22"/>
      <c r="I294" s="22"/>
      <c r="J294" s="22"/>
      <c r="K294" s="22"/>
      <c r="L294" s="22"/>
      <c r="M294" s="22"/>
      <c r="N294" s="22"/>
      <c r="O294" s="23">
        <f t="shared" si="125"/>
        <v>0</v>
      </c>
      <c r="Q294" s="252" t="s">
        <v>2</v>
      </c>
      <c r="R294" s="272">
        <f>500/10.2</f>
        <v>49.019607843137258</v>
      </c>
      <c r="S294" s="252">
        <f>49*1.2</f>
        <v>58.8</v>
      </c>
      <c r="T294" s="252">
        <f>49*2.1</f>
        <v>102.9</v>
      </c>
      <c r="U294" s="252">
        <f>49*2.4</f>
        <v>117.6</v>
      </c>
      <c r="V294" s="252">
        <f>49*2.4</f>
        <v>117.6</v>
      </c>
      <c r="W294" s="252">
        <f>49*1.5</f>
        <v>73.5</v>
      </c>
      <c r="X294" s="252">
        <f>49*0.9</f>
        <v>44.1</v>
      </c>
      <c r="Y294" s="266"/>
      <c r="Z294" s="266">
        <f t="shared" si="126"/>
        <v>514.5</v>
      </c>
      <c r="AB294" s="288"/>
      <c r="AC294" s="289"/>
      <c r="AD294" s="289"/>
      <c r="AE294" s="289"/>
      <c r="AF294" s="289"/>
      <c r="AG294" s="289"/>
    </row>
    <row r="295" spans="1:33" ht="15" thickTop="1" thickBot="1">
      <c r="A295" s="284">
        <f t="shared" si="124"/>
        <v>4217</v>
      </c>
      <c r="B295" s="47"/>
      <c r="C295" s="47"/>
      <c r="D295" s="47"/>
      <c r="E295" s="48" t="s">
        <v>23</v>
      </c>
      <c r="F295" s="49">
        <f>+B288</f>
        <v>0</v>
      </c>
      <c r="G295" s="48"/>
      <c r="H295" s="48">
        <f>+H289-H290-H291-H292-H294+H293</f>
        <v>3</v>
      </c>
      <c r="I295" s="48">
        <f>+I289-I290-I291-I292-I294+I293</f>
        <v>7</v>
      </c>
      <c r="J295" s="48">
        <f>+J289-J290-J291-J292-J294-J293</f>
        <v>9</v>
      </c>
      <c r="K295" s="48">
        <f>+K289-K290-K291-K292-K294-K293</f>
        <v>6</v>
      </c>
      <c r="L295" s="48">
        <f>+L289-L290-L291-L292-L294-L293</f>
        <v>3</v>
      </c>
      <c r="M295" s="48">
        <f>+M289-M290-M291-M292-M294-M293</f>
        <v>1</v>
      </c>
      <c r="N295" s="48"/>
      <c r="O295" s="48">
        <f t="shared" si="125"/>
        <v>29</v>
      </c>
      <c r="Q295" s="266"/>
      <c r="R295" s="266"/>
      <c r="S295" s="252">
        <f t="shared" ref="S295:X295" si="127">SUM(S291:S294)</f>
        <v>58.8</v>
      </c>
      <c r="T295" s="252">
        <f t="shared" si="127"/>
        <v>102.9</v>
      </c>
      <c r="U295" s="252">
        <f t="shared" si="127"/>
        <v>117.6</v>
      </c>
      <c r="V295" s="252">
        <f t="shared" si="127"/>
        <v>117.6</v>
      </c>
      <c r="W295" s="252">
        <f t="shared" si="127"/>
        <v>73.5</v>
      </c>
      <c r="X295" s="252">
        <f t="shared" si="127"/>
        <v>44.1</v>
      </c>
      <c r="Y295" s="252"/>
      <c r="Z295" s="252">
        <f t="shared" si="126"/>
        <v>514.5</v>
      </c>
      <c r="AB295" s="288"/>
      <c r="AC295" s="289"/>
      <c r="AD295" s="289"/>
      <c r="AE295" s="289"/>
      <c r="AF295" s="289"/>
      <c r="AG295" s="289"/>
    </row>
    <row r="296" spans="1:33" ht="15" thickTop="1" thickBot="1">
      <c r="A296" s="333" t="s">
        <v>7</v>
      </c>
      <c r="B296" s="43" t="s">
        <v>8</v>
      </c>
      <c r="C296" s="43"/>
      <c r="D296" s="43"/>
      <c r="E296" s="44" t="s">
        <v>9</v>
      </c>
      <c r="F296" s="45"/>
      <c r="G296" s="45"/>
      <c r="H296" s="44"/>
      <c r="I296" s="44"/>
      <c r="J296" s="44"/>
      <c r="K296" s="44"/>
      <c r="L296" s="44"/>
      <c r="M296" s="44"/>
      <c r="N296" s="44"/>
      <c r="O296" s="44"/>
      <c r="AB296" s="288"/>
      <c r="AC296" s="289"/>
      <c r="AD296" s="289"/>
      <c r="AE296" s="289"/>
      <c r="AF296" s="289"/>
      <c r="AG296" s="289"/>
    </row>
    <row r="297" spans="1:33" ht="15" thickTop="1" thickBot="1">
      <c r="A297" s="334" t="s">
        <v>86</v>
      </c>
      <c r="B297" s="38" t="s">
        <v>87</v>
      </c>
      <c r="C297" s="9" t="s">
        <v>12</v>
      </c>
      <c r="D297" s="9" t="s">
        <v>13</v>
      </c>
      <c r="E297" s="10"/>
      <c r="F297" s="256" t="s">
        <v>14</v>
      </c>
      <c r="G297" s="257">
        <v>34</v>
      </c>
      <c r="H297" s="257">
        <v>36</v>
      </c>
      <c r="I297" s="257">
        <v>38</v>
      </c>
      <c r="J297" s="257">
        <v>40</v>
      </c>
      <c r="K297" s="257">
        <v>42</v>
      </c>
      <c r="L297" s="257">
        <v>44</v>
      </c>
      <c r="M297" s="257">
        <v>46</v>
      </c>
      <c r="N297" s="257"/>
      <c r="O297" s="258" t="s">
        <v>15</v>
      </c>
      <c r="Q297" s="259" t="s">
        <v>14</v>
      </c>
      <c r="R297" s="259"/>
      <c r="S297" s="259">
        <v>36</v>
      </c>
      <c r="T297" s="259">
        <v>38</v>
      </c>
      <c r="U297" s="259">
        <v>40</v>
      </c>
      <c r="V297" s="259">
        <v>42</v>
      </c>
      <c r="W297" s="259">
        <v>44</v>
      </c>
      <c r="X297" s="259">
        <v>46</v>
      </c>
      <c r="Y297" s="259"/>
      <c r="Z297" s="335" t="s">
        <v>15</v>
      </c>
      <c r="AB297" s="288"/>
      <c r="AC297" s="289"/>
      <c r="AD297" s="289"/>
      <c r="AE297" s="289"/>
      <c r="AF297" s="289"/>
      <c r="AG297" s="289"/>
    </row>
    <row r="298" spans="1:33" ht="15" thickTop="1" thickBot="1">
      <c r="A298" s="336" t="str">
        <f t="shared" ref="A298:A304" si="128">+A297</f>
        <v>4218-00</v>
      </c>
      <c r="B298" s="39" t="s">
        <v>16</v>
      </c>
      <c r="C298" s="39"/>
      <c r="D298" s="39" t="str">
        <f>+B297</f>
        <v>New  Glue</v>
      </c>
      <c r="E298" s="40"/>
      <c r="F298" s="261" t="s">
        <v>1</v>
      </c>
      <c r="G298" s="261"/>
      <c r="H298" s="262">
        <f>'BASE DATOS'!C36</f>
        <v>71</v>
      </c>
      <c r="I298" s="262">
        <f>'BASE DATOS'!D36</f>
        <v>152</v>
      </c>
      <c r="J298" s="262">
        <f>'BASE DATOS'!E36</f>
        <v>171</v>
      </c>
      <c r="K298" s="262">
        <f>'BASE DATOS'!F36</f>
        <v>160</v>
      </c>
      <c r="L298" s="262">
        <f>'BASE DATOS'!G36</f>
        <v>111</v>
      </c>
      <c r="M298" s="262">
        <f>'BASE DATOS'!H36</f>
        <v>87</v>
      </c>
      <c r="N298" s="262"/>
      <c r="O298" s="263">
        <f t="shared" ref="O298:O304" si="129">SUM(H298:N298)</f>
        <v>752</v>
      </c>
      <c r="Q298" s="264"/>
      <c r="R298" s="264"/>
      <c r="S298" s="264"/>
      <c r="T298" s="264"/>
      <c r="U298" s="264"/>
      <c r="V298" s="264"/>
      <c r="W298" s="264"/>
      <c r="X298" s="264"/>
      <c r="Y298" s="264"/>
      <c r="Z298" s="337">
        <f>SUBTOTAL(9,S298:Y298)</f>
        <v>0</v>
      </c>
      <c r="AB298" s="288"/>
      <c r="AC298" s="289"/>
      <c r="AD298" s="289"/>
      <c r="AE298" s="289"/>
      <c r="AF298" s="289"/>
      <c r="AG298" s="289"/>
    </row>
    <row r="299" spans="1:33" ht="15" thickTop="1" thickBot="1">
      <c r="A299" s="336" t="str">
        <f t="shared" si="128"/>
        <v>4218-00</v>
      </c>
      <c r="B299" s="3">
        <v>46006</v>
      </c>
      <c r="C299" s="4" t="s">
        <v>17</v>
      </c>
      <c r="D299" s="4" t="s">
        <v>42</v>
      </c>
      <c r="E299" s="5" t="s">
        <v>3</v>
      </c>
      <c r="F299" s="265" t="s">
        <v>88</v>
      </c>
      <c r="G299" s="2"/>
      <c r="H299" s="7">
        <f>50-H308</f>
        <v>20</v>
      </c>
      <c r="I299" s="7">
        <f>82-I308</f>
        <v>34</v>
      </c>
      <c r="J299" s="7">
        <f>103-J308</f>
        <v>43</v>
      </c>
      <c r="K299" s="7">
        <f>92-K308</f>
        <v>38</v>
      </c>
      <c r="L299" s="7">
        <f>65-L308</f>
        <v>28</v>
      </c>
      <c r="M299" s="7">
        <f>38-M308</f>
        <v>14</v>
      </c>
      <c r="N299" s="8"/>
      <c r="O299" s="14">
        <f t="shared" si="129"/>
        <v>177</v>
      </c>
      <c r="Q299" s="252" t="s">
        <v>19</v>
      </c>
      <c r="R299" s="266"/>
      <c r="S299" s="266"/>
      <c r="T299" s="266"/>
      <c r="U299" s="266"/>
      <c r="V299" s="266"/>
      <c r="W299" s="266"/>
      <c r="X299" s="266"/>
      <c r="Y299" s="267"/>
      <c r="Z299" s="338">
        <f t="shared" ref="Z299:Z304" si="130">SUM(S299:Y299)</f>
        <v>0</v>
      </c>
      <c r="AB299" s="288"/>
      <c r="AC299" s="289"/>
      <c r="AD299" s="289"/>
      <c r="AE299" s="289"/>
      <c r="AF299" s="289"/>
      <c r="AG299" s="289"/>
    </row>
    <row r="300" spans="1:33" ht="15" thickTop="1" thickBot="1">
      <c r="A300" s="336" t="str">
        <f t="shared" si="128"/>
        <v>4218-00</v>
      </c>
      <c r="B300" s="3">
        <v>46057</v>
      </c>
      <c r="C300" s="3"/>
      <c r="D300" s="57" t="s">
        <v>89</v>
      </c>
      <c r="E300" s="5" t="s">
        <v>3</v>
      </c>
      <c r="F300" s="269" t="s">
        <v>90</v>
      </c>
      <c r="G300" s="6"/>
      <c r="H300" s="7">
        <f>74-H309-H317</f>
        <v>58</v>
      </c>
      <c r="I300" s="7">
        <f>174-I309-I317</f>
        <v>131</v>
      </c>
      <c r="J300" s="7">
        <f>190-J309-J317</f>
        <v>146</v>
      </c>
      <c r="K300" s="7">
        <f>178-K309-K317</f>
        <v>136</v>
      </c>
      <c r="L300" s="7">
        <f>128-L309-L317</f>
        <v>97</v>
      </c>
      <c r="M300" s="7">
        <f>108-M309-M317</f>
        <v>83</v>
      </c>
      <c r="N300" s="15"/>
      <c r="O300" s="14">
        <f t="shared" si="129"/>
        <v>651</v>
      </c>
      <c r="Q300" s="252" t="s">
        <v>4</v>
      </c>
      <c r="R300" s="266">
        <f>78/19</f>
        <v>4.1052631578947372</v>
      </c>
      <c r="S300" s="266"/>
      <c r="T300" s="266"/>
      <c r="U300" s="266"/>
      <c r="V300" s="266"/>
      <c r="W300" s="266"/>
      <c r="X300" s="266"/>
      <c r="Y300" s="266"/>
      <c r="Z300" s="339">
        <f t="shared" si="130"/>
        <v>0</v>
      </c>
      <c r="AB300" s="288"/>
      <c r="AC300" s="289"/>
      <c r="AD300" s="289"/>
      <c r="AE300" s="289"/>
      <c r="AF300" s="289"/>
      <c r="AG300" s="289"/>
    </row>
    <row r="301" spans="1:33" ht="15" thickTop="1" thickBot="1">
      <c r="A301" s="336" t="str">
        <f t="shared" si="128"/>
        <v>4218-00</v>
      </c>
      <c r="B301" s="3"/>
      <c r="C301" s="3"/>
      <c r="D301" s="57" t="s">
        <v>91</v>
      </c>
      <c r="E301" s="5" t="s">
        <v>3</v>
      </c>
      <c r="F301" s="269"/>
      <c r="G301" s="6"/>
      <c r="H301" s="15"/>
      <c r="I301" s="15"/>
      <c r="J301" s="15"/>
      <c r="K301" s="15"/>
      <c r="L301" s="15"/>
      <c r="M301" s="15"/>
      <c r="N301" s="15"/>
      <c r="O301" s="16">
        <f t="shared" si="129"/>
        <v>0</v>
      </c>
      <c r="Q301" s="252" t="s">
        <v>6</v>
      </c>
      <c r="R301" s="266">
        <f>25/11</f>
        <v>2.2727272727272729</v>
      </c>
      <c r="S301" s="266"/>
      <c r="T301" s="266"/>
      <c r="U301" s="266"/>
      <c r="V301" s="266"/>
      <c r="W301" s="266"/>
      <c r="X301" s="266"/>
      <c r="Y301" s="266"/>
      <c r="Z301" s="339">
        <f t="shared" si="130"/>
        <v>0</v>
      </c>
      <c r="AB301" s="288"/>
      <c r="AC301" s="289"/>
      <c r="AD301" s="289"/>
      <c r="AE301" s="289"/>
      <c r="AF301" s="289"/>
      <c r="AG301" s="289"/>
    </row>
    <row r="302" spans="1:33" ht="15" thickTop="1" thickBot="1">
      <c r="A302" s="336" t="str">
        <f t="shared" si="128"/>
        <v>4218-00</v>
      </c>
      <c r="B302" s="3"/>
      <c r="C302" s="3"/>
      <c r="D302" s="3"/>
      <c r="E302" s="5" t="s">
        <v>3</v>
      </c>
      <c r="F302" s="269"/>
      <c r="G302" s="6"/>
      <c r="H302" s="8"/>
      <c r="I302" s="8"/>
      <c r="J302" s="8"/>
      <c r="K302" s="8"/>
      <c r="L302" s="8"/>
      <c r="M302" s="8"/>
      <c r="N302" s="15"/>
      <c r="O302" s="16">
        <f t="shared" si="129"/>
        <v>0</v>
      </c>
      <c r="Q302" s="266"/>
      <c r="R302" s="266"/>
      <c r="S302" s="266"/>
      <c r="T302" s="266"/>
      <c r="U302" s="266"/>
      <c r="V302" s="266"/>
      <c r="W302" s="266"/>
      <c r="X302" s="266"/>
      <c r="Y302" s="266"/>
      <c r="Z302" s="339">
        <f t="shared" si="130"/>
        <v>0</v>
      </c>
      <c r="AB302" s="288"/>
      <c r="AC302" s="289"/>
      <c r="AD302" s="289"/>
      <c r="AE302" s="289"/>
      <c r="AF302" s="289"/>
      <c r="AG302" s="289"/>
    </row>
    <row r="303" spans="1:33" ht="15" thickTop="1" thickBot="1">
      <c r="A303" s="340" t="str">
        <f t="shared" si="128"/>
        <v>4218-00</v>
      </c>
      <c r="B303" s="19"/>
      <c r="C303" s="19"/>
      <c r="D303" s="19"/>
      <c r="E303" s="20" t="s">
        <v>3</v>
      </c>
      <c r="F303" s="271"/>
      <c r="G303" s="21"/>
      <c r="H303" s="22"/>
      <c r="I303" s="22"/>
      <c r="J303" s="22"/>
      <c r="K303" s="22"/>
      <c r="L303" s="22"/>
      <c r="M303" s="22"/>
      <c r="N303" s="22"/>
      <c r="O303" s="23">
        <f t="shared" si="129"/>
        <v>0</v>
      </c>
      <c r="Q303" s="252" t="s">
        <v>2</v>
      </c>
      <c r="R303" s="272">
        <f>500/10.2</f>
        <v>49.019607843137258</v>
      </c>
      <c r="S303" s="252">
        <f>49*1.2</f>
        <v>58.8</v>
      </c>
      <c r="T303" s="252">
        <f>49*2.1</f>
        <v>102.9</v>
      </c>
      <c r="U303" s="252">
        <f>49*2.4</f>
        <v>117.6</v>
      </c>
      <c r="V303" s="252">
        <f>49*2.4</f>
        <v>117.6</v>
      </c>
      <c r="W303" s="252">
        <f>49*1.5</f>
        <v>73.5</v>
      </c>
      <c r="X303" s="252">
        <f>49*0.9</f>
        <v>44.1</v>
      </c>
      <c r="Y303" s="266"/>
      <c r="Z303" s="339">
        <f t="shared" si="130"/>
        <v>514.5</v>
      </c>
      <c r="AB303" s="288"/>
      <c r="AC303" s="289"/>
      <c r="AD303" s="289"/>
      <c r="AE303" s="289"/>
      <c r="AF303" s="289"/>
      <c r="AG303" s="289"/>
    </row>
    <row r="304" spans="1:33" ht="15" thickTop="1" thickBot="1">
      <c r="A304" s="341" t="str">
        <f t="shared" si="128"/>
        <v>4218-00</v>
      </c>
      <c r="B304" s="47"/>
      <c r="C304" s="47"/>
      <c r="D304" s="47"/>
      <c r="E304" s="48" t="s">
        <v>23</v>
      </c>
      <c r="F304" s="49" t="str">
        <f>+B297</f>
        <v>New  Glue</v>
      </c>
      <c r="G304" s="48"/>
      <c r="H304" s="48">
        <f>+H298-H299-H300-H301-H303+H302</f>
        <v>-7</v>
      </c>
      <c r="I304" s="48">
        <f>+I298-I299-I300-I301-I303+I302</f>
        <v>-13</v>
      </c>
      <c r="J304" s="48">
        <f>+J298-J299-J300-J301-J303-J302</f>
        <v>-18</v>
      </c>
      <c r="K304" s="48">
        <f>+K298-K299-K300-K301-K303-K302</f>
        <v>-14</v>
      </c>
      <c r="L304" s="48">
        <f>+L298-L299-L300-L301-L303-L302</f>
        <v>-14</v>
      </c>
      <c r="M304" s="48">
        <f>+M298-M299-M300-M301-M303-M302</f>
        <v>-10</v>
      </c>
      <c r="N304" s="48"/>
      <c r="O304" s="48">
        <f t="shared" si="129"/>
        <v>-76</v>
      </c>
      <c r="Q304" s="266"/>
      <c r="R304" s="266"/>
      <c r="S304" s="252">
        <f t="shared" ref="S304:X304" si="131">SUM(S300:S303)</f>
        <v>58.8</v>
      </c>
      <c r="T304" s="252">
        <f t="shared" si="131"/>
        <v>102.9</v>
      </c>
      <c r="U304" s="252">
        <f t="shared" si="131"/>
        <v>117.6</v>
      </c>
      <c r="V304" s="252">
        <f t="shared" si="131"/>
        <v>117.6</v>
      </c>
      <c r="W304" s="252">
        <f t="shared" si="131"/>
        <v>73.5</v>
      </c>
      <c r="X304" s="252">
        <f t="shared" si="131"/>
        <v>44.1</v>
      </c>
      <c r="Y304" s="252"/>
      <c r="Z304" s="252">
        <f t="shared" si="130"/>
        <v>514.5</v>
      </c>
      <c r="AB304" s="288"/>
      <c r="AC304" s="289"/>
      <c r="AD304" s="289"/>
      <c r="AE304" s="289"/>
      <c r="AF304" s="289"/>
      <c r="AG304" s="289"/>
    </row>
    <row r="305" spans="1:33" ht="15" thickTop="1" thickBot="1">
      <c r="A305" s="333" t="s">
        <v>7</v>
      </c>
      <c r="B305" s="43" t="s">
        <v>8</v>
      </c>
      <c r="C305" s="43"/>
      <c r="D305" s="43"/>
      <c r="E305" s="44" t="s">
        <v>9</v>
      </c>
      <c r="F305" s="45"/>
      <c r="G305" s="45"/>
      <c r="H305" s="44"/>
      <c r="I305" s="44"/>
      <c r="J305" s="44"/>
      <c r="K305" s="44"/>
      <c r="L305" s="44"/>
      <c r="M305" s="44"/>
      <c r="N305" s="44"/>
      <c r="O305" s="44"/>
      <c r="AB305" s="288"/>
      <c r="AC305" s="289"/>
      <c r="AD305" s="289"/>
      <c r="AE305" s="289"/>
      <c r="AF305" s="289"/>
      <c r="AG305" s="289"/>
    </row>
    <row r="306" spans="1:33" ht="15" thickTop="1" thickBot="1">
      <c r="A306" s="334" t="s">
        <v>92</v>
      </c>
      <c r="B306" s="38" t="s">
        <v>87</v>
      </c>
      <c r="C306" s="9" t="s">
        <v>12</v>
      </c>
      <c r="D306" s="9" t="s">
        <v>13</v>
      </c>
      <c r="E306" s="10"/>
      <c r="F306" s="256" t="s">
        <v>14</v>
      </c>
      <c r="G306" s="257">
        <v>34</v>
      </c>
      <c r="H306" s="257">
        <v>36</v>
      </c>
      <c r="I306" s="257">
        <v>38</v>
      </c>
      <c r="J306" s="257">
        <v>40</v>
      </c>
      <c r="K306" s="257">
        <v>42</v>
      </c>
      <c r="L306" s="257">
        <v>44</v>
      </c>
      <c r="M306" s="257">
        <v>46</v>
      </c>
      <c r="N306" s="257"/>
      <c r="O306" s="258" t="s">
        <v>15</v>
      </c>
      <c r="Q306" s="259" t="s">
        <v>14</v>
      </c>
      <c r="R306" s="259"/>
      <c r="S306" s="259">
        <v>36</v>
      </c>
      <c r="T306" s="259">
        <v>38</v>
      </c>
      <c r="U306" s="259">
        <v>40</v>
      </c>
      <c r="V306" s="259">
        <v>42</v>
      </c>
      <c r="W306" s="259">
        <v>44</v>
      </c>
      <c r="X306" s="259">
        <v>46</v>
      </c>
      <c r="Y306" s="259"/>
      <c r="Z306" s="259" t="s">
        <v>15</v>
      </c>
      <c r="AB306" s="288"/>
      <c r="AC306" s="289"/>
      <c r="AD306" s="289"/>
      <c r="AE306" s="289"/>
      <c r="AF306" s="289"/>
      <c r="AG306" s="289"/>
    </row>
    <row r="307" spans="1:33" ht="15" thickTop="1" thickBot="1">
      <c r="A307" s="336" t="str">
        <f t="shared" ref="A307:A313" si="132">+A306</f>
        <v>4218-01</v>
      </c>
      <c r="B307" s="39" t="s">
        <v>16</v>
      </c>
      <c r="C307" s="39"/>
      <c r="D307" s="39" t="str">
        <f>+B306</f>
        <v>New  Glue</v>
      </c>
      <c r="E307" s="40"/>
      <c r="F307" s="261" t="s">
        <v>1</v>
      </c>
      <c r="G307" s="261"/>
      <c r="H307" s="262">
        <f>'BASE DATOS'!C37</f>
        <v>42</v>
      </c>
      <c r="I307" s="262">
        <f>'BASE DATOS'!D37</f>
        <v>84</v>
      </c>
      <c r="J307" s="262">
        <f>'BASE DATOS'!E37</f>
        <v>86</v>
      </c>
      <c r="K307" s="262">
        <f>'BASE DATOS'!F37</f>
        <v>79</v>
      </c>
      <c r="L307" s="262">
        <f>'BASE DATOS'!G37</f>
        <v>57</v>
      </c>
      <c r="M307" s="262">
        <f>'BASE DATOS'!H37</f>
        <v>40</v>
      </c>
      <c r="N307" s="262"/>
      <c r="O307" s="263">
        <f t="shared" ref="O307:O313" si="133">SUM(H307:N307)</f>
        <v>388</v>
      </c>
      <c r="Q307" s="264"/>
      <c r="R307" s="264"/>
      <c r="S307" s="264"/>
      <c r="T307" s="264"/>
      <c r="U307" s="264"/>
      <c r="V307" s="264"/>
      <c r="W307" s="264"/>
      <c r="X307" s="264"/>
      <c r="Y307" s="264"/>
      <c r="Z307" s="264">
        <f>SUBTOTAL(9,S307:Y307)</f>
        <v>0</v>
      </c>
      <c r="AB307" s="288"/>
      <c r="AC307" s="289"/>
      <c r="AD307" s="289"/>
      <c r="AE307" s="289"/>
      <c r="AF307" s="289"/>
      <c r="AG307" s="289"/>
    </row>
    <row r="308" spans="1:33" ht="15" thickTop="1" thickBot="1">
      <c r="A308" s="336" t="str">
        <f t="shared" si="132"/>
        <v>4218-01</v>
      </c>
      <c r="B308" s="3">
        <v>46006</v>
      </c>
      <c r="C308" s="4" t="s">
        <v>17</v>
      </c>
      <c r="D308" s="4" t="s">
        <v>42</v>
      </c>
      <c r="E308" s="5" t="s">
        <v>3</v>
      </c>
      <c r="F308" s="265" t="s">
        <v>88</v>
      </c>
      <c r="G308" s="2"/>
      <c r="H308" s="7">
        <v>30</v>
      </c>
      <c r="I308" s="7">
        <v>48</v>
      </c>
      <c r="J308" s="7">
        <v>60</v>
      </c>
      <c r="K308" s="7">
        <v>54</v>
      </c>
      <c r="L308" s="7">
        <v>37</v>
      </c>
      <c r="M308" s="7">
        <v>24</v>
      </c>
      <c r="N308" s="8"/>
      <c r="O308" s="14">
        <f t="shared" si="133"/>
        <v>253</v>
      </c>
      <c r="Q308" s="252" t="s">
        <v>19</v>
      </c>
      <c r="R308" s="266"/>
      <c r="S308" s="266"/>
      <c r="T308" s="266"/>
      <c r="U308" s="266"/>
      <c r="V308" s="266"/>
      <c r="W308" s="266"/>
      <c r="X308" s="266"/>
      <c r="Y308" s="267"/>
      <c r="Z308" s="268">
        <f t="shared" ref="Z308:Z313" si="134">SUM(S308:Y308)</f>
        <v>0</v>
      </c>
      <c r="AB308" s="288"/>
      <c r="AC308" s="289"/>
      <c r="AD308" s="289"/>
      <c r="AE308" s="289"/>
      <c r="AF308" s="289"/>
      <c r="AG308" s="289"/>
    </row>
    <row r="309" spans="1:33" ht="15" thickTop="1" thickBot="1">
      <c r="A309" s="336" t="str">
        <f t="shared" si="132"/>
        <v>4218-01</v>
      </c>
      <c r="B309" s="3"/>
      <c r="C309" s="3"/>
      <c r="D309" s="57" t="s">
        <v>89</v>
      </c>
      <c r="E309" s="5" t="s">
        <v>3</v>
      </c>
      <c r="F309" s="269" t="s">
        <v>90</v>
      </c>
      <c r="G309" s="6"/>
      <c r="H309" s="7">
        <v>16</v>
      </c>
      <c r="I309" s="7">
        <v>39</v>
      </c>
      <c r="J309" s="7">
        <v>36</v>
      </c>
      <c r="K309" s="7">
        <v>34</v>
      </c>
      <c r="L309" s="7">
        <v>24</v>
      </c>
      <c r="M309" s="7">
        <v>20</v>
      </c>
      <c r="N309" s="15"/>
      <c r="O309" s="14">
        <f t="shared" si="133"/>
        <v>169</v>
      </c>
      <c r="Q309" s="252" t="s">
        <v>4</v>
      </c>
      <c r="R309" s="266">
        <f>78/19</f>
        <v>4.1052631578947372</v>
      </c>
      <c r="S309" s="266"/>
      <c r="T309" s="266"/>
      <c r="U309" s="266"/>
      <c r="V309" s="266"/>
      <c r="W309" s="266"/>
      <c r="X309" s="266"/>
      <c r="Y309" s="266"/>
      <c r="Z309" s="266">
        <f t="shared" si="134"/>
        <v>0</v>
      </c>
      <c r="AB309" s="288"/>
      <c r="AC309" s="289"/>
      <c r="AD309" s="289"/>
      <c r="AE309" s="289"/>
      <c r="AF309" s="289"/>
      <c r="AG309" s="289"/>
    </row>
    <row r="310" spans="1:33" ht="15" thickTop="1" thickBot="1">
      <c r="A310" s="336" t="str">
        <f t="shared" si="132"/>
        <v>4218-01</v>
      </c>
      <c r="B310" s="3"/>
      <c r="C310" s="3"/>
      <c r="D310" s="57" t="s">
        <v>93</v>
      </c>
      <c r="E310" s="5" t="s">
        <v>3</v>
      </c>
      <c r="F310" s="269"/>
      <c r="G310" s="6"/>
      <c r="H310" s="15"/>
      <c r="I310" s="15"/>
      <c r="J310" s="15"/>
      <c r="K310" s="15"/>
      <c r="L310" s="15"/>
      <c r="M310" s="15"/>
      <c r="N310" s="15"/>
      <c r="O310" s="16">
        <f t="shared" si="133"/>
        <v>0</v>
      </c>
      <c r="Q310" s="252" t="s">
        <v>6</v>
      </c>
      <c r="R310" s="266">
        <f>25/11</f>
        <v>2.2727272727272729</v>
      </c>
      <c r="S310" s="266"/>
      <c r="T310" s="266"/>
      <c r="U310" s="266"/>
      <c r="V310" s="266"/>
      <c r="W310" s="266"/>
      <c r="X310" s="266"/>
      <c r="Y310" s="266"/>
      <c r="Z310" s="266">
        <f t="shared" si="134"/>
        <v>0</v>
      </c>
      <c r="AB310" s="288"/>
      <c r="AC310" s="289"/>
      <c r="AD310" s="289"/>
      <c r="AE310" s="289"/>
      <c r="AF310" s="289"/>
      <c r="AG310" s="289"/>
    </row>
    <row r="311" spans="1:33" ht="15" thickTop="1" thickBot="1">
      <c r="A311" s="336" t="str">
        <f t="shared" si="132"/>
        <v>4218-01</v>
      </c>
      <c r="B311" s="3"/>
      <c r="C311" s="3"/>
      <c r="D311" s="3"/>
      <c r="E311" s="5" t="s">
        <v>3</v>
      </c>
      <c r="F311" s="269"/>
      <c r="G311" s="6"/>
      <c r="H311" s="8"/>
      <c r="I311" s="8"/>
      <c r="J311" s="8"/>
      <c r="K311" s="8"/>
      <c r="M311" s="8"/>
      <c r="N311" s="15"/>
      <c r="O311" s="16">
        <f t="shared" si="133"/>
        <v>0</v>
      </c>
      <c r="Q311" s="266"/>
      <c r="R311" s="266"/>
      <c r="S311" s="266"/>
      <c r="T311" s="266"/>
      <c r="U311" s="266"/>
      <c r="V311" s="266"/>
      <c r="W311" s="266"/>
      <c r="X311" s="266"/>
      <c r="Y311" s="266"/>
      <c r="Z311" s="266">
        <f t="shared" si="134"/>
        <v>0</v>
      </c>
      <c r="AB311" s="288"/>
      <c r="AC311" s="289"/>
      <c r="AD311" s="289"/>
      <c r="AE311" s="289"/>
      <c r="AF311" s="289"/>
      <c r="AG311" s="289"/>
    </row>
    <row r="312" spans="1:33" ht="15" thickTop="1" thickBot="1">
      <c r="A312" s="340" t="str">
        <f t="shared" si="132"/>
        <v>4218-01</v>
      </c>
      <c r="B312" s="19"/>
      <c r="C312" s="19"/>
      <c r="D312" s="19"/>
      <c r="E312" s="20" t="s">
        <v>3</v>
      </c>
      <c r="F312" s="271"/>
      <c r="G312" s="21"/>
      <c r="H312" s="22"/>
      <c r="I312" s="22"/>
      <c r="J312" s="22"/>
      <c r="K312" s="22"/>
      <c r="L312" s="22"/>
      <c r="M312" s="22"/>
      <c r="N312" s="22"/>
      <c r="O312" s="23">
        <f t="shared" si="133"/>
        <v>0</v>
      </c>
      <c r="Q312" s="252" t="s">
        <v>2</v>
      </c>
      <c r="R312" s="272">
        <f>500/10.2</f>
        <v>49.019607843137258</v>
      </c>
      <c r="S312" s="252">
        <f>49*1.2</f>
        <v>58.8</v>
      </c>
      <c r="T312" s="252">
        <f>49*2.1</f>
        <v>102.9</v>
      </c>
      <c r="U312" s="252">
        <f>49*2.4</f>
        <v>117.6</v>
      </c>
      <c r="V312" s="252">
        <f>49*2.4</f>
        <v>117.6</v>
      </c>
      <c r="W312" s="252">
        <f>49*1.5</f>
        <v>73.5</v>
      </c>
      <c r="X312" s="252">
        <f>49*0.9</f>
        <v>44.1</v>
      </c>
      <c r="Y312" s="266"/>
      <c r="Z312" s="266">
        <f t="shared" si="134"/>
        <v>514.5</v>
      </c>
      <c r="AB312" s="288"/>
      <c r="AC312" s="289"/>
      <c r="AD312" s="289"/>
      <c r="AE312" s="289"/>
      <c r="AF312" s="289"/>
      <c r="AG312" s="289"/>
    </row>
    <row r="313" spans="1:33" ht="15" thickTop="1" thickBot="1">
      <c r="A313" s="341" t="str">
        <f t="shared" si="132"/>
        <v>4218-01</v>
      </c>
      <c r="B313" s="47"/>
      <c r="C313" s="47"/>
      <c r="D313" s="47"/>
      <c r="E313" s="48" t="s">
        <v>23</v>
      </c>
      <c r="F313" s="49" t="str">
        <f>+B306</f>
        <v>New  Glue</v>
      </c>
      <c r="G313" s="48"/>
      <c r="H313" s="48">
        <f>+H307-H308-H309-H310-H312+H311</f>
        <v>-4</v>
      </c>
      <c r="I313" s="48">
        <f>+I307-I308-I309-I310-I312+I311</f>
        <v>-3</v>
      </c>
      <c r="J313" s="48">
        <f>+J307-J308-J309-J310-J312-J311</f>
        <v>-10</v>
      </c>
      <c r="K313" s="48">
        <f>+K307-K308-K309-K310-K312-K311</f>
        <v>-9</v>
      </c>
      <c r="L313" s="48">
        <f>+L307-L308-L309-L310-L312-L311</f>
        <v>-4</v>
      </c>
      <c r="M313" s="48">
        <f>+M307-M308-M309-M310-M312-M311</f>
        <v>-4</v>
      </c>
      <c r="N313" s="48"/>
      <c r="O313" s="48">
        <f t="shared" si="133"/>
        <v>-34</v>
      </c>
      <c r="Q313" s="266"/>
      <c r="R313" s="266"/>
      <c r="S313" s="252">
        <f t="shared" ref="S313:X313" si="135">SUM(S309:S312)</f>
        <v>58.8</v>
      </c>
      <c r="T313" s="252">
        <f t="shared" si="135"/>
        <v>102.9</v>
      </c>
      <c r="U313" s="252">
        <f t="shared" si="135"/>
        <v>117.6</v>
      </c>
      <c r="V313" s="252">
        <f t="shared" si="135"/>
        <v>117.6</v>
      </c>
      <c r="W313" s="252">
        <f t="shared" si="135"/>
        <v>73.5</v>
      </c>
      <c r="X313" s="252">
        <f t="shared" si="135"/>
        <v>44.1</v>
      </c>
      <c r="Y313" s="252"/>
      <c r="Z313" s="252">
        <f t="shared" si="134"/>
        <v>514.5</v>
      </c>
      <c r="AB313" s="288"/>
      <c r="AC313" s="289"/>
      <c r="AD313" s="289"/>
      <c r="AE313" s="289"/>
      <c r="AF313" s="289"/>
      <c r="AG313" s="289"/>
    </row>
    <row r="314" spans="1:33" ht="15" thickTop="1" thickBot="1">
      <c r="A314" s="333" t="s">
        <v>7</v>
      </c>
      <c r="B314" s="43" t="s">
        <v>8</v>
      </c>
      <c r="C314" s="43"/>
      <c r="D314" s="43"/>
      <c r="E314" s="44" t="s">
        <v>9</v>
      </c>
      <c r="F314" s="45"/>
      <c r="G314" s="45"/>
      <c r="H314" s="44"/>
      <c r="I314" s="44"/>
      <c r="J314" s="44"/>
      <c r="K314" s="44"/>
      <c r="L314" s="44"/>
      <c r="M314" s="44"/>
      <c r="N314" s="44"/>
      <c r="O314" s="44"/>
      <c r="AB314" s="288"/>
      <c r="AC314" s="289"/>
      <c r="AD314" s="289"/>
      <c r="AE314" s="289"/>
      <c r="AF314" s="289"/>
      <c r="AG314" s="289"/>
    </row>
    <row r="315" spans="1:33" ht="15" thickTop="1" thickBot="1">
      <c r="A315" s="334" t="s">
        <v>94</v>
      </c>
      <c r="B315" s="38" t="s">
        <v>95</v>
      </c>
      <c r="C315" s="9" t="s">
        <v>12</v>
      </c>
      <c r="D315" s="9" t="s">
        <v>13</v>
      </c>
      <c r="E315" s="10"/>
      <c r="F315" s="256" t="s">
        <v>14</v>
      </c>
      <c r="G315" s="257">
        <v>34</v>
      </c>
      <c r="H315" s="257">
        <v>36</v>
      </c>
      <c r="I315" s="257">
        <v>38</v>
      </c>
      <c r="J315" s="257">
        <v>40</v>
      </c>
      <c r="K315" s="257">
        <v>42</v>
      </c>
      <c r="L315" s="257">
        <v>44</v>
      </c>
      <c r="M315" s="257">
        <v>46</v>
      </c>
      <c r="N315" s="257"/>
      <c r="O315" s="258" t="s">
        <v>15</v>
      </c>
      <c r="Q315" s="259" t="s">
        <v>14</v>
      </c>
      <c r="R315" s="259"/>
      <c r="S315" s="259">
        <v>36</v>
      </c>
      <c r="T315" s="259">
        <v>38</v>
      </c>
      <c r="U315" s="259">
        <v>40</v>
      </c>
      <c r="V315" s="259">
        <v>42</v>
      </c>
      <c r="W315" s="259">
        <v>44</v>
      </c>
      <c r="X315" s="259">
        <v>46</v>
      </c>
      <c r="Y315" s="259"/>
      <c r="Z315" s="259" t="s">
        <v>15</v>
      </c>
      <c r="AB315" s="288"/>
      <c r="AC315" s="289"/>
      <c r="AD315" s="289"/>
      <c r="AE315" s="289"/>
      <c r="AF315" s="289"/>
      <c r="AG315" s="289"/>
    </row>
    <row r="316" spans="1:33" ht="15" thickTop="1" thickBot="1">
      <c r="A316" s="336" t="str">
        <f t="shared" ref="A316:A322" si="136">+A315</f>
        <v>4218-02</v>
      </c>
      <c r="B316" s="39" t="s">
        <v>16</v>
      </c>
      <c r="C316" s="39"/>
      <c r="D316" s="39" t="str">
        <f>+B315</f>
        <v>New Glue</v>
      </c>
      <c r="E316" s="40"/>
      <c r="F316" s="261" t="s">
        <v>1</v>
      </c>
      <c r="G316" s="261"/>
      <c r="H316" s="262">
        <f>'BASE DATOS'!C38</f>
        <v>0</v>
      </c>
      <c r="I316" s="262">
        <f>'BASE DATOS'!D38</f>
        <v>4</v>
      </c>
      <c r="J316" s="262">
        <f>'BASE DATOS'!E38</f>
        <v>8</v>
      </c>
      <c r="K316" s="262">
        <f>'BASE DATOS'!F38</f>
        <v>8</v>
      </c>
      <c r="L316" s="262">
        <f>'BASE DATOS'!G38</f>
        <v>7</v>
      </c>
      <c r="M316" s="262">
        <f>'BASE DATOS'!H38</f>
        <v>5</v>
      </c>
      <c r="N316" s="262"/>
      <c r="O316" s="263">
        <f t="shared" ref="O316:O322" si="137">SUM(H316:N316)</f>
        <v>32</v>
      </c>
      <c r="Q316" s="264"/>
      <c r="R316" s="264"/>
      <c r="S316" s="264"/>
      <c r="T316" s="264"/>
      <c r="U316" s="264"/>
      <c r="V316" s="264"/>
      <c r="W316" s="264"/>
      <c r="X316" s="264"/>
      <c r="Y316" s="264"/>
      <c r="Z316" s="264">
        <f>SUBTOTAL(9,S316:Y316)</f>
        <v>0</v>
      </c>
      <c r="AB316" s="288"/>
      <c r="AC316" s="289"/>
      <c r="AD316" s="289"/>
      <c r="AE316" s="289"/>
      <c r="AF316" s="289"/>
      <c r="AG316" s="289"/>
    </row>
    <row r="317" spans="1:33" ht="15" thickTop="1" thickBot="1">
      <c r="A317" s="336" t="str">
        <f t="shared" si="136"/>
        <v>4218-02</v>
      </c>
      <c r="B317" s="3"/>
      <c r="C317" s="4" t="s">
        <v>17</v>
      </c>
      <c r="D317" s="4" t="s">
        <v>42</v>
      </c>
      <c r="E317" s="5" t="s">
        <v>3</v>
      </c>
      <c r="F317" s="265">
        <v>11554</v>
      </c>
      <c r="G317" s="2"/>
      <c r="H317" s="7"/>
      <c r="I317" s="7">
        <v>4</v>
      </c>
      <c r="J317" s="7">
        <v>8</v>
      </c>
      <c r="K317" s="7">
        <v>8</v>
      </c>
      <c r="L317" s="7">
        <v>7</v>
      </c>
      <c r="M317" s="7">
        <v>5</v>
      </c>
      <c r="N317" s="8"/>
      <c r="O317" s="14">
        <f t="shared" si="137"/>
        <v>32</v>
      </c>
      <c r="Q317" s="252" t="s">
        <v>19</v>
      </c>
      <c r="R317" s="266"/>
      <c r="S317" s="266"/>
      <c r="T317" s="266"/>
      <c r="U317" s="266"/>
      <c r="V317" s="266"/>
      <c r="W317" s="266"/>
      <c r="X317" s="266"/>
      <c r="Y317" s="267"/>
      <c r="Z317" s="268">
        <f t="shared" ref="Z317:Z322" si="138">SUM(S317:Y317)</f>
        <v>0</v>
      </c>
      <c r="AB317" s="288"/>
      <c r="AC317" s="289"/>
      <c r="AD317" s="289"/>
      <c r="AE317" s="289"/>
      <c r="AF317" s="289"/>
      <c r="AG317" s="289"/>
    </row>
    <row r="318" spans="1:33" ht="15" thickTop="1" thickBot="1">
      <c r="A318" s="336" t="str">
        <f t="shared" si="136"/>
        <v>4218-02</v>
      </c>
      <c r="B318" s="3"/>
      <c r="C318" s="3"/>
      <c r="D318" s="57" t="s">
        <v>89</v>
      </c>
      <c r="E318" s="5" t="s">
        <v>3</v>
      </c>
      <c r="F318" s="269"/>
      <c r="G318" s="6"/>
      <c r="H318" s="7"/>
      <c r="I318" s="7"/>
      <c r="J318" s="7"/>
      <c r="K318" s="7"/>
      <c r="L318" s="7"/>
      <c r="M318" s="7"/>
      <c r="N318" s="15"/>
      <c r="O318" s="14">
        <f t="shared" si="137"/>
        <v>0</v>
      </c>
      <c r="Q318" s="252" t="s">
        <v>4</v>
      </c>
      <c r="R318" s="266">
        <f>78/19</f>
        <v>4.1052631578947372</v>
      </c>
      <c r="S318" s="266"/>
      <c r="T318" s="266"/>
      <c r="U318" s="266"/>
      <c r="V318" s="266"/>
      <c r="W318" s="266"/>
      <c r="X318" s="266"/>
      <c r="Y318" s="266"/>
      <c r="Z318" s="266">
        <f t="shared" si="138"/>
        <v>0</v>
      </c>
      <c r="AB318" s="288"/>
      <c r="AC318" s="289"/>
      <c r="AD318" s="289"/>
      <c r="AE318" s="289"/>
      <c r="AF318" s="289"/>
      <c r="AG318" s="289"/>
    </row>
    <row r="319" spans="1:33" ht="15" thickTop="1" thickBot="1">
      <c r="A319" s="336" t="str">
        <f t="shared" si="136"/>
        <v>4218-02</v>
      </c>
      <c r="B319" s="3"/>
      <c r="C319" s="3"/>
      <c r="D319" s="57" t="s">
        <v>96</v>
      </c>
      <c r="E319" s="5" t="s">
        <v>3</v>
      </c>
      <c r="F319" s="269"/>
      <c r="G319" s="6"/>
      <c r="H319" s="15"/>
      <c r="I319" s="15"/>
      <c r="J319" s="15"/>
      <c r="K319" s="15"/>
      <c r="L319" s="15"/>
      <c r="M319" s="15"/>
      <c r="N319" s="15"/>
      <c r="O319" s="16">
        <f t="shared" si="137"/>
        <v>0</v>
      </c>
      <c r="Q319" s="252" t="s">
        <v>6</v>
      </c>
      <c r="R319" s="266">
        <f>25/11</f>
        <v>2.2727272727272729</v>
      </c>
      <c r="S319" s="266"/>
      <c r="T319" s="266"/>
      <c r="U319" s="266"/>
      <c r="V319" s="266"/>
      <c r="W319" s="266"/>
      <c r="X319" s="266"/>
      <c r="Y319" s="266"/>
      <c r="Z319" s="266">
        <f t="shared" si="138"/>
        <v>0</v>
      </c>
      <c r="AB319" s="288"/>
      <c r="AC319" s="289"/>
      <c r="AD319" s="289"/>
      <c r="AE319" s="289"/>
      <c r="AF319" s="289"/>
      <c r="AG319" s="289"/>
    </row>
    <row r="320" spans="1:33" ht="15" thickTop="1" thickBot="1">
      <c r="A320" s="336" t="str">
        <f t="shared" si="136"/>
        <v>4218-02</v>
      </c>
      <c r="B320" s="3"/>
      <c r="C320" s="3"/>
      <c r="D320" s="3"/>
      <c r="E320" s="5" t="s">
        <v>3</v>
      </c>
      <c r="F320" s="269"/>
      <c r="G320" s="6"/>
      <c r="H320" s="8"/>
      <c r="I320" s="8"/>
      <c r="J320" s="8"/>
      <c r="K320" s="8"/>
      <c r="L320" s="8"/>
      <c r="M320" s="8"/>
      <c r="N320" s="15"/>
      <c r="O320" s="16">
        <f t="shared" si="137"/>
        <v>0</v>
      </c>
      <c r="Q320" s="266"/>
      <c r="R320" s="266"/>
      <c r="S320" s="266"/>
      <c r="T320" s="266"/>
      <c r="U320" s="266"/>
      <c r="V320" s="266"/>
      <c r="W320" s="266"/>
      <c r="X320" s="266"/>
      <c r="Y320" s="266"/>
      <c r="Z320" s="266">
        <f t="shared" si="138"/>
        <v>0</v>
      </c>
      <c r="AB320" s="288"/>
      <c r="AC320" s="289"/>
      <c r="AD320" s="289"/>
      <c r="AE320" s="289"/>
      <c r="AF320" s="289"/>
      <c r="AG320" s="289"/>
    </row>
    <row r="321" spans="1:33" ht="15" thickTop="1" thickBot="1">
      <c r="A321" s="340" t="str">
        <f t="shared" si="136"/>
        <v>4218-02</v>
      </c>
      <c r="B321" s="19"/>
      <c r="C321" s="19"/>
      <c r="D321" s="19"/>
      <c r="E321" s="20" t="s">
        <v>3</v>
      </c>
      <c r="F321" s="271"/>
      <c r="G321" s="21"/>
      <c r="H321" s="22"/>
      <c r="I321" s="22"/>
      <c r="J321" s="22"/>
      <c r="K321" s="22"/>
      <c r="L321" s="22"/>
      <c r="M321" s="22"/>
      <c r="N321" s="22"/>
      <c r="O321" s="23">
        <f t="shared" si="137"/>
        <v>0</v>
      </c>
      <c r="Q321" s="252" t="s">
        <v>2</v>
      </c>
      <c r="R321" s="272">
        <f>500/10.2</f>
        <v>49.019607843137258</v>
      </c>
      <c r="S321" s="252">
        <f>49*1.2</f>
        <v>58.8</v>
      </c>
      <c r="T321" s="252">
        <f>49*2.1</f>
        <v>102.9</v>
      </c>
      <c r="U321" s="252">
        <f>49*2.4</f>
        <v>117.6</v>
      </c>
      <c r="V321" s="252">
        <f>49*2.4</f>
        <v>117.6</v>
      </c>
      <c r="W321" s="252">
        <f>49*1.5</f>
        <v>73.5</v>
      </c>
      <c r="X321" s="252">
        <f>49*0.9</f>
        <v>44.1</v>
      </c>
      <c r="Y321" s="266"/>
      <c r="Z321" s="266">
        <f t="shared" si="138"/>
        <v>514.5</v>
      </c>
      <c r="AB321" s="288"/>
      <c r="AC321" s="289"/>
      <c r="AD321" s="289"/>
      <c r="AE321" s="289"/>
      <c r="AF321" s="289"/>
      <c r="AG321" s="289"/>
    </row>
    <row r="322" spans="1:33" ht="15" thickTop="1" thickBot="1">
      <c r="A322" s="341" t="str">
        <f t="shared" si="136"/>
        <v>4218-02</v>
      </c>
      <c r="B322" s="47"/>
      <c r="C322" s="47"/>
      <c r="D322" s="47"/>
      <c r="E322" s="48" t="s">
        <v>23</v>
      </c>
      <c r="F322" s="49" t="str">
        <f>+B315</f>
        <v>New Glue</v>
      </c>
      <c r="G322" s="48"/>
      <c r="H322" s="48">
        <f>+H316-H317-H318-H319-H321+H320</f>
        <v>0</v>
      </c>
      <c r="I322" s="48">
        <f>+I316-I317-I318-I319-I321+I320</f>
        <v>0</v>
      </c>
      <c r="J322" s="48">
        <f>+J316-J317-J318-J319-J321-J320</f>
        <v>0</v>
      </c>
      <c r="K322" s="48">
        <f>+K316-K317-K318-K319-K321-K320</f>
        <v>0</v>
      </c>
      <c r="L322" s="48">
        <f>+L316-L317-L318-L319-L321-L320</f>
        <v>0</v>
      </c>
      <c r="M322" s="48">
        <f>+M316-M317-M318-M319-M321-M320</f>
        <v>0</v>
      </c>
      <c r="N322" s="48"/>
      <c r="O322" s="48">
        <f t="shared" si="137"/>
        <v>0</v>
      </c>
      <c r="Q322" s="266"/>
      <c r="R322" s="266"/>
      <c r="S322" s="252">
        <f t="shared" ref="S322:X322" si="139">SUM(S318:S321)</f>
        <v>58.8</v>
      </c>
      <c r="T322" s="252">
        <f t="shared" si="139"/>
        <v>102.9</v>
      </c>
      <c r="U322" s="252">
        <f t="shared" si="139"/>
        <v>117.6</v>
      </c>
      <c r="V322" s="252">
        <f t="shared" si="139"/>
        <v>117.6</v>
      </c>
      <c r="W322" s="252">
        <f t="shared" si="139"/>
        <v>73.5</v>
      </c>
      <c r="X322" s="252">
        <f t="shared" si="139"/>
        <v>44.1</v>
      </c>
      <c r="Y322" s="252"/>
      <c r="Z322" s="252">
        <f t="shared" si="138"/>
        <v>514.5</v>
      </c>
      <c r="AB322" s="288"/>
      <c r="AC322" s="289"/>
      <c r="AD322" s="289"/>
      <c r="AE322" s="289"/>
      <c r="AF322" s="289"/>
      <c r="AG322" s="289"/>
    </row>
    <row r="323" spans="1:33" ht="15" thickTop="1" thickBot="1">
      <c r="A323" s="342" t="s">
        <v>7</v>
      </c>
      <c r="B323" s="43" t="s">
        <v>8</v>
      </c>
      <c r="C323" s="43"/>
      <c r="D323" s="43"/>
      <c r="E323" s="44" t="s">
        <v>9</v>
      </c>
      <c r="F323" s="45"/>
      <c r="G323" s="45"/>
      <c r="H323" s="44"/>
      <c r="I323" s="44"/>
      <c r="J323" s="44"/>
      <c r="K323" s="44"/>
      <c r="L323" s="44"/>
      <c r="M323" s="44"/>
      <c r="N323" s="44"/>
      <c r="O323" s="44"/>
      <c r="AB323" s="288"/>
      <c r="AC323" s="289"/>
      <c r="AD323" s="289"/>
      <c r="AE323" s="289"/>
      <c r="AF323" s="289"/>
      <c r="AG323" s="289"/>
    </row>
    <row r="324" spans="1:33" ht="15" thickTop="1" thickBot="1">
      <c r="A324" s="343" t="s">
        <v>97</v>
      </c>
      <c r="B324" s="38" t="s">
        <v>50</v>
      </c>
      <c r="C324" s="9" t="s">
        <v>12</v>
      </c>
      <c r="D324" s="9" t="s">
        <v>13</v>
      </c>
      <c r="E324" s="10"/>
      <c r="F324" s="256" t="s">
        <v>14</v>
      </c>
      <c r="G324" s="257">
        <v>34</v>
      </c>
      <c r="H324" s="257">
        <v>36</v>
      </c>
      <c r="I324" s="257">
        <v>38</v>
      </c>
      <c r="J324" s="257">
        <v>40</v>
      </c>
      <c r="K324" s="257">
        <v>42</v>
      </c>
      <c r="L324" s="257">
        <v>44</v>
      </c>
      <c r="M324" s="257">
        <v>46</v>
      </c>
      <c r="N324" s="257"/>
      <c r="O324" s="258" t="s">
        <v>15</v>
      </c>
      <c r="Q324" s="259" t="s">
        <v>14</v>
      </c>
      <c r="R324" s="259"/>
      <c r="S324" s="259">
        <v>36</v>
      </c>
      <c r="T324" s="259">
        <v>38</v>
      </c>
      <c r="U324" s="259">
        <v>40</v>
      </c>
      <c r="V324" s="259">
        <v>42</v>
      </c>
      <c r="W324" s="259">
        <v>44</v>
      </c>
      <c r="X324" s="259">
        <v>46</v>
      </c>
      <c r="Y324" s="259"/>
      <c r="Z324" s="259" t="s">
        <v>15</v>
      </c>
      <c r="AB324" s="288"/>
      <c r="AC324" s="289"/>
      <c r="AD324" s="289"/>
      <c r="AE324" s="289"/>
      <c r="AF324" s="289"/>
      <c r="AG324" s="289"/>
    </row>
    <row r="325" spans="1:33" ht="15" thickTop="1" thickBot="1">
      <c r="A325" s="344" t="str">
        <f t="shared" ref="A325:A331" si="140">+A324</f>
        <v>4219-00</v>
      </c>
      <c r="B325" s="39" t="s">
        <v>16</v>
      </c>
      <c r="C325" s="39"/>
      <c r="D325" s="39" t="str">
        <f>+B324</f>
        <v>Ayla</v>
      </c>
      <c r="E325" s="40"/>
      <c r="F325" s="261" t="s">
        <v>1</v>
      </c>
      <c r="G325" s="261"/>
      <c r="H325" s="262">
        <f>'BASE DATOS'!C39</f>
        <v>7</v>
      </c>
      <c r="I325" s="262">
        <f>'BASE DATOS'!D39</f>
        <v>19</v>
      </c>
      <c r="J325" s="262">
        <f>'BASE DATOS'!E39</f>
        <v>21</v>
      </c>
      <c r="K325" s="262">
        <f>'BASE DATOS'!F39</f>
        <v>17</v>
      </c>
      <c r="L325" s="262">
        <f>'BASE DATOS'!G39</f>
        <v>12</v>
      </c>
      <c r="M325" s="262">
        <f>'BASE DATOS'!H39</f>
        <v>8</v>
      </c>
      <c r="N325" s="262"/>
      <c r="O325" s="263">
        <f t="shared" ref="O325:O331" si="141">SUM(H325:N325)</f>
        <v>84</v>
      </c>
      <c r="Q325" s="264"/>
      <c r="R325" s="264"/>
      <c r="S325" s="264"/>
      <c r="T325" s="264"/>
      <c r="U325" s="264"/>
      <c r="V325" s="264"/>
      <c r="W325" s="264"/>
      <c r="X325" s="264"/>
      <c r="Y325" s="264"/>
      <c r="Z325" s="264">
        <f>SUBTOTAL(9,S325:Y325)</f>
        <v>0</v>
      </c>
      <c r="AB325" s="288"/>
      <c r="AC325" s="289"/>
      <c r="AD325" s="289"/>
      <c r="AE325" s="289"/>
      <c r="AF325" s="289"/>
      <c r="AG325" s="289"/>
    </row>
    <row r="326" spans="1:33" ht="15" thickTop="1" thickBot="1">
      <c r="A326" s="344" t="str">
        <f t="shared" si="140"/>
        <v>4219-00</v>
      </c>
      <c r="B326" s="3">
        <v>46006</v>
      </c>
      <c r="C326" s="4" t="s">
        <v>17</v>
      </c>
      <c r="D326" s="4" t="s">
        <v>31</v>
      </c>
      <c r="E326" s="5" t="s">
        <v>3</v>
      </c>
      <c r="F326" s="265" t="s">
        <v>98</v>
      </c>
      <c r="G326" s="345">
        <v>13</v>
      </c>
      <c r="H326" s="7">
        <f>6-H335-H344</f>
        <v>1</v>
      </c>
      <c r="I326" s="7">
        <f>17-I335-I344</f>
        <v>8</v>
      </c>
      <c r="J326" s="7">
        <f>13-J335-J344</f>
        <v>3</v>
      </c>
      <c r="K326" s="7">
        <f>16-K335-K344</f>
        <v>6</v>
      </c>
      <c r="L326" s="7">
        <f>7-L335</f>
        <v>0</v>
      </c>
      <c r="M326" s="7"/>
      <c r="N326" s="8"/>
      <c r="O326" s="14">
        <f t="shared" si="141"/>
        <v>18</v>
      </c>
      <c r="Q326" s="252" t="s">
        <v>19</v>
      </c>
      <c r="R326" s="266"/>
      <c r="S326" s="266"/>
      <c r="T326" s="266"/>
      <c r="U326" s="266"/>
      <c r="V326" s="266"/>
      <c r="W326" s="266"/>
      <c r="X326" s="266"/>
      <c r="Y326" s="267"/>
      <c r="Z326" s="268">
        <f t="shared" ref="Z326:Z331" si="142">SUM(S326:Y326)</f>
        <v>0</v>
      </c>
      <c r="AB326" s="288"/>
      <c r="AC326" s="289"/>
      <c r="AD326" s="289"/>
      <c r="AE326" s="289"/>
      <c r="AF326" s="289"/>
      <c r="AG326" s="289"/>
    </row>
    <row r="327" spans="1:33" ht="15" thickTop="1" thickBot="1">
      <c r="A327" s="344" t="str">
        <f t="shared" si="140"/>
        <v>4219-00</v>
      </c>
      <c r="B327" s="3"/>
      <c r="C327" s="3"/>
      <c r="D327" s="57" t="s">
        <v>99</v>
      </c>
      <c r="E327" s="5" t="s">
        <v>3</v>
      </c>
      <c r="F327" s="269" t="s">
        <v>100</v>
      </c>
      <c r="G327" s="345">
        <v>60</v>
      </c>
      <c r="H327" s="7">
        <v>103</v>
      </c>
      <c r="I327" s="7">
        <v>118</v>
      </c>
      <c r="J327" s="7">
        <v>103</v>
      </c>
      <c r="K327" s="7">
        <v>74</v>
      </c>
      <c r="L327" s="7">
        <v>44</v>
      </c>
      <c r="M327" s="7"/>
      <c r="N327" s="15"/>
      <c r="O327" s="14">
        <f t="shared" si="141"/>
        <v>442</v>
      </c>
      <c r="Q327" s="252" t="s">
        <v>4</v>
      </c>
      <c r="R327" s="266">
        <f>78/19</f>
        <v>4.1052631578947372</v>
      </c>
      <c r="S327" s="266"/>
      <c r="T327" s="266"/>
      <c r="U327" s="266"/>
      <c r="V327" s="266"/>
      <c r="W327" s="266"/>
      <c r="X327" s="266"/>
      <c r="Y327" s="266"/>
      <c r="Z327" s="266">
        <f t="shared" si="142"/>
        <v>0</v>
      </c>
      <c r="AB327" s="288"/>
      <c r="AC327" s="289"/>
      <c r="AD327" s="289"/>
      <c r="AE327" s="289"/>
      <c r="AF327" s="289"/>
      <c r="AG327" s="289"/>
    </row>
    <row r="328" spans="1:33" ht="15" thickTop="1" thickBot="1">
      <c r="A328" s="344" t="str">
        <f t="shared" si="140"/>
        <v>4219-00</v>
      </c>
      <c r="B328" s="3">
        <v>46041</v>
      </c>
      <c r="C328" s="3"/>
      <c r="D328" s="57" t="s">
        <v>101</v>
      </c>
      <c r="E328" s="5" t="s">
        <v>3</v>
      </c>
      <c r="F328" s="269" t="s">
        <v>102</v>
      </c>
      <c r="G328" s="346"/>
      <c r="H328" s="15"/>
      <c r="I328" s="15"/>
      <c r="J328" s="15">
        <v>20</v>
      </c>
      <c r="K328" s="15">
        <v>30</v>
      </c>
      <c r="L328" s="15">
        <f>40-L345</f>
        <v>40</v>
      </c>
      <c r="M328" s="15">
        <f>50-M336-M345</f>
        <v>44</v>
      </c>
      <c r="N328" s="15"/>
      <c r="O328" s="16">
        <f t="shared" si="141"/>
        <v>134</v>
      </c>
      <c r="Q328" s="252" t="s">
        <v>6</v>
      </c>
      <c r="R328" s="266">
        <f>25/11</f>
        <v>2.2727272727272729</v>
      </c>
      <c r="S328" s="266"/>
      <c r="T328" s="266"/>
      <c r="U328" s="266"/>
      <c r="V328" s="266"/>
      <c r="W328" s="266"/>
      <c r="X328" s="266"/>
      <c r="Y328" s="266"/>
      <c r="Z328" s="266">
        <f t="shared" si="142"/>
        <v>0</v>
      </c>
      <c r="AB328" s="288"/>
      <c r="AC328" s="289"/>
      <c r="AD328" s="289"/>
      <c r="AE328" s="289"/>
      <c r="AF328" s="289"/>
      <c r="AG328" s="289"/>
    </row>
    <row r="329" spans="1:33" ht="15" thickTop="1" thickBot="1">
      <c r="A329" s="344" t="str">
        <f t="shared" si="140"/>
        <v>4219-00</v>
      </c>
      <c r="B329" s="3"/>
      <c r="C329" s="3"/>
      <c r="D329" s="3"/>
      <c r="E329" s="5" t="s">
        <v>3</v>
      </c>
      <c r="F329" s="269"/>
      <c r="G329" s="346"/>
      <c r="H329" s="8"/>
      <c r="I329" s="8"/>
      <c r="J329" s="8"/>
      <c r="K329" s="8"/>
      <c r="L329" s="8"/>
      <c r="M329" s="8"/>
      <c r="N329" s="15"/>
      <c r="O329" s="16">
        <f t="shared" si="141"/>
        <v>0</v>
      </c>
      <c r="Q329" s="266"/>
      <c r="R329" s="266"/>
      <c r="S329" s="266"/>
      <c r="T329" s="266"/>
      <c r="U329" s="266"/>
      <c r="V329" s="266"/>
      <c r="W329" s="266"/>
      <c r="X329" s="266"/>
      <c r="Y329" s="266"/>
      <c r="Z329" s="266">
        <f t="shared" si="142"/>
        <v>0</v>
      </c>
      <c r="AB329" s="288"/>
      <c r="AC329" s="289"/>
      <c r="AD329" s="289"/>
      <c r="AE329" s="289"/>
      <c r="AF329" s="289"/>
      <c r="AG329" s="289"/>
    </row>
    <row r="330" spans="1:33" ht="15" thickTop="1" thickBot="1">
      <c r="A330" s="347" t="str">
        <f t="shared" si="140"/>
        <v>4219-00</v>
      </c>
      <c r="B330" s="19"/>
      <c r="C330" s="19"/>
      <c r="D330" s="19"/>
      <c r="E330" s="20" t="s">
        <v>3</v>
      </c>
      <c r="F330" s="271"/>
      <c r="G330" s="348"/>
      <c r="H330" s="22"/>
      <c r="I330" s="22"/>
      <c r="J330" s="22"/>
      <c r="K330" s="22"/>
      <c r="L330" s="22"/>
      <c r="M330" s="22"/>
      <c r="N330" s="22"/>
      <c r="O330" s="23">
        <f t="shared" si="141"/>
        <v>0</v>
      </c>
      <c r="Q330" s="252" t="s">
        <v>2</v>
      </c>
      <c r="R330" s="272">
        <f>500/10.2</f>
        <v>49.019607843137258</v>
      </c>
      <c r="S330" s="252">
        <f>49*1.2</f>
        <v>58.8</v>
      </c>
      <c r="T330" s="252">
        <f>49*2.1</f>
        <v>102.9</v>
      </c>
      <c r="U330" s="252">
        <f>49*2.4</f>
        <v>117.6</v>
      </c>
      <c r="V330" s="252">
        <f>49*2.4</f>
        <v>117.6</v>
      </c>
      <c r="W330" s="252">
        <f>49*1.5</f>
        <v>73.5</v>
      </c>
      <c r="X330" s="252">
        <f>49*0.9</f>
        <v>44.1</v>
      </c>
      <c r="Y330" s="266"/>
      <c r="Z330" s="266">
        <f t="shared" si="142"/>
        <v>514.5</v>
      </c>
      <c r="AB330" s="288"/>
      <c r="AC330" s="289"/>
      <c r="AD330" s="289"/>
      <c r="AE330" s="289"/>
      <c r="AF330" s="289"/>
      <c r="AG330" s="289"/>
    </row>
    <row r="331" spans="1:33" ht="15" thickTop="1" thickBot="1">
      <c r="A331" s="349" t="str">
        <f t="shared" si="140"/>
        <v>4219-00</v>
      </c>
      <c r="B331" s="47"/>
      <c r="C331" s="47"/>
      <c r="D331" s="47"/>
      <c r="E331" s="48" t="s">
        <v>23</v>
      </c>
      <c r="F331" s="49" t="str">
        <f>+B324</f>
        <v>Ayla</v>
      </c>
      <c r="G331" s="63">
        <f t="shared" ref="G331:M331" si="143">+G325-G326-G327-G328-G330+G329</f>
        <v>-73</v>
      </c>
      <c r="H331" s="48">
        <f t="shared" si="143"/>
        <v>-97</v>
      </c>
      <c r="I331" s="48">
        <f t="shared" si="143"/>
        <v>-107</v>
      </c>
      <c r="J331" s="48">
        <f t="shared" si="143"/>
        <v>-105</v>
      </c>
      <c r="K331" s="48">
        <f t="shared" si="143"/>
        <v>-93</v>
      </c>
      <c r="L331" s="48">
        <f t="shared" si="143"/>
        <v>-72</v>
      </c>
      <c r="M331" s="48">
        <f t="shared" si="143"/>
        <v>-36</v>
      </c>
      <c r="N331" s="48"/>
      <c r="O331" s="48">
        <f t="shared" si="141"/>
        <v>-510</v>
      </c>
      <c r="Q331" s="266"/>
      <c r="R331" s="266"/>
      <c r="S331" s="252">
        <f t="shared" ref="S331:X331" si="144">SUM(S327:S330)</f>
        <v>58.8</v>
      </c>
      <c r="T331" s="252">
        <f t="shared" si="144"/>
        <v>102.9</v>
      </c>
      <c r="U331" s="252">
        <f t="shared" si="144"/>
        <v>117.6</v>
      </c>
      <c r="V331" s="252">
        <f t="shared" si="144"/>
        <v>117.6</v>
      </c>
      <c r="W331" s="252">
        <f t="shared" si="144"/>
        <v>73.5</v>
      </c>
      <c r="X331" s="252">
        <f t="shared" si="144"/>
        <v>44.1</v>
      </c>
      <c r="Y331" s="252"/>
      <c r="Z331" s="252">
        <f t="shared" si="142"/>
        <v>514.5</v>
      </c>
      <c r="AB331" s="288"/>
      <c r="AC331" s="289"/>
      <c r="AD331" s="289"/>
      <c r="AE331" s="289"/>
      <c r="AF331" s="289"/>
      <c r="AG331" s="289"/>
    </row>
    <row r="332" spans="1:33" ht="15" thickTop="1" thickBot="1">
      <c r="A332" s="342" t="s">
        <v>7</v>
      </c>
      <c r="B332" s="43" t="s">
        <v>8</v>
      </c>
      <c r="C332" s="43"/>
      <c r="D332" s="43"/>
      <c r="E332" s="44" t="s">
        <v>9</v>
      </c>
      <c r="F332" s="45"/>
      <c r="G332" s="45"/>
      <c r="H332" s="44"/>
      <c r="I332" s="44"/>
      <c r="J332" s="44"/>
      <c r="K332" s="44"/>
      <c r="L332" s="44"/>
      <c r="M332" s="44"/>
      <c r="N332" s="44"/>
      <c r="O332" s="44"/>
      <c r="AB332" s="288"/>
      <c r="AC332" s="289"/>
      <c r="AD332" s="289"/>
      <c r="AE332" s="289"/>
      <c r="AF332" s="289"/>
      <c r="AG332" s="289"/>
    </row>
    <row r="333" spans="1:33" ht="15" thickTop="1" thickBot="1">
      <c r="A333" s="343" t="s">
        <v>103</v>
      </c>
      <c r="B333" s="38" t="s">
        <v>50</v>
      </c>
      <c r="C333" s="9" t="s">
        <v>12</v>
      </c>
      <c r="D333" s="9" t="s">
        <v>13</v>
      </c>
      <c r="E333" s="10"/>
      <c r="F333" s="256" t="s">
        <v>14</v>
      </c>
      <c r="G333" s="257">
        <v>34</v>
      </c>
      <c r="H333" s="257">
        <v>36</v>
      </c>
      <c r="I333" s="257">
        <v>38</v>
      </c>
      <c r="J333" s="257">
        <v>40</v>
      </c>
      <c r="K333" s="257">
        <v>42</v>
      </c>
      <c r="L333" s="257">
        <v>44</v>
      </c>
      <c r="M333" s="257">
        <v>46</v>
      </c>
      <c r="N333" s="257"/>
      <c r="O333" s="258" t="s">
        <v>15</v>
      </c>
      <c r="Q333" s="259" t="s">
        <v>14</v>
      </c>
      <c r="R333" s="259"/>
      <c r="S333" s="259">
        <v>36</v>
      </c>
      <c r="T333" s="259">
        <v>38</v>
      </c>
      <c r="U333" s="259">
        <v>40</v>
      </c>
      <c r="V333" s="259">
        <v>42</v>
      </c>
      <c r="W333" s="259">
        <v>44</v>
      </c>
      <c r="X333" s="259">
        <v>46</v>
      </c>
      <c r="Y333" s="259"/>
      <c r="Z333" s="259" t="s">
        <v>15</v>
      </c>
      <c r="AB333" s="288"/>
      <c r="AC333" s="289"/>
      <c r="AD333" s="289"/>
      <c r="AE333" s="289"/>
      <c r="AF333" s="289"/>
      <c r="AG333" s="289"/>
    </row>
    <row r="334" spans="1:33" ht="15" thickTop="1" thickBot="1">
      <c r="A334" s="344" t="str">
        <f t="shared" ref="A334:A340" si="145">+A333</f>
        <v>4219-01</v>
      </c>
      <c r="B334" s="39" t="s">
        <v>16</v>
      </c>
      <c r="C334" s="39"/>
      <c r="D334" s="39" t="str">
        <f>+B333</f>
        <v>Ayla</v>
      </c>
      <c r="E334" s="40"/>
      <c r="F334" s="261" t="s">
        <v>1</v>
      </c>
      <c r="G334" s="261"/>
      <c r="H334" s="262">
        <f>'BASE DATOS'!C40</f>
        <v>4</v>
      </c>
      <c r="I334" s="262">
        <f>'BASE DATOS'!D40</f>
        <v>9</v>
      </c>
      <c r="J334" s="262">
        <f>'BASE DATOS'!E40</f>
        <v>12</v>
      </c>
      <c r="K334" s="262">
        <f>'BASE DATOS'!F40</f>
        <v>11</v>
      </c>
      <c r="L334" s="262">
        <f>'BASE DATOS'!G40</f>
        <v>10</v>
      </c>
      <c r="M334" s="262">
        <f>'BASE DATOS'!H40</f>
        <v>7</v>
      </c>
      <c r="N334" s="262"/>
      <c r="O334" s="263">
        <f t="shared" ref="O334:O340" si="146">SUM(H334:N334)</f>
        <v>53</v>
      </c>
      <c r="Q334" s="264"/>
      <c r="R334" s="264"/>
      <c r="S334" s="264"/>
      <c r="T334" s="264"/>
      <c r="U334" s="264"/>
      <c r="V334" s="264"/>
      <c r="W334" s="264"/>
      <c r="X334" s="264"/>
      <c r="Y334" s="264"/>
      <c r="Z334" s="264">
        <f>SUBTOTAL(9,S334:Y334)</f>
        <v>0</v>
      </c>
      <c r="AB334" s="288"/>
      <c r="AC334" s="289"/>
      <c r="AD334" s="289"/>
      <c r="AE334" s="289"/>
      <c r="AF334" s="289"/>
      <c r="AG334" s="289"/>
    </row>
    <row r="335" spans="1:33" ht="15" thickTop="1" thickBot="1">
      <c r="A335" s="344" t="str">
        <f t="shared" si="145"/>
        <v>4219-01</v>
      </c>
      <c r="B335" s="3"/>
      <c r="C335" s="4" t="s">
        <v>17</v>
      </c>
      <c r="D335" s="4" t="s">
        <v>18</v>
      </c>
      <c r="E335" s="5" t="s">
        <v>3</v>
      </c>
      <c r="F335" s="265" t="s">
        <v>98</v>
      </c>
      <c r="G335" s="345"/>
      <c r="H335" s="7">
        <v>2</v>
      </c>
      <c r="I335" s="7">
        <v>5</v>
      </c>
      <c r="J335" s="7">
        <v>8</v>
      </c>
      <c r="K335" s="7">
        <v>8</v>
      </c>
      <c r="L335" s="7">
        <v>7</v>
      </c>
      <c r="M335" s="7"/>
      <c r="N335" s="8"/>
      <c r="O335" s="14">
        <f t="shared" si="146"/>
        <v>30</v>
      </c>
      <c r="Q335" s="252" t="s">
        <v>19</v>
      </c>
      <c r="R335" s="266"/>
      <c r="S335" s="266"/>
      <c r="T335" s="266"/>
      <c r="U335" s="266"/>
      <c r="V335" s="266"/>
      <c r="W335" s="266"/>
      <c r="X335" s="266"/>
      <c r="Y335" s="267"/>
      <c r="Z335" s="268">
        <f t="shared" ref="Z335:Z340" si="147">SUM(S335:Y335)</f>
        <v>0</v>
      </c>
      <c r="AB335" s="288"/>
      <c r="AC335" s="289"/>
      <c r="AD335" s="289"/>
      <c r="AE335" s="289"/>
      <c r="AF335" s="289"/>
      <c r="AG335" s="289"/>
    </row>
    <row r="336" spans="1:33" ht="15" thickTop="1" thickBot="1">
      <c r="A336" s="344" t="str">
        <f t="shared" si="145"/>
        <v>4219-01</v>
      </c>
      <c r="B336" s="3"/>
      <c r="C336" s="3"/>
      <c r="D336" s="57" t="s">
        <v>99</v>
      </c>
      <c r="E336" s="5" t="s">
        <v>3</v>
      </c>
      <c r="F336" s="269" t="s">
        <v>102</v>
      </c>
      <c r="G336" s="345"/>
      <c r="H336" s="7"/>
      <c r="I336" s="7"/>
      <c r="J336" s="7"/>
      <c r="K336" s="7"/>
      <c r="L336" s="7">
        <v>1</v>
      </c>
      <c r="M336" s="7">
        <v>6</v>
      </c>
      <c r="N336" s="15"/>
      <c r="O336" s="14">
        <f t="shared" si="146"/>
        <v>7</v>
      </c>
      <c r="Q336" s="252" t="s">
        <v>4</v>
      </c>
      <c r="R336" s="266">
        <f>78/19</f>
        <v>4.1052631578947372</v>
      </c>
      <c r="S336" s="266"/>
      <c r="T336" s="266"/>
      <c r="U336" s="266"/>
      <c r="V336" s="266"/>
      <c r="W336" s="266"/>
      <c r="X336" s="266"/>
      <c r="Y336" s="266"/>
      <c r="Z336" s="266">
        <f t="shared" si="147"/>
        <v>0</v>
      </c>
      <c r="AB336" s="288"/>
      <c r="AC336" s="289"/>
      <c r="AD336" s="289"/>
      <c r="AE336" s="289"/>
      <c r="AF336" s="289"/>
      <c r="AG336" s="289"/>
    </row>
    <row r="337" spans="1:33" ht="15" thickTop="1" thickBot="1">
      <c r="A337" s="344" t="str">
        <f t="shared" si="145"/>
        <v>4219-01</v>
      </c>
      <c r="B337" s="3"/>
      <c r="C337" s="3"/>
      <c r="D337" s="57" t="s">
        <v>101</v>
      </c>
      <c r="E337" s="5" t="s">
        <v>3</v>
      </c>
      <c r="F337" s="269"/>
      <c r="G337" s="346"/>
      <c r="H337" s="15"/>
      <c r="I337" s="15"/>
      <c r="J337" s="15"/>
      <c r="K337" s="15"/>
      <c r="L337" s="15"/>
      <c r="M337" s="15"/>
      <c r="N337" s="15"/>
      <c r="O337" s="16">
        <f t="shared" si="146"/>
        <v>0</v>
      </c>
      <c r="Q337" s="252" t="s">
        <v>6</v>
      </c>
      <c r="R337" s="266">
        <f>25/11</f>
        <v>2.2727272727272729</v>
      </c>
      <c r="S337" s="266"/>
      <c r="T337" s="266"/>
      <c r="U337" s="266"/>
      <c r="V337" s="266"/>
      <c r="W337" s="266"/>
      <c r="X337" s="266"/>
      <c r="Y337" s="266"/>
      <c r="Z337" s="266">
        <f t="shared" si="147"/>
        <v>0</v>
      </c>
      <c r="AB337" s="288"/>
      <c r="AC337" s="289"/>
      <c r="AD337" s="289"/>
      <c r="AE337" s="289"/>
      <c r="AF337" s="289"/>
      <c r="AG337" s="289"/>
    </row>
    <row r="338" spans="1:33" ht="15" thickTop="1" thickBot="1">
      <c r="A338" s="344" t="str">
        <f t="shared" si="145"/>
        <v>4219-01</v>
      </c>
      <c r="B338" s="3"/>
      <c r="C338" s="3"/>
      <c r="D338" s="3"/>
      <c r="E338" s="5" t="s">
        <v>3</v>
      </c>
      <c r="F338" s="269" t="s">
        <v>5</v>
      </c>
      <c r="G338" s="346"/>
      <c r="H338" s="8"/>
      <c r="I338" s="8"/>
      <c r="J338" s="8"/>
      <c r="K338" s="8"/>
      <c r="L338" s="8"/>
      <c r="M338" s="8"/>
      <c r="N338" s="15"/>
      <c r="O338" s="16">
        <f t="shared" si="146"/>
        <v>0</v>
      </c>
      <c r="Q338" s="266"/>
      <c r="R338" s="266"/>
      <c r="S338" s="266"/>
      <c r="T338" s="266"/>
      <c r="U338" s="266"/>
      <c r="V338" s="266"/>
      <c r="W338" s="266"/>
      <c r="X338" s="266"/>
      <c r="Y338" s="266"/>
      <c r="Z338" s="266">
        <f t="shared" si="147"/>
        <v>0</v>
      </c>
      <c r="AB338" s="288"/>
      <c r="AC338" s="289"/>
      <c r="AD338" s="289"/>
      <c r="AE338" s="289"/>
      <c r="AF338" s="289"/>
      <c r="AG338" s="289"/>
    </row>
    <row r="339" spans="1:33" ht="15" thickTop="1" thickBot="1">
      <c r="A339" s="347" t="str">
        <f t="shared" si="145"/>
        <v>4219-01</v>
      </c>
      <c r="B339" s="19"/>
      <c r="C339" s="19"/>
      <c r="D339" s="19"/>
      <c r="E339" s="20" t="s">
        <v>3</v>
      </c>
      <c r="F339" s="271"/>
      <c r="G339" s="348"/>
      <c r="H339" s="22"/>
      <c r="I339" s="22"/>
      <c r="J339" s="22"/>
      <c r="K339" s="22"/>
      <c r="L339" s="22"/>
      <c r="M339" s="22"/>
      <c r="N339" s="22"/>
      <c r="O339" s="23">
        <f t="shared" si="146"/>
        <v>0</v>
      </c>
      <c r="Q339" s="252" t="s">
        <v>2</v>
      </c>
      <c r="R339" s="272">
        <f>500/10.2</f>
        <v>49.019607843137258</v>
      </c>
      <c r="S339" s="252">
        <f>49*1.2</f>
        <v>58.8</v>
      </c>
      <c r="T339" s="252">
        <f>49*2.1</f>
        <v>102.9</v>
      </c>
      <c r="U339" s="252">
        <f>49*2.4</f>
        <v>117.6</v>
      </c>
      <c r="V339" s="252">
        <f>49*2.4</f>
        <v>117.6</v>
      </c>
      <c r="W339" s="252">
        <f>49*1.5</f>
        <v>73.5</v>
      </c>
      <c r="X339" s="252">
        <f>49*0.9</f>
        <v>44.1</v>
      </c>
      <c r="Y339" s="266"/>
      <c r="Z339" s="266">
        <f t="shared" si="147"/>
        <v>514.5</v>
      </c>
      <c r="AB339" s="288"/>
      <c r="AC339" s="289"/>
      <c r="AD339" s="289"/>
      <c r="AE339" s="289"/>
      <c r="AF339" s="289"/>
      <c r="AG339" s="289"/>
    </row>
    <row r="340" spans="1:33" ht="15" thickTop="1" thickBot="1">
      <c r="A340" s="349" t="str">
        <f t="shared" si="145"/>
        <v>4219-01</v>
      </c>
      <c r="B340" s="47"/>
      <c r="C340" s="47"/>
      <c r="D340" s="47"/>
      <c r="E340" s="48" t="s">
        <v>23</v>
      </c>
      <c r="F340" s="49" t="str">
        <f>+B333</f>
        <v>Ayla</v>
      </c>
      <c r="G340" s="63">
        <f t="shared" ref="G340:M340" si="148">+G334-G335-G336-G337-G339+G338</f>
        <v>0</v>
      </c>
      <c r="H340" s="48">
        <f t="shared" si="148"/>
        <v>2</v>
      </c>
      <c r="I340" s="48">
        <f t="shared" si="148"/>
        <v>4</v>
      </c>
      <c r="J340" s="48">
        <f t="shared" si="148"/>
        <v>4</v>
      </c>
      <c r="K340" s="48">
        <f t="shared" si="148"/>
        <v>3</v>
      </c>
      <c r="L340" s="48">
        <f t="shared" si="148"/>
        <v>2</v>
      </c>
      <c r="M340" s="48">
        <f t="shared" si="148"/>
        <v>1</v>
      </c>
      <c r="N340" s="48"/>
      <c r="O340" s="48">
        <f t="shared" si="146"/>
        <v>16</v>
      </c>
      <c r="Q340" s="266"/>
      <c r="R340" s="266"/>
      <c r="S340" s="252">
        <f t="shared" ref="S340:X340" si="149">SUM(S336:S339)</f>
        <v>58.8</v>
      </c>
      <c r="T340" s="252">
        <f t="shared" si="149"/>
        <v>102.9</v>
      </c>
      <c r="U340" s="252">
        <f t="shared" si="149"/>
        <v>117.6</v>
      </c>
      <c r="V340" s="252">
        <f t="shared" si="149"/>
        <v>117.6</v>
      </c>
      <c r="W340" s="252">
        <f t="shared" si="149"/>
        <v>73.5</v>
      </c>
      <c r="X340" s="252">
        <f t="shared" si="149"/>
        <v>44.1</v>
      </c>
      <c r="Y340" s="252"/>
      <c r="Z340" s="252">
        <f t="shared" si="147"/>
        <v>514.5</v>
      </c>
      <c r="AB340" s="288"/>
      <c r="AC340" s="289"/>
      <c r="AD340" s="289"/>
      <c r="AE340" s="289"/>
      <c r="AF340" s="289"/>
      <c r="AG340" s="289"/>
    </row>
    <row r="341" spans="1:33" ht="15" thickTop="1" thickBot="1">
      <c r="A341" s="342" t="s">
        <v>7</v>
      </c>
      <c r="B341" s="43" t="s">
        <v>8</v>
      </c>
      <c r="C341" s="43"/>
      <c r="D341" s="43"/>
      <c r="E341" s="44" t="s">
        <v>9</v>
      </c>
      <c r="F341" s="45"/>
      <c r="G341" s="45"/>
      <c r="H341" s="44"/>
      <c r="I341" s="44"/>
      <c r="J341" s="44"/>
      <c r="K341" s="44"/>
      <c r="L341" s="44"/>
      <c r="M341" s="44"/>
      <c r="N341" s="44"/>
      <c r="O341" s="44"/>
      <c r="AB341" s="288"/>
      <c r="AC341" s="289"/>
      <c r="AD341" s="289"/>
      <c r="AE341" s="289"/>
      <c r="AF341" s="289"/>
      <c r="AG341" s="289"/>
    </row>
    <row r="342" spans="1:33" ht="15" thickTop="1" thickBot="1">
      <c r="A342" s="343" t="s">
        <v>104</v>
      </c>
      <c r="B342" s="38" t="s">
        <v>50</v>
      </c>
      <c r="C342" s="9" t="s">
        <v>12</v>
      </c>
      <c r="D342" s="9" t="s">
        <v>13</v>
      </c>
      <c r="E342" s="10"/>
      <c r="F342" s="256" t="s">
        <v>14</v>
      </c>
      <c r="G342" s="257">
        <v>34</v>
      </c>
      <c r="H342" s="257">
        <v>36</v>
      </c>
      <c r="I342" s="257">
        <v>38</v>
      </c>
      <c r="J342" s="257">
        <v>40</v>
      </c>
      <c r="K342" s="257">
        <v>42</v>
      </c>
      <c r="L342" s="257">
        <v>44</v>
      </c>
      <c r="M342" s="257">
        <v>46</v>
      </c>
      <c r="N342" s="257"/>
      <c r="O342" s="258" t="s">
        <v>15</v>
      </c>
      <c r="Q342" s="259" t="s">
        <v>14</v>
      </c>
      <c r="R342" s="259"/>
      <c r="S342" s="259">
        <v>36</v>
      </c>
      <c r="T342" s="259">
        <v>38</v>
      </c>
      <c r="U342" s="259">
        <v>40</v>
      </c>
      <c r="V342" s="259">
        <v>42</v>
      </c>
      <c r="W342" s="259">
        <v>44</v>
      </c>
      <c r="X342" s="259">
        <v>46</v>
      </c>
      <c r="Y342" s="259"/>
      <c r="Z342" s="259" t="s">
        <v>15</v>
      </c>
      <c r="AB342" s="288"/>
      <c r="AC342" s="289"/>
      <c r="AD342" s="289"/>
      <c r="AE342" s="289"/>
      <c r="AF342" s="289"/>
      <c r="AG342" s="289"/>
    </row>
    <row r="343" spans="1:33" ht="15" thickTop="1" thickBot="1">
      <c r="A343" s="344" t="str">
        <f t="shared" ref="A343:A349" si="150">+A342</f>
        <v>4219-02</v>
      </c>
      <c r="B343" s="39" t="s">
        <v>16</v>
      </c>
      <c r="C343" s="39"/>
      <c r="D343" s="39" t="str">
        <f>+B342</f>
        <v>Ayla</v>
      </c>
      <c r="E343" s="40"/>
      <c r="F343" s="261" t="s">
        <v>1</v>
      </c>
      <c r="G343" s="261"/>
      <c r="H343" s="262">
        <f>'BASE DATOS'!C41</f>
        <v>3</v>
      </c>
      <c r="I343" s="262">
        <f>'BASE DATOS'!D41</f>
        <v>6</v>
      </c>
      <c r="J343" s="262">
        <f>'BASE DATOS'!E41</f>
        <v>4</v>
      </c>
      <c r="K343" s="262">
        <f>'BASE DATOS'!F41</f>
        <v>4</v>
      </c>
      <c r="L343" s="262">
        <f>'BASE DATOS'!G41</f>
        <v>3</v>
      </c>
      <c r="M343" s="262">
        <f>'BASE DATOS'!H41</f>
        <v>2</v>
      </c>
      <c r="N343" s="262"/>
      <c r="O343" s="263">
        <f t="shared" ref="O343:O349" si="151">SUM(H343:N343)</f>
        <v>22</v>
      </c>
      <c r="Q343" s="264"/>
      <c r="R343" s="264"/>
      <c r="S343" s="264"/>
      <c r="T343" s="264"/>
      <c r="U343" s="264"/>
      <c r="V343" s="264"/>
      <c r="W343" s="264"/>
      <c r="X343" s="264"/>
      <c r="Y343" s="264"/>
      <c r="Z343" s="264">
        <f>SUBTOTAL(9,S343:Y343)</f>
        <v>0</v>
      </c>
      <c r="AB343" s="288"/>
      <c r="AC343" s="289"/>
      <c r="AD343" s="289"/>
      <c r="AE343" s="289"/>
      <c r="AF343" s="289"/>
      <c r="AG343" s="289"/>
    </row>
    <row r="344" spans="1:33" ht="15" thickTop="1" thickBot="1">
      <c r="A344" s="344" t="str">
        <f t="shared" si="150"/>
        <v>4219-02</v>
      </c>
      <c r="B344" s="3"/>
      <c r="C344" s="4" t="s">
        <v>17</v>
      </c>
      <c r="D344" s="4" t="s">
        <v>18</v>
      </c>
      <c r="E344" s="5" t="s">
        <v>3</v>
      </c>
      <c r="F344" s="265" t="s">
        <v>98</v>
      </c>
      <c r="G344" s="345"/>
      <c r="H344" s="7">
        <v>3</v>
      </c>
      <c r="I344" s="7">
        <v>4</v>
      </c>
      <c r="J344" s="7">
        <v>2</v>
      </c>
      <c r="K344" s="7">
        <v>2</v>
      </c>
      <c r="L344" s="7">
        <v>1</v>
      </c>
      <c r="M344" s="7"/>
      <c r="N344" s="8"/>
      <c r="O344" s="14">
        <f t="shared" si="151"/>
        <v>12</v>
      </c>
      <c r="Q344" s="252" t="s">
        <v>19</v>
      </c>
      <c r="R344" s="266"/>
      <c r="S344" s="266"/>
      <c r="T344" s="266"/>
      <c r="U344" s="266"/>
      <c r="V344" s="266"/>
      <c r="W344" s="266"/>
      <c r="X344" s="266"/>
      <c r="Y344" s="267"/>
      <c r="Z344" s="268">
        <f t="shared" ref="Z344:Z349" si="152">SUM(S344:Y344)</f>
        <v>0</v>
      </c>
      <c r="AB344" s="288"/>
      <c r="AC344" s="289"/>
      <c r="AD344" s="289"/>
      <c r="AE344" s="289"/>
      <c r="AF344" s="289"/>
      <c r="AG344" s="289"/>
    </row>
    <row r="345" spans="1:33" ht="15" thickTop="1" thickBot="1">
      <c r="A345" s="344" t="str">
        <f t="shared" si="150"/>
        <v>4219-02</v>
      </c>
      <c r="B345" s="3"/>
      <c r="C345" s="3"/>
      <c r="D345" s="57" t="s">
        <v>99</v>
      </c>
      <c r="E345" s="5" t="s">
        <v>3</v>
      </c>
      <c r="F345" s="269" t="s">
        <v>102</v>
      </c>
      <c r="G345" s="345"/>
      <c r="H345" s="7"/>
      <c r="I345" s="7"/>
      <c r="J345" s="7"/>
      <c r="K345" s="7"/>
      <c r="L345" s="7"/>
      <c r="M345" s="7"/>
      <c r="N345" s="15"/>
      <c r="O345" s="14">
        <f t="shared" si="151"/>
        <v>0</v>
      </c>
      <c r="Q345" s="252" t="s">
        <v>4</v>
      </c>
      <c r="R345" s="266">
        <f>78/19</f>
        <v>4.1052631578947372</v>
      </c>
      <c r="S345" s="266"/>
      <c r="T345" s="266"/>
      <c r="U345" s="266"/>
      <c r="V345" s="266"/>
      <c r="W345" s="266"/>
      <c r="X345" s="266"/>
      <c r="Y345" s="266"/>
      <c r="Z345" s="266">
        <f t="shared" si="152"/>
        <v>0</v>
      </c>
      <c r="AB345" s="288"/>
      <c r="AC345" s="289"/>
      <c r="AD345" s="289"/>
      <c r="AE345" s="289"/>
      <c r="AF345" s="289"/>
      <c r="AG345" s="289"/>
    </row>
    <row r="346" spans="1:33" ht="15" thickTop="1" thickBot="1">
      <c r="A346" s="344" t="str">
        <f t="shared" si="150"/>
        <v>4219-02</v>
      </c>
      <c r="B346" s="3"/>
      <c r="C346" s="3"/>
      <c r="D346" s="57" t="s">
        <v>101</v>
      </c>
      <c r="E346" s="5" t="s">
        <v>3</v>
      </c>
      <c r="F346" s="269"/>
      <c r="G346" s="346"/>
      <c r="H346" s="15"/>
      <c r="I346" s="15"/>
      <c r="J346" s="15"/>
      <c r="K346" s="15"/>
      <c r="L346" s="15"/>
      <c r="M346" s="15"/>
      <c r="N346" s="15"/>
      <c r="O346" s="16">
        <f t="shared" si="151"/>
        <v>0</v>
      </c>
      <c r="Q346" s="252" t="s">
        <v>6</v>
      </c>
      <c r="R346" s="266">
        <f>25/11</f>
        <v>2.2727272727272729</v>
      </c>
      <c r="S346" s="266"/>
      <c r="T346" s="266"/>
      <c r="U346" s="266"/>
      <c r="V346" s="266"/>
      <c r="W346" s="266"/>
      <c r="X346" s="266"/>
      <c r="Y346" s="266"/>
      <c r="Z346" s="266">
        <f t="shared" si="152"/>
        <v>0</v>
      </c>
      <c r="AB346" s="288"/>
      <c r="AC346" s="289"/>
      <c r="AD346" s="289"/>
      <c r="AE346" s="289"/>
      <c r="AF346" s="289"/>
      <c r="AG346" s="289"/>
    </row>
    <row r="347" spans="1:33" ht="15" thickTop="1" thickBot="1">
      <c r="A347" s="344" t="str">
        <f t="shared" si="150"/>
        <v>4219-02</v>
      </c>
      <c r="B347" s="3"/>
      <c r="C347" s="3"/>
      <c r="D347" s="3"/>
      <c r="E347" s="5" t="s">
        <v>3</v>
      </c>
      <c r="F347" s="269"/>
      <c r="G347" s="346"/>
      <c r="H347" s="8"/>
      <c r="I347" s="8"/>
      <c r="J347" s="8"/>
      <c r="K347" s="8"/>
      <c r="L347" s="8"/>
      <c r="M347" s="8"/>
      <c r="N347" s="15"/>
      <c r="O347" s="16">
        <f t="shared" si="151"/>
        <v>0</v>
      </c>
      <c r="Q347" s="266"/>
      <c r="R347" s="266"/>
      <c r="S347" s="266"/>
      <c r="T347" s="266"/>
      <c r="U347" s="266"/>
      <c r="V347" s="266"/>
      <c r="W347" s="266"/>
      <c r="X347" s="266"/>
      <c r="Y347" s="266"/>
      <c r="Z347" s="266">
        <f t="shared" si="152"/>
        <v>0</v>
      </c>
      <c r="AB347" s="288"/>
      <c r="AC347" s="289"/>
      <c r="AD347" s="289"/>
      <c r="AE347" s="289"/>
      <c r="AF347" s="289"/>
      <c r="AG347" s="289"/>
    </row>
    <row r="348" spans="1:33" ht="15" thickTop="1" thickBot="1">
      <c r="A348" s="347" t="str">
        <f t="shared" si="150"/>
        <v>4219-02</v>
      </c>
      <c r="B348" s="19"/>
      <c r="C348" s="19"/>
      <c r="D348" s="19"/>
      <c r="E348" s="20" t="s">
        <v>3</v>
      </c>
      <c r="F348" s="271"/>
      <c r="G348" s="348"/>
      <c r="H348" s="22"/>
      <c r="I348" s="22"/>
      <c r="J348" s="22"/>
      <c r="K348" s="22"/>
      <c r="L348" s="22"/>
      <c r="M348" s="22"/>
      <c r="N348" s="22"/>
      <c r="O348" s="23">
        <f t="shared" si="151"/>
        <v>0</v>
      </c>
      <c r="Q348" s="252" t="s">
        <v>2</v>
      </c>
      <c r="R348" s="272">
        <f>500/10.2</f>
        <v>49.019607843137258</v>
      </c>
      <c r="S348" s="252">
        <f>49*1.2</f>
        <v>58.8</v>
      </c>
      <c r="T348" s="252">
        <f>49*2.1</f>
        <v>102.9</v>
      </c>
      <c r="U348" s="252">
        <f>49*2.4</f>
        <v>117.6</v>
      </c>
      <c r="V348" s="252">
        <f>49*2.4</f>
        <v>117.6</v>
      </c>
      <c r="W348" s="252">
        <f>49*1.5</f>
        <v>73.5</v>
      </c>
      <c r="X348" s="252">
        <f>49*0.9</f>
        <v>44.1</v>
      </c>
      <c r="Y348" s="266"/>
      <c r="Z348" s="266">
        <f t="shared" si="152"/>
        <v>514.5</v>
      </c>
      <c r="AB348" s="288"/>
      <c r="AC348" s="289"/>
      <c r="AD348" s="289"/>
      <c r="AE348" s="289"/>
      <c r="AF348" s="289"/>
      <c r="AG348" s="289"/>
    </row>
    <row r="349" spans="1:33" ht="15" thickTop="1" thickBot="1">
      <c r="A349" s="349" t="str">
        <f t="shared" si="150"/>
        <v>4219-02</v>
      </c>
      <c r="B349" s="47"/>
      <c r="C349" s="47"/>
      <c r="D349" s="47"/>
      <c r="E349" s="48" t="s">
        <v>23</v>
      </c>
      <c r="F349" s="49" t="str">
        <f>+B342</f>
        <v>Ayla</v>
      </c>
      <c r="G349" s="63">
        <f t="shared" ref="G349:M349" si="153">+G343-G344-G345-G346-G348+G347</f>
        <v>0</v>
      </c>
      <c r="H349" s="48">
        <f t="shared" si="153"/>
        <v>0</v>
      </c>
      <c r="I349" s="48">
        <f t="shared" si="153"/>
        <v>2</v>
      </c>
      <c r="J349" s="48">
        <f t="shared" si="153"/>
        <v>2</v>
      </c>
      <c r="K349" s="48">
        <f t="shared" si="153"/>
        <v>2</v>
      </c>
      <c r="L349" s="48">
        <f t="shared" si="153"/>
        <v>2</v>
      </c>
      <c r="M349" s="48">
        <f t="shared" si="153"/>
        <v>2</v>
      </c>
      <c r="N349" s="48"/>
      <c r="O349" s="48">
        <f t="shared" si="151"/>
        <v>10</v>
      </c>
      <c r="Q349" s="266"/>
      <c r="R349" s="266"/>
      <c r="S349" s="252">
        <f t="shared" ref="S349:X349" si="154">SUM(S345:S348)</f>
        <v>58.8</v>
      </c>
      <c r="T349" s="252">
        <f t="shared" si="154"/>
        <v>102.9</v>
      </c>
      <c r="U349" s="252">
        <f t="shared" si="154"/>
        <v>117.6</v>
      </c>
      <c r="V349" s="252">
        <f t="shared" si="154"/>
        <v>117.6</v>
      </c>
      <c r="W349" s="252">
        <f t="shared" si="154"/>
        <v>73.5</v>
      </c>
      <c r="X349" s="252">
        <f t="shared" si="154"/>
        <v>44.1</v>
      </c>
      <c r="Y349" s="252"/>
      <c r="Z349" s="252">
        <f t="shared" si="152"/>
        <v>514.5</v>
      </c>
      <c r="AB349" s="288"/>
      <c r="AC349" s="289"/>
      <c r="AD349" s="289"/>
      <c r="AE349" s="289"/>
      <c r="AF349" s="289"/>
      <c r="AG349" s="289"/>
    </row>
    <row r="350" spans="1:33" ht="15" thickTop="1" thickBot="1">
      <c r="A350" s="274" t="s">
        <v>7</v>
      </c>
      <c r="B350" s="43" t="s">
        <v>8</v>
      </c>
      <c r="C350" s="43"/>
      <c r="D350" s="43"/>
      <c r="E350" s="44" t="s">
        <v>9</v>
      </c>
      <c r="F350" s="45"/>
      <c r="G350" s="45"/>
      <c r="H350" s="44"/>
      <c r="I350" s="44"/>
      <c r="J350" s="44"/>
      <c r="K350" s="44"/>
      <c r="L350" s="44"/>
      <c r="M350" s="44"/>
      <c r="N350" s="44"/>
      <c r="O350" s="44"/>
      <c r="AB350" s="288"/>
      <c r="AC350" s="289"/>
      <c r="AD350" s="289"/>
      <c r="AE350" s="289"/>
      <c r="AF350" s="289"/>
      <c r="AG350" s="289"/>
    </row>
    <row r="351" spans="1:33" ht="15" thickTop="1" thickBot="1">
      <c r="A351" s="278" t="s">
        <v>105</v>
      </c>
      <c r="B351" s="38" t="s">
        <v>85</v>
      </c>
      <c r="C351" s="9" t="s">
        <v>12</v>
      </c>
      <c r="D351" s="9" t="s">
        <v>13</v>
      </c>
      <c r="E351" s="10"/>
      <c r="F351" s="256" t="s">
        <v>14</v>
      </c>
      <c r="G351" s="257">
        <v>34</v>
      </c>
      <c r="H351" s="257">
        <v>36</v>
      </c>
      <c r="I351" s="257">
        <v>38</v>
      </c>
      <c r="J351" s="257">
        <v>40</v>
      </c>
      <c r="K351" s="257">
        <v>42</v>
      </c>
      <c r="L351" s="257">
        <v>44</v>
      </c>
      <c r="M351" s="257">
        <v>46</v>
      </c>
      <c r="N351" s="257"/>
      <c r="O351" s="258" t="s">
        <v>15</v>
      </c>
      <c r="Q351" s="259" t="s">
        <v>14</v>
      </c>
      <c r="R351" s="259"/>
      <c r="S351" s="259">
        <v>36</v>
      </c>
      <c r="T351" s="259">
        <v>38</v>
      </c>
      <c r="U351" s="259">
        <v>40</v>
      </c>
      <c r="V351" s="259">
        <v>42</v>
      </c>
      <c r="W351" s="259">
        <v>44</v>
      </c>
      <c r="X351" s="259">
        <v>46</v>
      </c>
      <c r="Y351" s="259"/>
      <c r="Z351" s="259" t="s">
        <v>15</v>
      </c>
      <c r="AB351" s="288"/>
      <c r="AC351" s="289"/>
      <c r="AD351" s="289"/>
      <c r="AE351" s="289"/>
      <c r="AF351" s="289"/>
      <c r="AG351" s="289"/>
    </row>
    <row r="352" spans="1:33" ht="15" thickTop="1" thickBot="1">
      <c r="A352" s="280" t="str">
        <f t="shared" ref="A352:A358" si="155">+A351</f>
        <v>4220-00</v>
      </c>
      <c r="B352" s="39" t="s">
        <v>16</v>
      </c>
      <c r="C352" s="39"/>
      <c r="D352" s="39" t="str">
        <f>+B351</f>
        <v>Missy Plus</v>
      </c>
      <c r="E352" s="40"/>
      <c r="F352" s="261" t="s">
        <v>1</v>
      </c>
      <c r="G352" s="261"/>
      <c r="H352" s="262">
        <f>'BASE DATOS'!C42</f>
        <v>40</v>
      </c>
      <c r="I352" s="262">
        <f>'BASE DATOS'!D42</f>
        <v>73</v>
      </c>
      <c r="J352" s="262">
        <f>'BASE DATOS'!E42</f>
        <v>75</v>
      </c>
      <c r="K352" s="262">
        <f>'BASE DATOS'!F42</f>
        <v>70</v>
      </c>
      <c r="L352" s="262">
        <f>'BASE DATOS'!G42</f>
        <v>47</v>
      </c>
      <c r="M352" s="262">
        <f>'BASE DATOS'!H42</f>
        <v>32</v>
      </c>
      <c r="N352" s="262"/>
      <c r="O352" s="263">
        <f t="shared" ref="O352:O358" si="156">SUM(H352:N352)</f>
        <v>337</v>
      </c>
      <c r="Q352" s="264"/>
      <c r="R352" s="264"/>
      <c r="S352" s="264"/>
      <c r="T352" s="264"/>
      <c r="U352" s="264"/>
      <c r="V352" s="264"/>
      <c r="W352" s="264"/>
      <c r="X352" s="264"/>
      <c r="Y352" s="264"/>
      <c r="Z352" s="264">
        <f>SUBTOTAL(9,S352:Y352)</f>
        <v>0</v>
      </c>
      <c r="AB352" s="288"/>
      <c r="AC352" s="289"/>
      <c r="AD352" s="289"/>
      <c r="AE352" s="289"/>
      <c r="AF352" s="289"/>
      <c r="AG352" s="289"/>
    </row>
    <row r="353" spans="1:37" ht="15" thickTop="1" thickBot="1">
      <c r="A353" s="280" t="str">
        <f t="shared" si="155"/>
        <v>4220-00</v>
      </c>
      <c r="B353" s="3">
        <v>46006</v>
      </c>
      <c r="C353" s="4" t="s">
        <v>17</v>
      </c>
      <c r="D353" s="4" t="s">
        <v>18</v>
      </c>
      <c r="E353" s="5" t="s">
        <v>3</v>
      </c>
      <c r="F353" s="265" t="s">
        <v>106</v>
      </c>
      <c r="G353" s="345">
        <v>37</v>
      </c>
      <c r="H353" s="7">
        <v>40</v>
      </c>
      <c r="I353" s="7">
        <v>56</v>
      </c>
      <c r="J353" s="7">
        <v>53</v>
      </c>
      <c r="K353" s="7">
        <v>42</v>
      </c>
      <c r="L353" s="7">
        <v>24</v>
      </c>
      <c r="N353" s="8"/>
      <c r="O353" s="14">
        <f t="shared" si="156"/>
        <v>215</v>
      </c>
      <c r="Q353" s="252" t="s">
        <v>19</v>
      </c>
      <c r="R353" s="266"/>
      <c r="S353" s="266"/>
      <c r="T353" s="266"/>
      <c r="U353" s="266"/>
      <c r="V353" s="266"/>
      <c r="W353" s="266"/>
      <c r="X353" s="266"/>
      <c r="Y353" s="267"/>
      <c r="Z353" s="268">
        <f t="shared" ref="Z353:Z358" si="157">SUM(S353:Y353)</f>
        <v>0</v>
      </c>
      <c r="AB353" s="288"/>
      <c r="AC353" s="289"/>
      <c r="AD353" s="289"/>
      <c r="AE353" s="289"/>
      <c r="AF353" s="289"/>
      <c r="AG353" s="289"/>
    </row>
    <row r="354" spans="1:37" ht="15" thickTop="1" thickBot="1">
      <c r="A354" s="280" t="str">
        <f t="shared" si="155"/>
        <v>4220-00</v>
      </c>
      <c r="B354" s="3">
        <v>46041</v>
      </c>
      <c r="C354" s="3"/>
      <c r="D354" s="57" t="s">
        <v>107</v>
      </c>
      <c r="E354" s="5" t="s">
        <v>3</v>
      </c>
      <c r="F354" s="269" t="s">
        <v>108</v>
      </c>
      <c r="G354" s="350"/>
      <c r="H354" s="7"/>
      <c r="I354" s="7">
        <v>20</v>
      </c>
      <c r="J354" s="7">
        <v>30</v>
      </c>
      <c r="K354" s="7">
        <v>20</v>
      </c>
      <c r="L354" s="7">
        <v>20</v>
      </c>
      <c r="M354" s="7">
        <v>20</v>
      </c>
      <c r="N354" s="15"/>
      <c r="O354" s="14">
        <f t="shared" si="156"/>
        <v>110</v>
      </c>
      <c r="Q354" s="252" t="s">
        <v>4</v>
      </c>
      <c r="R354" s="266">
        <f>78/19</f>
        <v>4.1052631578947372</v>
      </c>
      <c r="S354" s="266"/>
      <c r="T354" s="266"/>
      <c r="U354" s="266"/>
      <c r="V354" s="266"/>
      <c r="W354" s="266"/>
      <c r="X354" s="266"/>
      <c r="Y354" s="266"/>
      <c r="Z354" s="266">
        <f t="shared" si="157"/>
        <v>0</v>
      </c>
      <c r="AB354" s="288"/>
      <c r="AC354" s="289"/>
      <c r="AD354" s="289"/>
      <c r="AE354" s="289"/>
      <c r="AF354" s="289"/>
      <c r="AG354" s="289"/>
    </row>
    <row r="355" spans="1:37" ht="15" thickTop="1" thickBot="1">
      <c r="A355" s="280" t="str">
        <f t="shared" si="155"/>
        <v>4220-00</v>
      </c>
      <c r="B355" s="3"/>
      <c r="C355" s="3"/>
      <c r="D355" s="3"/>
      <c r="E355" s="5" t="s">
        <v>3</v>
      </c>
      <c r="F355" s="269"/>
      <c r="G355" s="350"/>
      <c r="H355" s="15"/>
      <c r="I355" s="15"/>
      <c r="J355" s="15"/>
      <c r="K355" s="15"/>
      <c r="L355" s="15"/>
      <c r="M355" s="15"/>
      <c r="N355" s="15"/>
      <c r="O355" s="16">
        <f t="shared" si="156"/>
        <v>0</v>
      </c>
      <c r="Q355" s="252" t="s">
        <v>6</v>
      </c>
      <c r="R355" s="266">
        <f>25/11</f>
        <v>2.2727272727272729</v>
      </c>
      <c r="S355" s="266"/>
      <c r="T355" s="266"/>
      <c r="U355" s="266"/>
      <c r="V355" s="266"/>
      <c r="W355" s="266"/>
      <c r="X355" s="266"/>
      <c r="Y355" s="266"/>
      <c r="Z355" s="266">
        <f t="shared" si="157"/>
        <v>0</v>
      </c>
      <c r="AB355" s="288"/>
      <c r="AC355" s="289"/>
      <c r="AD355" s="289"/>
      <c r="AE355" s="289"/>
      <c r="AF355" s="289"/>
      <c r="AG355" s="289"/>
    </row>
    <row r="356" spans="1:37" ht="15" thickTop="1" thickBot="1">
      <c r="A356" s="280" t="str">
        <f t="shared" si="155"/>
        <v>4220-00</v>
      </c>
      <c r="B356" s="3"/>
      <c r="C356" s="3"/>
      <c r="D356" s="3"/>
      <c r="E356" s="5" t="s">
        <v>3</v>
      </c>
      <c r="F356" s="269"/>
      <c r="G356" s="350"/>
      <c r="H356" s="8"/>
      <c r="I356" s="8"/>
      <c r="J356" s="8"/>
      <c r="K356" s="8"/>
      <c r="L356" s="8"/>
      <c r="M356" s="8"/>
      <c r="N356" s="15"/>
      <c r="O356" s="16">
        <f t="shared" si="156"/>
        <v>0</v>
      </c>
      <c r="Q356" s="266"/>
      <c r="R356" s="266"/>
      <c r="S356" s="266"/>
      <c r="T356" s="266"/>
      <c r="U356" s="266"/>
      <c r="V356" s="266"/>
      <c r="W356" s="266"/>
      <c r="X356" s="266"/>
      <c r="Y356" s="266"/>
      <c r="Z356" s="266">
        <f t="shared" si="157"/>
        <v>0</v>
      </c>
      <c r="AB356" s="288"/>
      <c r="AC356" s="289"/>
      <c r="AD356" s="289"/>
      <c r="AE356" s="289"/>
      <c r="AF356" s="289"/>
      <c r="AG356" s="289"/>
    </row>
    <row r="357" spans="1:37" ht="15" thickTop="1" thickBot="1">
      <c r="A357" s="283" t="str">
        <f t="shared" si="155"/>
        <v>4220-00</v>
      </c>
      <c r="B357" s="19"/>
      <c r="C357" s="19"/>
      <c r="D357" s="19"/>
      <c r="E357" s="20" t="s">
        <v>3</v>
      </c>
      <c r="F357" s="271"/>
      <c r="G357" s="351"/>
      <c r="H357" s="22"/>
      <c r="I357" s="22"/>
      <c r="J357" s="22"/>
      <c r="K357" s="22"/>
      <c r="L357" s="22"/>
      <c r="M357" s="22"/>
      <c r="N357" s="22"/>
      <c r="O357" s="23">
        <f t="shared" si="156"/>
        <v>0</v>
      </c>
      <c r="Q357" s="252" t="s">
        <v>2</v>
      </c>
      <c r="R357" s="272">
        <f>500/10.2</f>
        <v>49.019607843137258</v>
      </c>
      <c r="S357" s="252">
        <f>49*1.2</f>
        <v>58.8</v>
      </c>
      <c r="T357" s="252">
        <f>49*2.1</f>
        <v>102.9</v>
      </c>
      <c r="U357" s="252">
        <f>49*2.4</f>
        <v>117.6</v>
      </c>
      <c r="V357" s="252">
        <f>49*2.4</f>
        <v>117.6</v>
      </c>
      <c r="W357" s="252">
        <f>49*1.5</f>
        <v>73.5</v>
      </c>
      <c r="X357" s="252">
        <f>49*0.9</f>
        <v>44.1</v>
      </c>
      <c r="Y357" s="266"/>
      <c r="Z357" s="266">
        <f t="shared" si="157"/>
        <v>514.5</v>
      </c>
      <c r="AB357" s="288"/>
      <c r="AC357" s="289"/>
      <c r="AD357" s="289"/>
      <c r="AE357" s="289"/>
      <c r="AF357" s="289"/>
      <c r="AG357" s="289"/>
    </row>
    <row r="358" spans="1:37" ht="15" thickTop="1" thickBot="1">
      <c r="A358" s="284" t="str">
        <f t="shared" si="155"/>
        <v>4220-00</v>
      </c>
      <c r="B358" s="47"/>
      <c r="C358" s="47"/>
      <c r="D358" s="47"/>
      <c r="E358" s="48" t="s">
        <v>23</v>
      </c>
      <c r="F358" s="49" t="str">
        <f>+B351</f>
        <v>Missy Plus</v>
      </c>
      <c r="G358" s="60">
        <f t="shared" ref="G358:M358" si="158">+G352-G353-G354-G355-G357+G356</f>
        <v>-37</v>
      </c>
      <c r="H358" s="48">
        <f t="shared" si="158"/>
        <v>0</v>
      </c>
      <c r="I358" s="48">
        <f t="shared" si="158"/>
        <v>-3</v>
      </c>
      <c r="J358" s="48">
        <f t="shared" si="158"/>
        <v>-8</v>
      </c>
      <c r="K358" s="48">
        <f t="shared" si="158"/>
        <v>8</v>
      </c>
      <c r="L358" s="48">
        <f t="shared" si="158"/>
        <v>3</v>
      </c>
      <c r="M358" s="48">
        <f t="shared" si="158"/>
        <v>12</v>
      </c>
      <c r="N358" s="48"/>
      <c r="O358" s="48">
        <f t="shared" si="156"/>
        <v>12</v>
      </c>
      <c r="Q358" s="266"/>
      <c r="R358" s="266"/>
      <c r="S358" s="252">
        <f t="shared" ref="S358:X358" si="159">SUM(S354:S357)</f>
        <v>58.8</v>
      </c>
      <c r="T358" s="252">
        <f t="shared" si="159"/>
        <v>102.9</v>
      </c>
      <c r="U358" s="252">
        <f t="shared" si="159"/>
        <v>117.6</v>
      </c>
      <c r="V358" s="252">
        <f t="shared" si="159"/>
        <v>117.6</v>
      </c>
      <c r="W358" s="252">
        <f t="shared" si="159"/>
        <v>73.5</v>
      </c>
      <c r="X358" s="252">
        <f t="shared" si="159"/>
        <v>44.1</v>
      </c>
      <c r="Y358" s="252"/>
      <c r="Z358" s="252">
        <f t="shared" si="157"/>
        <v>514.5</v>
      </c>
      <c r="AB358" s="288"/>
      <c r="AC358" s="289"/>
      <c r="AD358" s="289"/>
      <c r="AE358" s="289"/>
      <c r="AF358" s="289"/>
      <c r="AG358" s="289"/>
    </row>
    <row r="359" spans="1:37" ht="15" thickTop="1" thickBot="1">
      <c r="A359" s="293" t="s">
        <v>7</v>
      </c>
      <c r="B359" s="43" t="s">
        <v>8</v>
      </c>
      <c r="C359" s="43"/>
      <c r="D359" s="43"/>
      <c r="E359" s="44" t="s">
        <v>9</v>
      </c>
      <c r="F359" s="45"/>
      <c r="G359" s="45"/>
      <c r="H359" s="44"/>
      <c r="I359" s="44"/>
      <c r="J359" s="44"/>
      <c r="K359" s="44"/>
      <c r="L359" s="44"/>
      <c r="M359" s="44"/>
      <c r="N359" s="44"/>
      <c r="O359" s="44"/>
      <c r="AB359" s="288"/>
      <c r="AC359" s="275" t="s">
        <v>3</v>
      </c>
      <c r="AD359" s="276">
        <v>46085</v>
      </c>
      <c r="AE359" s="275">
        <v>36</v>
      </c>
      <c r="AF359" s="275">
        <v>38</v>
      </c>
      <c r="AG359" s="275">
        <v>40</v>
      </c>
      <c r="AH359" s="275">
        <v>42</v>
      </c>
      <c r="AI359" s="277">
        <v>44</v>
      </c>
      <c r="AJ359" s="277">
        <v>46</v>
      </c>
      <c r="AK359" s="277" t="s">
        <v>28</v>
      </c>
    </row>
    <row r="360" spans="1:37" ht="15" thickTop="1" thickBot="1">
      <c r="A360" s="294" t="s">
        <v>109</v>
      </c>
      <c r="B360" s="38" t="s">
        <v>95</v>
      </c>
      <c r="C360" s="9" t="s">
        <v>12</v>
      </c>
      <c r="D360" s="9" t="s">
        <v>13</v>
      </c>
      <c r="E360" s="10"/>
      <c r="F360" s="256" t="s">
        <v>14</v>
      </c>
      <c r="G360" s="257">
        <v>34</v>
      </c>
      <c r="H360" s="257">
        <v>36</v>
      </c>
      <c r="I360" s="257">
        <v>38</v>
      </c>
      <c r="J360" s="257">
        <v>40</v>
      </c>
      <c r="K360" s="257">
        <v>42</v>
      </c>
      <c r="L360" s="257">
        <v>44</v>
      </c>
      <c r="M360" s="257">
        <v>46</v>
      </c>
      <c r="N360" s="257"/>
      <c r="O360" s="258" t="s">
        <v>15</v>
      </c>
      <c r="Q360" s="259" t="s">
        <v>14</v>
      </c>
      <c r="R360" s="259"/>
      <c r="S360" s="259">
        <v>36</v>
      </c>
      <c r="T360" s="259">
        <v>38</v>
      </c>
      <c r="U360" s="259">
        <v>40</v>
      </c>
      <c r="V360" s="259">
        <v>42</v>
      </c>
      <c r="W360" s="259">
        <v>44</v>
      </c>
      <c r="X360" s="259">
        <v>46</v>
      </c>
      <c r="Y360" s="259"/>
      <c r="Z360" s="259" t="s">
        <v>15</v>
      </c>
      <c r="AB360" s="288"/>
      <c r="AC360" s="279" t="s">
        <v>29</v>
      </c>
      <c r="AD360" s="275">
        <v>11565</v>
      </c>
      <c r="AE360" s="279">
        <v>16</v>
      </c>
      <c r="AF360" s="279">
        <v>78</v>
      </c>
      <c r="AG360" s="279">
        <v>74</v>
      </c>
      <c r="AH360" s="279">
        <v>74</v>
      </c>
      <c r="AI360" s="279">
        <v>44</v>
      </c>
      <c r="AJ360" s="279">
        <v>56</v>
      </c>
      <c r="AK360" s="275">
        <f>SUM(AE360:AJ360)</f>
        <v>342</v>
      </c>
    </row>
    <row r="361" spans="1:37" ht="15" thickTop="1" thickBot="1">
      <c r="A361" s="295" t="str">
        <f t="shared" ref="A361:A367" si="160">+A360</f>
        <v>4221-00</v>
      </c>
      <c r="B361" s="39" t="s">
        <v>16</v>
      </c>
      <c r="C361" s="39"/>
      <c r="D361" s="39" t="str">
        <f>+B360</f>
        <v>New Glue</v>
      </c>
      <c r="E361" s="40"/>
      <c r="F361" s="261" t="s">
        <v>1</v>
      </c>
      <c r="G361" s="261"/>
      <c r="H361" s="262">
        <f>'BASE DATOS'!C43</f>
        <v>43</v>
      </c>
      <c r="I361" s="262">
        <f>'BASE DATOS'!D43</f>
        <v>105</v>
      </c>
      <c r="J361" s="262">
        <f>'BASE DATOS'!E43</f>
        <v>108</v>
      </c>
      <c r="K361" s="262">
        <f>'BASE DATOS'!F43</f>
        <v>103</v>
      </c>
      <c r="L361" s="262">
        <f>'BASE DATOS'!G43</f>
        <v>72</v>
      </c>
      <c r="M361" s="262">
        <f>'BASE DATOS'!H43</f>
        <v>65</v>
      </c>
      <c r="N361" s="262"/>
      <c r="O361" s="263">
        <f t="shared" ref="O361:O367" si="161">SUM(H361:N361)</f>
        <v>496</v>
      </c>
      <c r="Q361" s="264"/>
      <c r="R361" s="264"/>
      <c r="S361" s="264"/>
      <c r="T361" s="264"/>
      <c r="U361" s="264"/>
      <c r="V361" s="264"/>
      <c r="W361" s="264"/>
      <c r="X361" s="264"/>
      <c r="Y361" s="264"/>
      <c r="Z361" s="264">
        <f>SUBTOTAL(9,S361:Y361)</f>
        <v>0</v>
      </c>
      <c r="AB361" s="288"/>
      <c r="AC361" s="281" t="s">
        <v>30</v>
      </c>
      <c r="AD361" s="282">
        <v>4221</v>
      </c>
    </row>
    <row r="362" spans="1:37" ht="15" thickTop="1" thickBot="1">
      <c r="A362" s="295" t="str">
        <f t="shared" si="160"/>
        <v>4221-00</v>
      </c>
      <c r="B362" s="3">
        <v>45960</v>
      </c>
      <c r="C362" s="4" t="s">
        <v>17</v>
      </c>
      <c r="D362" s="4" t="s">
        <v>38</v>
      </c>
      <c r="E362" s="5" t="s">
        <v>3</v>
      </c>
      <c r="F362" s="265" t="s">
        <v>110</v>
      </c>
      <c r="G362" s="2"/>
      <c r="H362" s="7">
        <f>70-H371</f>
        <v>35</v>
      </c>
      <c r="I362" s="7">
        <f>90-I371</f>
        <v>45</v>
      </c>
      <c r="J362" s="7">
        <f>110-J371</f>
        <v>55</v>
      </c>
      <c r="K362" s="7">
        <f>90-K371</f>
        <v>45</v>
      </c>
      <c r="L362" s="7">
        <f>80-L371</f>
        <v>40</v>
      </c>
      <c r="M362" s="7">
        <f>40-M371</f>
        <v>20</v>
      </c>
      <c r="N362" s="8"/>
      <c r="O362" s="14">
        <f t="shared" si="161"/>
        <v>240</v>
      </c>
      <c r="Q362" s="252" t="s">
        <v>19</v>
      </c>
      <c r="R362" s="266"/>
      <c r="S362" s="266"/>
      <c r="T362" s="266"/>
      <c r="U362" s="266"/>
      <c r="V362" s="266"/>
      <c r="W362" s="266"/>
      <c r="X362" s="266"/>
      <c r="Y362" s="267"/>
      <c r="Z362" s="268">
        <f t="shared" ref="Z362:Z367" si="162">SUM(S362:Y362)</f>
        <v>0</v>
      </c>
      <c r="AB362" s="288"/>
      <c r="AC362" s="279" t="s">
        <v>32</v>
      </c>
      <c r="AD362" s="275" t="s">
        <v>95</v>
      </c>
    </row>
    <row r="363" spans="1:37" ht="15" thickTop="1" thickBot="1">
      <c r="A363" s="295" t="str">
        <f t="shared" si="160"/>
        <v>4221-00</v>
      </c>
      <c r="B363" s="3">
        <v>46085</v>
      </c>
      <c r="C363" s="3"/>
      <c r="D363" s="57" t="s">
        <v>111</v>
      </c>
      <c r="E363" s="5" t="s">
        <v>3</v>
      </c>
      <c r="F363" s="269" t="s">
        <v>112</v>
      </c>
      <c r="G363" s="6"/>
      <c r="H363" s="7">
        <f>16-H380</f>
        <v>11</v>
      </c>
      <c r="I363" s="7">
        <f>84-I380</f>
        <v>72</v>
      </c>
      <c r="J363" s="7">
        <f>84-J380</f>
        <v>70</v>
      </c>
      <c r="K363" s="7">
        <f>84-K380</f>
        <v>70</v>
      </c>
      <c r="L363" s="7">
        <f>60-L380</f>
        <v>49</v>
      </c>
      <c r="M363" s="7">
        <f>68-M380</f>
        <v>59</v>
      </c>
      <c r="N363" s="15"/>
      <c r="O363" s="14">
        <f t="shared" si="161"/>
        <v>331</v>
      </c>
      <c r="Q363" s="252" t="s">
        <v>4</v>
      </c>
      <c r="R363" s="266">
        <f>78/19</f>
        <v>4.1052631578947372</v>
      </c>
      <c r="S363" s="266"/>
      <c r="T363" s="266"/>
      <c r="U363" s="266"/>
      <c r="V363" s="266"/>
      <c r="W363" s="266"/>
      <c r="X363" s="266"/>
      <c r="Y363" s="266"/>
      <c r="Z363" s="266">
        <f t="shared" si="162"/>
        <v>0</v>
      </c>
      <c r="AB363" s="288"/>
      <c r="AC363" s="279" t="s">
        <v>12</v>
      </c>
      <c r="AD363" s="275" t="s">
        <v>38</v>
      </c>
    </row>
    <row r="364" spans="1:37" ht="15" thickTop="1" thickBot="1">
      <c r="A364" s="295" t="str">
        <f t="shared" si="160"/>
        <v>4221-00</v>
      </c>
      <c r="B364" s="3"/>
      <c r="C364" s="3"/>
      <c r="D364" s="57" t="s">
        <v>113</v>
      </c>
      <c r="E364" s="5" t="s">
        <v>3</v>
      </c>
      <c r="F364" s="269"/>
      <c r="G364" s="6"/>
      <c r="H364" s="15"/>
      <c r="I364" s="15"/>
      <c r="J364" s="15"/>
      <c r="K364" s="15"/>
      <c r="L364" s="15"/>
      <c r="M364" s="15"/>
      <c r="N364" s="15"/>
      <c r="O364" s="16">
        <f t="shared" si="161"/>
        <v>0</v>
      </c>
      <c r="Q364" s="252" t="s">
        <v>6</v>
      </c>
      <c r="R364" s="266">
        <f>25/11</f>
        <v>2.2727272727272729</v>
      </c>
      <c r="S364" s="266"/>
      <c r="T364" s="266"/>
      <c r="U364" s="266"/>
      <c r="V364" s="266"/>
      <c r="W364" s="266"/>
      <c r="X364" s="266"/>
      <c r="Y364" s="266"/>
      <c r="Z364" s="266">
        <f t="shared" si="162"/>
        <v>0</v>
      </c>
      <c r="AB364" s="288"/>
      <c r="AC364" s="279" t="s">
        <v>17</v>
      </c>
      <c r="AD364" s="275" t="s">
        <v>114</v>
      </c>
    </row>
    <row r="365" spans="1:37" ht="15" thickTop="1" thickBot="1">
      <c r="A365" s="295" t="str">
        <f t="shared" si="160"/>
        <v>4221-00</v>
      </c>
      <c r="B365" s="3"/>
      <c r="C365" s="3"/>
      <c r="D365" s="3"/>
      <c r="E365" s="5" t="s">
        <v>3</v>
      </c>
      <c r="F365" s="269"/>
      <c r="G365" s="6"/>
      <c r="H365" s="8"/>
      <c r="I365" s="8"/>
      <c r="J365" s="8"/>
      <c r="K365" s="8"/>
      <c r="L365" s="8"/>
      <c r="M365" s="8"/>
      <c r="N365" s="15"/>
      <c r="O365" s="16">
        <f t="shared" si="161"/>
        <v>0</v>
      </c>
      <c r="Q365" s="266"/>
      <c r="R365" s="266"/>
      <c r="S365" s="266"/>
      <c r="T365" s="266"/>
      <c r="U365" s="266"/>
      <c r="V365" s="266"/>
      <c r="W365" s="266"/>
      <c r="X365" s="266"/>
      <c r="Y365" s="266"/>
      <c r="Z365" s="266">
        <f t="shared" si="162"/>
        <v>0</v>
      </c>
      <c r="AB365" s="288"/>
      <c r="AC365" s="289"/>
      <c r="AD365" s="289"/>
      <c r="AE365" s="289"/>
      <c r="AF365" s="289"/>
      <c r="AG365" s="289"/>
    </row>
    <row r="366" spans="1:37" ht="15" thickTop="1" thickBot="1">
      <c r="A366" s="296" t="str">
        <f t="shared" si="160"/>
        <v>4221-00</v>
      </c>
      <c r="B366" s="19"/>
      <c r="C366" s="19"/>
      <c r="D366" s="19"/>
      <c r="E366" s="20" t="s">
        <v>3</v>
      </c>
      <c r="F366" s="271"/>
      <c r="G366" s="21"/>
      <c r="H366" s="22"/>
      <c r="I366" s="22"/>
      <c r="J366" s="22"/>
      <c r="K366" s="22"/>
      <c r="L366" s="22"/>
      <c r="M366" s="22"/>
      <c r="N366" s="22"/>
      <c r="O366" s="23">
        <f t="shared" si="161"/>
        <v>0</v>
      </c>
      <c r="Q366" s="252" t="s">
        <v>2</v>
      </c>
      <c r="R366" s="272">
        <f>500/10.2</f>
        <v>49.019607843137258</v>
      </c>
      <c r="S366" s="252">
        <f>49*1.2</f>
        <v>58.8</v>
      </c>
      <c r="T366" s="252">
        <f>49*2.1</f>
        <v>102.9</v>
      </c>
      <c r="U366" s="252">
        <f>49*2.4</f>
        <v>117.6</v>
      </c>
      <c r="V366" s="252">
        <f>49*2.4</f>
        <v>117.6</v>
      </c>
      <c r="W366" s="252">
        <f>49*1.5</f>
        <v>73.5</v>
      </c>
      <c r="X366" s="252">
        <f>49*0.9</f>
        <v>44.1</v>
      </c>
      <c r="Y366" s="266"/>
      <c r="Z366" s="266">
        <f t="shared" si="162"/>
        <v>514.5</v>
      </c>
      <c r="AB366" s="288"/>
      <c r="AC366" s="289"/>
      <c r="AD366" s="289"/>
      <c r="AE366" s="289"/>
      <c r="AF366" s="289"/>
      <c r="AG366" s="289"/>
      <c r="AH366" s="289"/>
      <c r="AI366" s="289"/>
      <c r="AJ366" s="289"/>
      <c r="AK366" s="250"/>
    </row>
    <row r="367" spans="1:37" ht="15" thickTop="1" thickBot="1">
      <c r="A367" s="299" t="str">
        <f t="shared" si="160"/>
        <v>4221-00</v>
      </c>
      <c r="B367" s="47"/>
      <c r="C367" s="47"/>
      <c r="D367" s="47"/>
      <c r="E367" s="48" t="s">
        <v>23</v>
      </c>
      <c r="F367" s="49" t="str">
        <f>+B360</f>
        <v>New Glue</v>
      </c>
      <c r="G367" s="48"/>
      <c r="H367" s="48">
        <f>+H361-H362-H363-H364-H366+H365</f>
        <v>-3</v>
      </c>
      <c r="I367" s="48">
        <f>+I361-I362-I363-I364-I366+I365</f>
        <v>-12</v>
      </c>
      <c r="J367" s="48">
        <f>+J361-J362-J363-J364-J366-J365</f>
        <v>-17</v>
      </c>
      <c r="K367" s="48">
        <f>+K361-K362-K363-K364-K366-K365</f>
        <v>-12</v>
      </c>
      <c r="L367" s="48">
        <f>+L361-L362-L363-L364-L366-L365</f>
        <v>-17</v>
      </c>
      <c r="M367" s="48">
        <f>+M361-M362-M363-M364-M366-M365</f>
        <v>-14</v>
      </c>
      <c r="N367" s="48"/>
      <c r="O367" s="48">
        <f t="shared" si="161"/>
        <v>-75</v>
      </c>
      <c r="Q367" s="266"/>
      <c r="R367" s="266"/>
      <c r="S367" s="252">
        <f t="shared" ref="S367:X367" si="163">SUM(S363:S366)</f>
        <v>58.8</v>
      </c>
      <c r="T367" s="252">
        <f t="shared" si="163"/>
        <v>102.9</v>
      </c>
      <c r="U367" s="252">
        <f t="shared" si="163"/>
        <v>117.6</v>
      </c>
      <c r="V367" s="252">
        <f t="shared" si="163"/>
        <v>117.6</v>
      </c>
      <c r="W367" s="252">
        <f t="shared" si="163"/>
        <v>73.5</v>
      </c>
      <c r="X367" s="252">
        <f t="shared" si="163"/>
        <v>44.1</v>
      </c>
      <c r="Y367" s="252"/>
      <c r="Z367" s="252">
        <f t="shared" si="162"/>
        <v>514.5</v>
      </c>
      <c r="AB367" s="288"/>
      <c r="AC367" s="289"/>
      <c r="AD367" s="289"/>
      <c r="AE367" s="289"/>
      <c r="AF367" s="289"/>
      <c r="AG367" s="289"/>
    </row>
    <row r="368" spans="1:37" ht="15" thickTop="1" thickBot="1">
      <c r="A368" s="293" t="s">
        <v>7</v>
      </c>
      <c r="B368" s="43" t="s">
        <v>8</v>
      </c>
      <c r="C368" s="43"/>
      <c r="D368" s="43"/>
      <c r="E368" s="44" t="s">
        <v>9</v>
      </c>
      <c r="F368" s="45"/>
      <c r="G368" s="45"/>
      <c r="H368" s="44"/>
      <c r="I368" s="44"/>
      <c r="J368" s="44"/>
      <c r="K368" s="44"/>
      <c r="L368" s="44"/>
      <c r="M368" s="44"/>
      <c r="N368" s="44"/>
      <c r="O368" s="44"/>
      <c r="AB368" s="288"/>
      <c r="AC368" s="289"/>
      <c r="AD368" s="289"/>
      <c r="AE368" s="289"/>
      <c r="AF368" s="289"/>
      <c r="AG368" s="289"/>
    </row>
    <row r="369" spans="1:33" ht="15" thickTop="1" thickBot="1">
      <c r="A369" s="294" t="s">
        <v>115</v>
      </c>
      <c r="B369" s="38" t="s">
        <v>95</v>
      </c>
      <c r="C369" s="9" t="s">
        <v>12</v>
      </c>
      <c r="D369" s="9" t="s">
        <v>13</v>
      </c>
      <c r="E369" s="10"/>
      <c r="F369" s="256" t="s">
        <v>14</v>
      </c>
      <c r="G369" s="257">
        <v>34</v>
      </c>
      <c r="H369" s="257">
        <v>36</v>
      </c>
      <c r="I369" s="257">
        <v>38</v>
      </c>
      <c r="J369" s="257">
        <v>40</v>
      </c>
      <c r="K369" s="257">
        <v>42</v>
      </c>
      <c r="L369" s="257">
        <v>44</v>
      </c>
      <c r="M369" s="257">
        <v>46</v>
      </c>
      <c r="N369" s="257"/>
      <c r="O369" s="258" t="s">
        <v>15</v>
      </c>
      <c r="Q369" s="259" t="s">
        <v>14</v>
      </c>
      <c r="R369" s="259"/>
      <c r="S369" s="259">
        <v>36</v>
      </c>
      <c r="T369" s="259">
        <v>38</v>
      </c>
      <c r="U369" s="259">
        <v>40</v>
      </c>
      <c r="V369" s="259">
        <v>42</v>
      </c>
      <c r="W369" s="259">
        <v>44</v>
      </c>
      <c r="X369" s="259">
        <v>46</v>
      </c>
      <c r="Y369" s="259"/>
      <c r="Z369" s="259" t="s">
        <v>15</v>
      </c>
      <c r="AB369" s="288"/>
      <c r="AC369" s="289"/>
      <c r="AD369" s="289"/>
      <c r="AE369" s="289"/>
      <c r="AF369" s="289"/>
      <c r="AG369" s="289"/>
    </row>
    <row r="370" spans="1:33" ht="15" thickTop="1" thickBot="1">
      <c r="A370" s="295" t="str">
        <f t="shared" ref="A370:A376" si="164">+A369</f>
        <v>4221-01</v>
      </c>
      <c r="B370" s="39" t="s">
        <v>16</v>
      </c>
      <c r="C370" s="39"/>
      <c r="D370" s="39" t="str">
        <f>+B369</f>
        <v>New Glue</v>
      </c>
      <c r="E370" s="40"/>
      <c r="F370" s="261" t="s">
        <v>1</v>
      </c>
      <c r="G370" s="261"/>
      <c r="H370" s="262">
        <f>'BASE DATOS'!C44</f>
        <v>24</v>
      </c>
      <c r="I370" s="262">
        <f>'BASE DATOS'!D44</f>
        <v>39</v>
      </c>
      <c r="J370" s="262">
        <f>'BASE DATOS'!E44</f>
        <v>42</v>
      </c>
      <c r="K370" s="262">
        <f>'BASE DATOS'!F44</f>
        <v>36</v>
      </c>
      <c r="L370" s="262">
        <f>'BASE DATOS'!G44</f>
        <v>28</v>
      </c>
      <c r="M370" s="262">
        <f>'BASE DATOS'!H44</f>
        <v>21</v>
      </c>
      <c r="N370" s="262"/>
      <c r="O370" s="263">
        <f t="shared" ref="O370:O376" si="165">SUM(H370:N370)</f>
        <v>190</v>
      </c>
      <c r="Q370" s="264"/>
      <c r="R370" s="264"/>
      <c r="S370" s="264"/>
      <c r="T370" s="264"/>
      <c r="U370" s="264"/>
      <c r="V370" s="264"/>
      <c r="W370" s="264"/>
      <c r="X370" s="264"/>
      <c r="Y370" s="264"/>
      <c r="Z370" s="264">
        <f>SUBTOTAL(9,S370:Y370)</f>
        <v>0</v>
      </c>
      <c r="AB370" s="288"/>
      <c r="AC370" s="289"/>
      <c r="AD370" s="289"/>
      <c r="AE370" s="289"/>
      <c r="AF370" s="289"/>
      <c r="AG370" s="289"/>
    </row>
    <row r="371" spans="1:33" ht="15" thickTop="1" thickBot="1">
      <c r="A371" s="295" t="str">
        <f t="shared" si="164"/>
        <v>4221-01</v>
      </c>
      <c r="B371" s="3">
        <v>45960</v>
      </c>
      <c r="C371" s="4" t="s">
        <v>17</v>
      </c>
      <c r="D371" s="4" t="s">
        <v>38</v>
      </c>
      <c r="E371" s="5" t="s">
        <v>3</v>
      </c>
      <c r="F371" s="265" t="s">
        <v>110</v>
      </c>
      <c r="G371" s="2"/>
      <c r="H371" s="7">
        <v>35</v>
      </c>
      <c r="I371" s="7">
        <v>45</v>
      </c>
      <c r="J371" s="7">
        <v>55</v>
      </c>
      <c r="K371" s="7">
        <v>45</v>
      </c>
      <c r="L371" s="7">
        <v>40</v>
      </c>
      <c r="M371" s="7">
        <v>20</v>
      </c>
      <c r="N371" s="8"/>
      <c r="O371" s="14">
        <f t="shared" si="165"/>
        <v>240</v>
      </c>
      <c r="Q371" s="252" t="s">
        <v>19</v>
      </c>
      <c r="R371" s="266"/>
      <c r="S371" s="266"/>
      <c r="T371" s="266"/>
      <c r="U371" s="266"/>
      <c r="V371" s="266"/>
      <c r="W371" s="266"/>
      <c r="X371" s="266"/>
      <c r="Y371" s="267"/>
      <c r="Z371" s="268">
        <f t="shared" ref="Z371:Z376" si="166">SUM(S371:Y371)</f>
        <v>0</v>
      </c>
      <c r="AB371" s="288"/>
      <c r="AC371" s="289"/>
      <c r="AD371" s="289"/>
      <c r="AE371" s="289"/>
      <c r="AF371" s="289"/>
      <c r="AG371" s="289"/>
    </row>
    <row r="372" spans="1:33" ht="15" thickTop="1" thickBot="1">
      <c r="A372" s="295" t="str">
        <f t="shared" si="164"/>
        <v>4221-01</v>
      </c>
      <c r="B372" s="3"/>
      <c r="C372" s="3"/>
      <c r="D372" s="57" t="s">
        <v>111</v>
      </c>
      <c r="E372" s="5" t="s">
        <v>3</v>
      </c>
      <c r="F372" s="269"/>
      <c r="G372" s="6"/>
      <c r="H372" s="7"/>
      <c r="I372" s="7"/>
      <c r="J372" s="7"/>
      <c r="K372" s="7"/>
      <c r="L372" s="7"/>
      <c r="M372" s="7"/>
      <c r="N372" s="15"/>
      <c r="O372" s="14">
        <f t="shared" si="165"/>
        <v>0</v>
      </c>
      <c r="Q372" s="252" t="s">
        <v>4</v>
      </c>
      <c r="R372" s="266">
        <f>78/19</f>
        <v>4.1052631578947372</v>
      </c>
      <c r="S372" s="266"/>
      <c r="T372" s="266"/>
      <c r="U372" s="266"/>
      <c r="V372" s="266"/>
      <c r="W372" s="266"/>
      <c r="X372" s="266"/>
      <c r="Y372" s="266"/>
      <c r="Z372" s="266">
        <f t="shared" si="166"/>
        <v>0</v>
      </c>
      <c r="AB372" s="288"/>
      <c r="AC372" s="289"/>
      <c r="AD372" s="289"/>
      <c r="AE372" s="289"/>
      <c r="AF372" s="289"/>
      <c r="AG372" s="289"/>
    </row>
    <row r="373" spans="1:33" ht="15" thickTop="1" thickBot="1">
      <c r="A373" s="295" t="str">
        <f t="shared" si="164"/>
        <v>4221-01</v>
      </c>
      <c r="B373" s="3"/>
      <c r="C373" s="3"/>
      <c r="D373" s="57" t="s">
        <v>116</v>
      </c>
      <c r="E373" s="5" t="s">
        <v>3</v>
      </c>
      <c r="F373" s="269"/>
      <c r="G373" s="6"/>
      <c r="H373" s="15"/>
      <c r="I373" s="15"/>
      <c r="J373" s="15"/>
      <c r="K373" s="15"/>
      <c r="L373" s="15"/>
      <c r="M373" s="15"/>
      <c r="N373" s="15"/>
      <c r="O373" s="16">
        <f t="shared" si="165"/>
        <v>0</v>
      </c>
      <c r="Q373" s="252" t="s">
        <v>6</v>
      </c>
      <c r="R373" s="266">
        <f>25/11</f>
        <v>2.2727272727272729</v>
      </c>
      <c r="S373" s="266"/>
      <c r="T373" s="266"/>
      <c r="U373" s="266"/>
      <c r="V373" s="266"/>
      <c r="W373" s="266"/>
      <c r="X373" s="266"/>
      <c r="Y373" s="266"/>
      <c r="Z373" s="266">
        <f t="shared" si="166"/>
        <v>0</v>
      </c>
      <c r="AB373" s="288"/>
      <c r="AC373" s="289"/>
      <c r="AD373" s="289"/>
      <c r="AE373" s="289"/>
      <c r="AF373" s="289"/>
      <c r="AG373" s="289"/>
    </row>
    <row r="374" spans="1:33" ht="15" thickTop="1" thickBot="1">
      <c r="A374" s="295" t="str">
        <f t="shared" si="164"/>
        <v>4221-01</v>
      </c>
      <c r="B374" s="3"/>
      <c r="C374" s="3"/>
      <c r="D374" s="3"/>
      <c r="E374" s="5" t="s">
        <v>3</v>
      </c>
      <c r="F374" s="269"/>
      <c r="G374" s="6"/>
      <c r="H374" s="8"/>
      <c r="I374" s="8"/>
      <c r="J374" s="8"/>
      <c r="K374" s="8"/>
      <c r="L374" s="8"/>
      <c r="M374" s="8"/>
      <c r="N374" s="15"/>
      <c r="O374" s="16">
        <f t="shared" si="165"/>
        <v>0</v>
      </c>
      <c r="Q374" s="266"/>
      <c r="R374" s="266"/>
      <c r="S374" s="266"/>
      <c r="T374" s="266"/>
      <c r="U374" s="266"/>
      <c r="V374" s="266"/>
      <c r="W374" s="266"/>
      <c r="X374" s="266"/>
      <c r="Y374" s="266"/>
      <c r="Z374" s="266">
        <f t="shared" si="166"/>
        <v>0</v>
      </c>
      <c r="AB374" s="288"/>
      <c r="AC374" s="289"/>
      <c r="AD374" s="289"/>
      <c r="AE374" s="289"/>
      <c r="AF374" s="289"/>
      <c r="AG374" s="289"/>
    </row>
    <row r="375" spans="1:33" ht="15" thickTop="1" thickBot="1">
      <c r="A375" s="296" t="str">
        <f t="shared" si="164"/>
        <v>4221-01</v>
      </c>
      <c r="B375" s="19"/>
      <c r="C375" s="19"/>
      <c r="D375" s="19"/>
      <c r="E375" s="20" t="s">
        <v>3</v>
      </c>
      <c r="F375" s="271"/>
      <c r="G375" s="21"/>
      <c r="H375" s="22"/>
      <c r="I375" s="22"/>
      <c r="J375" s="22"/>
      <c r="K375" s="22"/>
      <c r="L375" s="22"/>
      <c r="M375" s="22"/>
      <c r="N375" s="22"/>
      <c r="O375" s="23">
        <f t="shared" si="165"/>
        <v>0</v>
      </c>
      <c r="Q375" s="252" t="s">
        <v>2</v>
      </c>
      <c r="R375" s="272">
        <f>500/10.2</f>
        <v>49.019607843137258</v>
      </c>
      <c r="S375" s="252">
        <f>49*1.2</f>
        <v>58.8</v>
      </c>
      <c r="T375" s="252">
        <f>49*2.1</f>
        <v>102.9</v>
      </c>
      <c r="U375" s="252">
        <f>49*2.4</f>
        <v>117.6</v>
      </c>
      <c r="V375" s="252">
        <f>49*2.4</f>
        <v>117.6</v>
      </c>
      <c r="W375" s="252">
        <f>49*1.5</f>
        <v>73.5</v>
      </c>
      <c r="X375" s="252">
        <f>49*0.9</f>
        <v>44.1</v>
      </c>
      <c r="Y375" s="266"/>
      <c r="Z375" s="266">
        <f t="shared" si="166"/>
        <v>514.5</v>
      </c>
      <c r="AB375" s="288"/>
      <c r="AC375" s="289"/>
      <c r="AD375" s="289"/>
      <c r="AE375" s="289"/>
      <c r="AF375" s="289"/>
      <c r="AG375" s="289"/>
    </row>
    <row r="376" spans="1:33" ht="15" thickTop="1" thickBot="1">
      <c r="A376" s="299" t="str">
        <f t="shared" si="164"/>
        <v>4221-01</v>
      </c>
      <c r="B376" s="47"/>
      <c r="C376" s="47"/>
      <c r="D376" s="47"/>
      <c r="E376" s="48" t="s">
        <v>23</v>
      </c>
      <c r="F376" s="49" t="str">
        <f>+B369</f>
        <v>New Glue</v>
      </c>
      <c r="G376" s="48"/>
      <c r="H376" s="48">
        <f>+H370-H371-H372-H373-H375+H374</f>
        <v>-11</v>
      </c>
      <c r="I376" s="48">
        <f>+I370-I371-I372-I373-I375+I374</f>
        <v>-6</v>
      </c>
      <c r="J376" s="48">
        <f>+J370-J371-J372-J373-J375-J374</f>
        <v>-13</v>
      </c>
      <c r="K376" s="48">
        <f>+K370-K371-K372-K373-K375-K374</f>
        <v>-9</v>
      </c>
      <c r="L376" s="48">
        <f>+L370-L371-L372-L373-L375-L374</f>
        <v>-12</v>
      </c>
      <c r="M376" s="48">
        <f>+M370-M371-M372-M373-M375-M374</f>
        <v>1</v>
      </c>
      <c r="N376" s="48"/>
      <c r="O376" s="48">
        <f t="shared" si="165"/>
        <v>-50</v>
      </c>
      <c r="Q376" s="266"/>
      <c r="R376" s="266"/>
      <c r="S376" s="252">
        <f t="shared" ref="S376:X376" si="167">SUM(S372:S375)</f>
        <v>58.8</v>
      </c>
      <c r="T376" s="252">
        <f t="shared" si="167"/>
        <v>102.9</v>
      </c>
      <c r="U376" s="252">
        <f t="shared" si="167"/>
        <v>117.6</v>
      </c>
      <c r="V376" s="252">
        <f t="shared" si="167"/>
        <v>117.6</v>
      </c>
      <c r="W376" s="252">
        <f t="shared" si="167"/>
        <v>73.5</v>
      </c>
      <c r="X376" s="252">
        <f t="shared" si="167"/>
        <v>44.1</v>
      </c>
      <c r="Y376" s="252"/>
      <c r="Z376" s="252">
        <f t="shared" si="166"/>
        <v>514.5</v>
      </c>
      <c r="AB376" s="288"/>
      <c r="AC376" s="289"/>
      <c r="AD376" s="289"/>
      <c r="AE376" s="289"/>
      <c r="AF376" s="289"/>
      <c r="AG376" s="289"/>
    </row>
    <row r="377" spans="1:33" ht="15" thickTop="1" thickBot="1">
      <c r="A377" s="293" t="s">
        <v>7</v>
      </c>
      <c r="B377" s="43" t="s">
        <v>8</v>
      </c>
      <c r="C377" s="43"/>
      <c r="D377" s="43"/>
      <c r="E377" s="44" t="s">
        <v>9</v>
      </c>
      <c r="F377" s="45"/>
      <c r="G377" s="45"/>
      <c r="H377" s="44"/>
      <c r="I377" s="44"/>
      <c r="J377" s="44"/>
      <c r="K377" s="44"/>
      <c r="L377" s="44"/>
      <c r="M377" s="44"/>
      <c r="N377" s="44"/>
      <c r="O377" s="44"/>
      <c r="AB377" s="288"/>
      <c r="AC377" s="289"/>
      <c r="AD377" s="289"/>
      <c r="AE377" s="289"/>
      <c r="AF377" s="289"/>
      <c r="AG377" s="289"/>
    </row>
    <row r="378" spans="1:33" ht="15" thickTop="1" thickBot="1">
      <c r="A378" s="294" t="s">
        <v>117</v>
      </c>
      <c r="B378" s="38" t="s">
        <v>95</v>
      </c>
      <c r="C378" s="9" t="s">
        <v>12</v>
      </c>
      <c r="D378" s="9" t="s">
        <v>13</v>
      </c>
      <c r="E378" s="10"/>
      <c r="F378" s="256" t="s">
        <v>14</v>
      </c>
      <c r="G378" s="257">
        <v>34</v>
      </c>
      <c r="H378" s="257">
        <v>36</v>
      </c>
      <c r="I378" s="257">
        <v>38</v>
      </c>
      <c r="J378" s="257">
        <v>40</v>
      </c>
      <c r="K378" s="257">
        <v>42</v>
      </c>
      <c r="L378" s="257">
        <v>44</v>
      </c>
      <c r="M378" s="257">
        <v>46</v>
      </c>
      <c r="N378" s="257"/>
      <c r="O378" s="258" t="s">
        <v>15</v>
      </c>
      <c r="Q378" s="259" t="s">
        <v>14</v>
      </c>
      <c r="R378" s="259"/>
      <c r="S378" s="259">
        <v>36</v>
      </c>
      <c r="T378" s="259">
        <v>38</v>
      </c>
      <c r="U378" s="259">
        <v>40</v>
      </c>
      <c r="V378" s="259">
        <v>42</v>
      </c>
      <c r="W378" s="259">
        <v>44</v>
      </c>
      <c r="X378" s="259">
        <v>46</v>
      </c>
      <c r="Y378" s="259"/>
      <c r="Z378" s="259" t="s">
        <v>15</v>
      </c>
      <c r="AB378" s="288"/>
      <c r="AC378" s="289"/>
      <c r="AD378" s="289"/>
      <c r="AE378" s="289"/>
      <c r="AF378" s="289"/>
      <c r="AG378" s="289"/>
    </row>
    <row r="379" spans="1:33" ht="15" thickTop="1" thickBot="1">
      <c r="A379" s="295" t="str">
        <f t="shared" ref="A379:A385" si="168">+A378</f>
        <v>4221-90</v>
      </c>
      <c r="B379" s="39" t="s">
        <v>16</v>
      </c>
      <c r="C379" s="39"/>
      <c r="D379" s="39" t="str">
        <f>+B378</f>
        <v>New Glue</v>
      </c>
      <c r="E379" s="40"/>
      <c r="F379" s="261" t="s">
        <v>1</v>
      </c>
      <c r="G379" s="261"/>
      <c r="H379" s="262">
        <f>'BASE DATOS'!C45</f>
        <v>5</v>
      </c>
      <c r="I379" s="262">
        <f>'BASE DATOS'!D45</f>
        <v>12</v>
      </c>
      <c r="J379" s="262">
        <f>'BASE DATOS'!E45</f>
        <v>14</v>
      </c>
      <c r="K379" s="262">
        <f>'BASE DATOS'!F45</f>
        <v>14</v>
      </c>
      <c r="L379" s="262">
        <f>'BASE DATOS'!G45</f>
        <v>11</v>
      </c>
      <c r="M379" s="262">
        <f>'BASE DATOS'!H45</f>
        <v>9</v>
      </c>
      <c r="N379" s="262"/>
      <c r="O379" s="263">
        <f t="shared" ref="O379:O385" si="169">SUM(H379:N379)</f>
        <v>65</v>
      </c>
      <c r="Q379" s="264"/>
      <c r="R379" s="264"/>
      <c r="S379" s="264"/>
      <c r="T379" s="264"/>
      <c r="U379" s="264"/>
      <c r="V379" s="264"/>
      <c r="W379" s="264"/>
      <c r="X379" s="264"/>
      <c r="Y379" s="264"/>
      <c r="Z379" s="264">
        <f>SUBTOTAL(9,S379:Y379)</f>
        <v>0</v>
      </c>
      <c r="AB379" s="288"/>
      <c r="AC379" s="289"/>
      <c r="AD379" s="289"/>
      <c r="AE379" s="289"/>
      <c r="AF379" s="289"/>
      <c r="AG379" s="289"/>
    </row>
    <row r="380" spans="1:33" ht="15" thickTop="1" thickBot="1">
      <c r="A380" s="295" t="str">
        <f t="shared" si="168"/>
        <v>4221-90</v>
      </c>
      <c r="B380" s="3">
        <v>46085</v>
      </c>
      <c r="C380" s="4" t="s">
        <v>17</v>
      </c>
      <c r="D380" s="4" t="s">
        <v>38</v>
      </c>
      <c r="E380" s="5" t="s">
        <v>3</v>
      </c>
      <c r="F380" s="265">
        <v>11565</v>
      </c>
      <c r="G380" s="2"/>
      <c r="H380" s="7">
        <v>5</v>
      </c>
      <c r="I380" s="7">
        <v>12</v>
      </c>
      <c r="J380" s="7">
        <v>14</v>
      </c>
      <c r="K380" s="7">
        <v>14</v>
      </c>
      <c r="L380" s="7">
        <v>11</v>
      </c>
      <c r="M380" s="7">
        <v>9</v>
      </c>
      <c r="N380" s="8"/>
      <c r="O380" s="14">
        <f t="shared" si="169"/>
        <v>65</v>
      </c>
      <c r="Q380" s="252" t="s">
        <v>19</v>
      </c>
      <c r="R380" s="266"/>
      <c r="S380" s="266"/>
      <c r="T380" s="266"/>
      <c r="U380" s="266"/>
      <c r="V380" s="266"/>
      <c r="W380" s="266"/>
      <c r="X380" s="266"/>
      <c r="Y380" s="267"/>
      <c r="Z380" s="268">
        <f t="shared" ref="Z380:Z385" si="170">SUM(S380:Y380)</f>
        <v>0</v>
      </c>
      <c r="AB380" s="288"/>
      <c r="AC380" s="289"/>
      <c r="AD380" s="289"/>
      <c r="AE380" s="289"/>
      <c r="AF380" s="289"/>
      <c r="AG380" s="289"/>
    </row>
    <row r="381" spans="1:33" ht="15" thickTop="1" thickBot="1">
      <c r="A381" s="295" t="str">
        <f t="shared" si="168"/>
        <v>4221-90</v>
      </c>
      <c r="B381" s="3"/>
      <c r="C381" s="3"/>
      <c r="D381" s="57" t="s">
        <v>111</v>
      </c>
      <c r="E381" s="5" t="s">
        <v>3</v>
      </c>
      <c r="F381" s="269"/>
      <c r="G381" s="6"/>
      <c r="H381" s="7"/>
      <c r="I381" s="7"/>
      <c r="J381" s="7"/>
      <c r="K381" s="7"/>
      <c r="L381" s="7"/>
      <c r="M381" s="7"/>
      <c r="N381" s="15"/>
      <c r="O381" s="14">
        <f t="shared" si="169"/>
        <v>0</v>
      </c>
      <c r="Q381" s="252" t="s">
        <v>4</v>
      </c>
      <c r="R381" s="266">
        <f>78/19</f>
        <v>4.1052631578947372</v>
      </c>
      <c r="S381" s="266"/>
      <c r="T381" s="266"/>
      <c r="U381" s="266"/>
      <c r="V381" s="266"/>
      <c r="W381" s="266"/>
      <c r="X381" s="266"/>
      <c r="Y381" s="266"/>
      <c r="Z381" s="266">
        <f t="shared" si="170"/>
        <v>0</v>
      </c>
      <c r="AB381" s="288"/>
      <c r="AC381" s="289"/>
      <c r="AD381" s="289"/>
      <c r="AE381" s="289"/>
      <c r="AF381" s="289"/>
      <c r="AG381" s="289"/>
    </row>
    <row r="382" spans="1:33" ht="15" thickTop="1" thickBot="1">
      <c r="A382" s="295" t="str">
        <f t="shared" si="168"/>
        <v>4221-90</v>
      </c>
      <c r="B382" s="3"/>
      <c r="C382" s="3"/>
      <c r="D382" s="57" t="s">
        <v>118</v>
      </c>
      <c r="E382" s="5" t="s">
        <v>3</v>
      </c>
      <c r="F382" s="269"/>
      <c r="G382" s="6"/>
      <c r="H382" s="15"/>
      <c r="I382" s="15"/>
      <c r="J382" s="15"/>
      <c r="K382" s="15"/>
      <c r="L382" s="15"/>
      <c r="M382" s="15"/>
      <c r="N382" s="15"/>
      <c r="O382" s="16">
        <f t="shared" si="169"/>
        <v>0</v>
      </c>
      <c r="Q382" s="252" t="s">
        <v>6</v>
      </c>
      <c r="R382" s="266">
        <f>25/11</f>
        <v>2.2727272727272729</v>
      </c>
      <c r="S382" s="266"/>
      <c r="T382" s="266"/>
      <c r="U382" s="266"/>
      <c r="V382" s="266"/>
      <c r="W382" s="266"/>
      <c r="X382" s="266"/>
      <c r="Y382" s="266"/>
      <c r="Z382" s="266">
        <f t="shared" si="170"/>
        <v>0</v>
      </c>
      <c r="AB382" s="288"/>
      <c r="AC382" s="289"/>
      <c r="AD382" s="289"/>
      <c r="AE382" s="289"/>
      <c r="AF382" s="289"/>
      <c r="AG382" s="289"/>
    </row>
    <row r="383" spans="1:33" ht="15" thickTop="1" thickBot="1">
      <c r="A383" s="295" t="str">
        <f t="shared" si="168"/>
        <v>4221-90</v>
      </c>
      <c r="B383" s="3"/>
      <c r="C383" s="3"/>
      <c r="D383" s="3"/>
      <c r="E383" s="5" t="s">
        <v>3</v>
      </c>
      <c r="F383" s="269"/>
      <c r="G383" s="6"/>
      <c r="H383" s="8"/>
      <c r="I383" s="8"/>
      <c r="J383" s="8"/>
      <c r="K383" s="8"/>
      <c r="L383" s="8"/>
      <c r="M383" s="8"/>
      <c r="N383" s="15"/>
      <c r="O383" s="16">
        <f t="shared" si="169"/>
        <v>0</v>
      </c>
      <c r="Q383" s="266"/>
      <c r="R383" s="266"/>
      <c r="S383" s="266"/>
      <c r="T383" s="266"/>
      <c r="U383" s="266"/>
      <c r="V383" s="266"/>
      <c r="W383" s="266"/>
      <c r="X383" s="266"/>
      <c r="Y383" s="266"/>
      <c r="Z383" s="266">
        <f t="shared" si="170"/>
        <v>0</v>
      </c>
      <c r="AB383" s="288"/>
      <c r="AC383" s="289"/>
      <c r="AD383" s="289"/>
      <c r="AE383" s="289"/>
      <c r="AF383" s="289"/>
      <c r="AG383" s="289"/>
    </row>
    <row r="384" spans="1:33" ht="15" thickTop="1" thickBot="1">
      <c r="A384" s="296" t="str">
        <f t="shared" si="168"/>
        <v>4221-90</v>
      </c>
      <c r="B384" s="19"/>
      <c r="C384" s="19"/>
      <c r="D384" s="19"/>
      <c r="E384" s="20" t="s">
        <v>3</v>
      </c>
      <c r="F384" s="271"/>
      <c r="G384" s="21"/>
      <c r="H384" s="22"/>
      <c r="I384" s="22"/>
      <c r="J384" s="22"/>
      <c r="K384" s="22"/>
      <c r="L384" s="22"/>
      <c r="M384" s="22"/>
      <c r="N384" s="22"/>
      <c r="O384" s="23">
        <f t="shared" si="169"/>
        <v>0</v>
      </c>
      <c r="Q384" s="252" t="s">
        <v>2</v>
      </c>
      <c r="R384" s="272">
        <f>500/10.2</f>
        <v>49.019607843137258</v>
      </c>
      <c r="S384" s="252">
        <f>49*1.2</f>
        <v>58.8</v>
      </c>
      <c r="T384" s="252">
        <f>49*2.1</f>
        <v>102.9</v>
      </c>
      <c r="U384" s="252">
        <f>49*2.4</f>
        <v>117.6</v>
      </c>
      <c r="V384" s="252">
        <f>49*2.4</f>
        <v>117.6</v>
      </c>
      <c r="W384" s="252">
        <f>49*1.5</f>
        <v>73.5</v>
      </c>
      <c r="X384" s="252">
        <f>49*0.9</f>
        <v>44.1</v>
      </c>
      <c r="Y384" s="266"/>
      <c r="Z384" s="266">
        <f t="shared" si="170"/>
        <v>514.5</v>
      </c>
      <c r="AB384" s="288"/>
      <c r="AC384" s="289"/>
      <c r="AD384" s="289"/>
      <c r="AE384" s="289"/>
      <c r="AF384" s="289"/>
      <c r="AG384" s="289"/>
    </row>
    <row r="385" spans="1:37" ht="15" thickTop="1" thickBot="1">
      <c r="A385" s="299" t="str">
        <f t="shared" si="168"/>
        <v>4221-90</v>
      </c>
      <c r="B385" s="47"/>
      <c r="C385" s="47"/>
      <c r="D385" s="47"/>
      <c r="E385" s="48" t="s">
        <v>23</v>
      </c>
      <c r="F385" s="49" t="str">
        <f>+B378</f>
        <v>New Glue</v>
      </c>
      <c r="G385" s="48"/>
      <c r="H385" s="48">
        <f>+H379-H380-H381-H382-H384+H383</f>
        <v>0</v>
      </c>
      <c r="I385" s="48">
        <f>+I379-I380-I381-I382-I384+I383</f>
        <v>0</v>
      </c>
      <c r="J385" s="48">
        <f>+J379-J380-J381-J382-J384-J383</f>
        <v>0</v>
      </c>
      <c r="K385" s="48">
        <f>+K379-K380-K381-K382-K384-K383</f>
        <v>0</v>
      </c>
      <c r="L385" s="48">
        <f>+L379-L380-L381-L382-L384-L383</f>
        <v>0</v>
      </c>
      <c r="M385" s="48">
        <f>+M379-M380-M381-M382-M384-M383</f>
        <v>0</v>
      </c>
      <c r="N385" s="48"/>
      <c r="O385" s="48">
        <f t="shared" si="169"/>
        <v>0</v>
      </c>
      <c r="Q385" s="266"/>
      <c r="R385" s="266"/>
      <c r="S385" s="252">
        <f t="shared" ref="S385:X385" si="171">SUM(S381:S384)</f>
        <v>58.8</v>
      </c>
      <c r="T385" s="252">
        <f t="shared" si="171"/>
        <v>102.9</v>
      </c>
      <c r="U385" s="252">
        <f t="shared" si="171"/>
        <v>117.6</v>
      </c>
      <c r="V385" s="252">
        <f t="shared" si="171"/>
        <v>117.6</v>
      </c>
      <c r="W385" s="252">
        <f t="shared" si="171"/>
        <v>73.5</v>
      </c>
      <c r="X385" s="252">
        <f t="shared" si="171"/>
        <v>44.1</v>
      </c>
      <c r="Y385" s="252"/>
      <c r="Z385" s="252">
        <f t="shared" si="170"/>
        <v>514.5</v>
      </c>
      <c r="AB385" s="288"/>
      <c r="AC385" s="289"/>
      <c r="AD385" s="289"/>
      <c r="AE385" s="289"/>
      <c r="AF385" s="289"/>
      <c r="AG385" s="289"/>
    </row>
    <row r="386" spans="1:37" ht="15" thickTop="1" thickBot="1">
      <c r="A386" s="274" t="s">
        <v>7</v>
      </c>
      <c r="B386" s="43" t="s">
        <v>8</v>
      </c>
      <c r="C386" s="43"/>
      <c r="D386" s="43"/>
      <c r="E386" s="44" t="s">
        <v>9</v>
      </c>
      <c r="F386" s="45"/>
      <c r="G386" s="45"/>
      <c r="H386" s="44"/>
      <c r="I386" s="44"/>
      <c r="J386" s="44"/>
      <c r="K386" s="44"/>
      <c r="L386" s="44"/>
      <c r="M386" s="44"/>
      <c r="N386" s="44"/>
      <c r="O386" s="44"/>
      <c r="AB386" s="288"/>
      <c r="AC386" s="275" t="s">
        <v>3</v>
      </c>
      <c r="AD386" s="276">
        <v>46094</v>
      </c>
      <c r="AE386" s="275">
        <v>36</v>
      </c>
      <c r="AF386" s="275">
        <v>38</v>
      </c>
      <c r="AG386" s="275">
        <v>40</v>
      </c>
      <c r="AH386" s="275">
        <v>42</v>
      </c>
      <c r="AI386" s="277">
        <v>44</v>
      </c>
      <c r="AJ386" s="277">
        <v>46</v>
      </c>
      <c r="AK386" s="277" t="s">
        <v>28</v>
      </c>
    </row>
    <row r="387" spans="1:37" ht="15" thickTop="1" thickBot="1">
      <c r="A387" s="278" t="s">
        <v>119</v>
      </c>
      <c r="B387" s="38" t="s">
        <v>50</v>
      </c>
      <c r="C387" s="9" t="s">
        <v>12</v>
      </c>
      <c r="D387" s="9" t="s">
        <v>120</v>
      </c>
      <c r="E387" s="10"/>
      <c r="F387" s="256" t="s">
        <v>14</v>
      </c>
      <c r="G387" s="257">
        <v>34</v>
      </c>
      <c r="H387" s="257">
        <v>36</v>
      </c>
      <c r="I387" s="257">
        <v>38</v>
      </c>
      <c r="J387" s="257">
        <v>40</v>
      </c>
      <c r="K387" s="257">
        <v>42</v>
      </c>
      <c r="L387" s="257">
        <v>44</v>
      </c>
      <c r="M387" s="257">
        <v>46</v>
      </c>
      <c r="N387" s="257"/>
      <c r="O387" s="258" t="s">
        <v>15</v>
      </c>
      <c r="Q387" s="259" t="s">
        <v>14</v>
      </c>
      <c r="R387" s="259"/>
      <c r="S387" s="259">
        <v>36</v>
      </c>
      <c r="T387" s="259">
        <v>38</v>
      </c>
      <c r="U387" s="259">
        <v>40</v>
      </c>
      <c r="V387" s="259">
        <v>42</v>
      </c>
      <c r="W387" s="259">
        <v>44</v>
      </c>
      <c r="X387" s="259">
        <v>46</v>
      </c>
      <c r="Y387" s="259"/>
      <c r="Z387" s="259" t="s">
        <v>15</v>
      </c>
      <c r="AB387" s="288"/>
      <c r="AC387" s="279" t="s">
        <v>29</v>
      </c>
      <c r="AD387" s="275">
        <v>11573</v>
      </c>
      <c r="AE387" s="279">
        <v>30</v>
      </c>
      <c r="AF387" s="279">
        <v>80</v>
      </c>
      <c r="AG387" s="279">
        <v>64</v>
      </c>
      <c r="AH387" s="279">
        <v>70</v>
      </c>
      <c r="AI387" s="279">
        <v>26</v>
      </c>
      <c r="AJ387" s="279">
        <v>40</v>
      </c>
      <c r="AK387" s="275">
        <f>SUM(AE387:AJ387)</f>
        <v>310</v>
      </c>
    </row>
    <row r="388" spans="1:37" ht="15" thickTop="1" thickBot="1">
      <c r="A388" s="280" t="str">
        <f t="shared" ref="A388:A394" si="172">+A387</f>
        <v>4222-00</v>
      </c>
      <c r="B388" s="39" t="s">
        <v>16</v>
      </c>
      <c r="C388" s="39"/>
      <c r="D388" s="39" t="str">
        <f>+B387</f>
        <v>Ayla</v>
      </c>
      <c r="E388" s="40"/>
      <c r="F388" s="261" t="s">
        <v>1</v>
      </c>
      <c r="G388" s="261"/>
      <c r="H388" s="262">
        <f>'BASE DATOS'!C46</f>
        <v>53</v>
      </c>
      <c r="I388" s="262">
        <f>'BASE DATOS'!D46</f>
        <v>97</v>
      </c>
      <c r="J388" s="262">
        <f>'BASE DATOS'!E46</f>
        <v>107</v>
      </c>
      <c r="K388" s="262">
        <f>'BASE DATOS'!F46</f>
        <v>103</v>
      </c>
      <c r="L388" s="262">
        <f>'BASE DATOS'!G46</f>
        <v>67</v>
      </c>
      <c r="M388" s="262">
        <f>'BASE DATOS'!H46</f>
        <v>50</v>
      </c>
      <c r="N388" s="262"/>
      <c r="O388" s="263">
        <f t="shared" ref="O388:O394" si="173">SUM(H388:N388)</f>
        <v>477</v>
      </c>
      <c r="Q388" s="264"/>
      <c r="R388" s="264"/>
      <c r="S388" s="264"/>
      <c r="T388" s="264"/>
      <c r="U388" s="264"/>
      <c r="V388" s="264"/>
      <c r="W388" s="264"/>
      <c r="X388" s="264"/>
      <c r="Y388" s="264"/>
      <c r="Z388" s="264">
        <f>SUBTOTAL(9,S388:Y388)</f>
        <v>0</v>
      </c>
      <c r="AB388" s="288"/>
      <c r="AC388" s="281" t="s">
        <v>30</v>
      </c>
      <c r="AD388" s="282">
        <v>4222</v>
      </c>
    </row>
    <row r="389" spans="1:37" ht="15" thickTop="1" thickBot="1">
      <c r="A389" s="280" t="str">
        <f t="shared" si="172"/>
        <v>4222-00</v>
      </c>
      <c r="B389" s="3">
        <v>45933</v>
      </c>
      <c r="C389" s="4" t="s">
        <v>17</v>
      </c>
      <c r="D389" s="4" t="s">
        <v>18</v>
      </c>
      <c r="E389" s="5" t="s">
        <v>3</v>
      </c>
      <c r="F389" s="265" t="s">
        <v>121</v>
      </c>
      <c r="G389" s="2"/>
      <c r="H389" s="7">
        <v>38</v>
      </c>
      <c r="I389" s="7">
        <v>52</v>
      </c>
      <c r="J389" s="7">
        <v>80</v>
      </c>
      <c r="K389" s="7">
        <v>66</v>
      </c>
      <c r="L389" s="7">
        <v>69</v>
      </c>
      <c r="M389" s="7">
        <v>12</v>
      </c>
      <c r="N389" s="8"/>
      <c r="O389" s="14">
        <f t="shared" si="173"/>
        <v>317</v>
      </c>
      <c r="Q389" s="252" t="s">
        <v>19</v>
      </c>
      <c r="R389" s="266"/>
      <c r="S389" s="266"/>
      <c r="T389" s="266"/>
      <c r="U389" s="266"/>
      <c r="V389" s="266"/>
      <c r="W389" s="266"/>
      <c r="X389" s="266"/>
      <c r="Y389" s="267"/>
      <c r="Z389" s="268">
        <f t="shared" ref="Z389:Z394" si="174">SUM(S389:Y389)</f>
        <v>0</v>
      </c>
      <c r="AB389" s="288"/>
      <c r="AC389" s="279" t="s">
        <v>32</v>
      </c>
      <c r="AD389" s="275" t="s">
        <v>50</v>
      </c>
    </row>
    <row r="390" spans="1:37" ht="15" thickTop="1" thickBot="1">
      <c r="A390" s="280" t="str">
        <f t="shared" si="172"/>
        <v>4222-00</v>
      </c>
      <c r="B390" s="3">
        <v>46094</v>
      </c>
      <c r="C390" s="3"/>
      <c r="D390" s="57" t="s">
        <v>122</v>
      </c>
      <c r="E390" s="5" t="s">
        <v>3</v>
      </c>
      <c r="F390" s="269" t="s">
        <v>123</v>
      </c>
      <c r="G390" s="6"/>
      <c r="H390" s="7">
        <v>30</v>
      </c>
      <c r="I390" s="7">
        <v>80</v>
      </c>
      <c r="J390" s="7">
        <v>64</v>
      </c>
      <c r="K390" s="7">
        <v>70</v>
      </c>
      <c r="L390" s="7">
        <v>26</v>
      </c>
      <c r="M390" s="7">
        <v>40</v>
      </c>
      <c r="N390" s="15"/>
      <c r="O390" s="14">
        <f t="shared" si="173"/>
        <v>310</v>
      </c>
      <c r="Q390" s="252" t="s">
        <v>4</v>
      </c>
      <c r="R390" s="266">
        <f>78/19</f>
        <v>4.1052631578947372</v>
      </c>
      <c r="S390" s="266"/>
      <c r="T390" s="266"/>
      <c r="U390" s="266"/>
      <c r="V390" s="266"/>
      <c r="W390" s="266"/>
      <c r="X390" s="266"/>
      <c r="Y390" s="266"/>
      <c r="Z390" s="266">
        <f t="shared" si="174"/>
        <v>0</v>
      </c>
      <c r="AB390" s="288"/>
      <c r="AC390" s="279" t="s">
        <v>12</v>
      </c>
      <c r="AD390" s="275" t="s">
        <v>120</v>
      </c>
    </row>
    <row r="391" spans="1:37" ht="15" thickTop="1" thickBot="1">
      <c r="A391" s="280" t="str">
        <f t="shared" si="172"/>
        <v>4222-00</v>
      </c>
      <c r="B391" s="3"/>
      <c r="C391" s="3"/>
      <c r="D391" s="57" t="s">
        <v>124</v>
      </c>
      <c r="E391" s="5" t="s">
        <v>3</v>
      </c>
      <c r="F391" s="269"/>
      <c r="G391" s="6"/>
      <c r="H391" s="15"/>
      <c r="I391" s="15"/>
      <c r="J391" s="15"/>
      <c r="K391" s="15"/>
      <c r="L391" s="15"/>
      <c r="M391" s="15"/>
      <c r="N391" s="15"/>
      <c r="O391" s="16">
        <f t="shared" si="173"/>
        <v>0</v>
      </c>
      <c r="Q391" s="252" t="s">
        <v>6</v>
      </c>
      <c r="R391" s="266">
        <f>25/11</f>
        <v>2.2727272727272729</v>
      </c>
      <c r="S391" s="266"/>
      <c r="T391" s="266"/>
      <c r="U391" s="266"/>
      <c r="V391" s="266"/>
      <c r="W391" s="266"/>
      <c r="X391" s="266"/>
      <c r="Y391" s="266"/>
      <c r="Z391" s="266">
        <f t="shared" si="174"/>
        <v>0</v>
      </c>
      <c r="AB391" s="288"/>
      <c r="AC391" s="279" t="s">
        <v>17</v>
      </c>
      <c r="AD391" s="275" t="s">
        <v>18</v>
      </c>
    </row>
    <row r="392" spans="1:37" ht="15" thickTop="1" thickBot="1">
      <c r="A392" s="280" t="str">
        <f t="shared" si="172"/>
        <v>4222-00</v>
      </c>
      <c r="B392" s="3"/>
      <c r="C392" s="3"/>
      <c r="D392" s="3"/>
      <c r="E392" s="5" t="s">
        <v>3</v>
      </c>
      <c r="F392" s="269"/>
      <c r="G392" s="6"/>
      <c r="H392" s="8"/>
      <c r="I392" s="8"/>
      <c r="J392" s="8"/>
      <c r="K392" s="8"/>
      <c r="L392" s="8"/>
      <c r="M392" s="8"/>
      <c r="N392" s="15"/>
      <c r="O392" s="16">
        <f t="shared" si="173"/>
        <v>0</v>
      </c>
      <c r="Q392" s="266"/>
      <c r="R392" s="266"/>
      <c r="S392" s="266"/>
      <c r="T392" s="266"/>
      <c r="U392" s="266"/>
      <c r="V392" s="266"/>
      <c r="W392" s="266"/>
      <c r="X392" s="266"/>
      <c r="Y392" s="266"/>
      <c r="Z392" s="266">
        <f t="shared" si="174"/>
        <v>0</v>
      </c>
      <c r="AB392" s="288"/>
      <c r="AC392" s="289"/>
      <c r="AD392" s="289"/>
      <c r="AE392" s="289"/>
      <c r="AF392" s="289"/>
      <c r="AG392" s="289"/>
    </row>
    <row r="393" spans="1:37" ht="15" thickTop="1" thickBot="1">
      <c r="A393" s="283" t="str">
        <f t="shared" si="172"/>
        <v>4222-00</v>
      </c>
      <c r="B393" s="19"/>
      <c r="C393" s="19"/>
      <c r="D393" s="19"/>
      <c r="E393" s="20" t="s">
        <v>3</v>
      </c>
      <c r="F393" s="271"/>
      <c r="G393" s="21"/>
      <c r="H393" s="22"/>
      <c r="I393" s="22"/>
      <c r="J393" s="22"/>
      <c r="K393" s="22"/>
      <c r="L393" s="22"/>
      <c r="M393" s="22"/>
      <c r="N393" s="22"/>
      <c r="O393" s="23">
        <f t="shared" si="173"/>
        <v>0</v>
      </c>
      <c r="Q393" s="252" t="s">
        <v>2</v>
      </c>
      <c r="R393" s="272">
        <f>500/10.2</f>
        <v>49.019607843137258</v>
      </c>
      <c r="S393" s="252">
        <f>49*1.2</f>
        <v>58.8</v>
      </c>
      <c r="T393" s="252">
        <f>49*2.1</f>
        <v>102.9</v>
      </c>
      <c r="U393" s="252">
        <f>49*2.4</f>
        <v>117.6</v>
      </c>
      <c r="V393" s="252">
        <f>49*2.4</f>
        <v>117.6</v>
      </c>
      <c r="W393" s="252">
        <f>49*1.5</f>
        <v>73.5</v>
      </c>
      <c r="X393" s="252">
        <f>49*0.9</f>
        <v>44.1</v>
      </c>
      <c r="Y393" s="266"/>
      <c r="Z393" s="266">
        <f t="shared" si="174"/>
        <v>514.5</v>
      </c>
      <c r="AB393" s="288"/>
      <c r="AC393" s="289"/>
      <c r="AD393" s="289"/>
      <c r="AE393" s="289"/>
      <c r="AF393" s="289"/>
      <c r="AG393" s="289"/>
    </row>
    <row r="394" spans="1:37" ht="15" thickTop="1" thickBot="1">
      <c r="A394" s="284" t="str">
        <f t="shared" si="172"/>
        <v>4222-00</v>
      </c>
      <c r="B394" s="47"/>
      <c r="C394" s="47"/>
      <c r="D394" s="47"/>
      <c r="E394" s="48" t="s">
        <v>23</v>
      </c>
      <c r="F394" s="49" t="str">
        <f>+B387</f>
        <v>Ayla</v>
      </c>
      <c r="G394" s="48"/>
      <c r="H394" s="48">
        <f>+H388-H389-H390-H391-H393+H392</f>
        <v>-15</v>
      </c>
      <c r="I394" s="48">
        <f>+I388-I389-I390-I391-I393+I392</f>
        <v>-35</v>
      </c>
      <c r="J394" s="48">
        <f>+J388-J389-J390-J391-J393-J392</f>
        <v>-37</v>
      </c>
      <c r="K394" s="48">
        <f>+K388-K389-K390-K391-K393-K392</f>
        <v>-33</v>
      </c>
      <c r="L394" s="48">
        <f>+L388-L389-L390-L391-L393-L392</f>
        <v>-28</v>
      </c>
      <c r="M394" s="48">
        <f>+M388-M389-M390-M391-M393-M392</f>
        <v>-2</v>
      </c>
      <c r="N394" s="48"/>
      <c r="O394" s="48">
        <f t="shared" si="173"/>
        <v>-150</v>
      </c>
      <c r="Q394" s="266"/>
      <c r="R394" s="266"/>
      <c r="S394" s="252">
        <f t="shared" ref="S394:X394" si="175">SUM(S390:S393)</f>
        <v>58.8</v>
      </c>
      <c r="T394" s="252">
        <f t="shared" si="175"/>
        <v>102.9</v>
      </c>
      <c r="U394" s="252">
        <f t="shared" si="175"/>
        <v>117.6</v>
      </c>
      <c r="V394" s="252">
        <f t="shared" si="175"/>
        <v>117.6</v>
      </c>
      <c r="W394" s="252">
        <f t="shared" si="175"/>
        <v>73.5</v>
      </c>
      <c r="X394" s="252">
        <f t="shared" si="175"/>
        <v>44.1</v>
      </c>
      <c r="Y394" s="252"/>
      <c r="Z394" s="252">
        <f t="shared" si="174"/>
        <v>514.5</v>
      </c>
      <c r="AB394" s="288"/>
      <c r="AC394" s="289"/>
      <c r="AD394" s="289"/>
      <c r="AE394" s="289"/>
      <c r="AF394" s="289"/>
      <c r="AG394" s="289"/>
      <c r="AK394" s="250"/>
    </row>
    <row r="395" spans="1:37" ht="15" thickTop="1" thickBot="1">
      <c r="A395" s="274" t="s">
        <v>7</v>
      </c>
      <c r="B395" s="43" t="s">
        <v>8</v>
      </c>
      <c r="C395" s="43"/>
      <c r="D395" s="43"/>
      <c r="E395" s="44" t="s">
        <v>9</v>
      </c>
      <c r="F395" s="45"/>
      <c r="G395" s="45"/>
      <c r="H395" s="44"/>
      <c r="I395" s="44"/>
      <c r="J395" s="44"/>
      <c r="K395" s="44"/>
      <c r="L395" s="44"/>
      <c r="M395" s="44"/>
      <c r="N395" s="44"/>
      <c r="O395" s="44"/>
      <c r="AB395" s="288"/>
      <c r="AC395" s="289"/>
      <c r="AD395" s="289"/>
      <c r="AE395" s="7"/>
      <c r="AF395" s="7"/>
      <c r="AG395" s="7"/>
      <c r="AH395" s="7"/>
      <c r="AI395" s="7"/>
      <c r="AJ395" s="7"/>
    </row>
    <row r="396" spans="1:37" ht="15" thickTop="1" thickBot="1">
      <c r="A396" s="278" t="s">
        <v>125</v>
      </c>
      <c r="B396" s="38" t="s">
        <v>36</v>
      </c>
      <c r="C396" s="9" t="s">
        <v>12</v>
      </c>
      <c r="D396" s="9" t="s">
        <v>37</v>
      </c>
      <c r="E396" s="10"/>
      <c r="F396" s="256" t="s">
        <v>14</v>
      </c>
      <c r="G396" s="257">
        <v>34</v>
      </c>
      <c r="H396" s="257">
        <v>36</v>
      </c>
      <c r="I396" s="257">
        <v>38</v>
      </c>
      <c r="J396" s="257">
        <v>40</v>
      </c>
      <c r="K396" s="257">
        <v>42</v>
      </c>
      <c r="L396" s="257">
        <v>44</v>
      </c>
      <c r="M396" s="257">
        <v>46</v>
      </c>
      <c r="N396" s="257"/>
      <c r="O396" s="258" t="s">
        <v>15</v>
      </c>
      <c r="Q396" s="259" t="s">
        <v>14</v>
      </c>
      <c r="R396" s="259"/>
      <c r="S396" s="259">
        <v>36</v>
      </c>
      <c r="T396" s="259">
        <v>38</v>
      </c>
      <c r="U396" s="259">
        <v>40</v>
      </c>
      <c r="V396" s="259">
        <v>42</v>
      </c>
      <c r="W396" s="259">
        <v>44</v>
      </c>
      <c r="X396" s="259">
        <v>46</v>
      </c>
      <c r="Y396" s="259"/>
      <c r="Z396" s="259" t="s">
        <v>15</v>
      </c>
      <c r="AB396" s="288"/>
      <c r="AC396" s="289"/>
      <c r="AD396" s="289"/>
      <c r="AE396" s="289"/>
      <c r="AF396" s="289"/>
      <c r="AG396" s="289"/>
      <c r="AH396" s="289"/>
      <c r="AI396" s="289"/>
      <c r="AJ396" s="289"/>
      <c r="AK396" s="289"/>
    </row>
    <row r="397" spans="1:37" ht="15" thickTop="1" thickBot="1">
      <c r="A397" s="280" t="str">
        <f t="shared" ref="A397:A403" si="176">+A396</f>
        <v>4223-00</v>
      </c>
      <c r="B397" s="39" t="s">
        <v>16</v>
      </c>
      <c r="C397" s="39"/>
      <c r="D397" s="39" t="str">
        <f>+B396</f>
        <v>B2868-V3</v>
      </c>
      <c r="E397" s="40"/>
      <c r="F397" s="261" t="s">
        <v>1</v>
      </c>
      <c r="G397" s="261"/>
      <c r="H397" s="262">
        <f>'BASE DATOS'!C47</f>
        <v>46</v>
      </c>
      <c r="I397" s="262">
        <f>'BASE DATOS'!D47</f>
        <v>84</v>
      </c>
      <c r="J397" s="262">
        <f>'BASE DATOS'!E47</f>
        <v>92</v>
      </c>
      <c r="K397" s="262">
        <f>'BASE DATOS'!F47</f>
        <v>83</v>
      </c>
      <c r="L397" s="262">
        <f>'BASE DATOS'!G47</f>
        <v>50</v>
      </c>
      <c r="M397" s="262">
        <f>'BASE DATOS'!H47</f>
        <v>42</v>
      </c>
      <c r="N397" s="262"/>
      <c r="O397" s="263">
        <f t="shared" ref="O397:O403" si="177">SUM(H397:N397)</f>
        <v>397</v>
      </c>
      <c r="Q397" s="264"/>
      <c r="R397" s="264"/>
      <c r="S397" s="264"/>
      <c r="T397" s="264"/>
      <c r="U397" s="264"/>
      <c r="V397" s="264"/>
      <c r="W397" s="264"/>
      <c r="X397" s="264"/>
      <c r="Y397" s="264"/>
      <c r="Z397" s="264">
        <f>SUBTOTAL(9,S397:Y397)</f>
        <v>0</v>
      </c>
      <c r="AB397" s="288"/>
      <c r="AC397" s="289"/>
      <c r="AD397" s="289"/>
      <c r="AE397" s="289"/>
      <c r="AF397" s="289"/>
      <c r="AG397" s="289"/>
    </row>
    <row r="398" spans="1:37" ht="15" thickTop="1" thickBot="1">
      <c r="A398" s="280" t="str">
        <f t="shared" si="176"/>
        <v>4223-00</v>
      </c>
      <c r="B398" s="3">
        <v>46028</v>
      </c>
      <c r="C398" s="4" t="s">
        <v>17</v>
      </c>
      <c r="D398" s="4" t="s">
        <v>42</v>
      </c>
      <c r="E398" s="5" t="s">
        <v>3</v>
      </c>
      <c r="F398" s="305" t="s">
        <v>126</v>
      </c>
      <c r="G398" s="2"/>
      <c r="H398" s="7">
        <v>39</v>
      </c>
      <c r="I398" s="7">
        <v>60</v>
      </c>
      <c r="J398" s="7">
        <v>60</v>
      </c>
      <c r="K398" s="7">
        <v>60</v>
      </c>
      <c r="L398" s="7">
        <v>39</v>
      </c>
      <c r="M398" s="7">
        <v>25</v>
      </c>
      <c r="N398" s="8"/>
      <c r="O398" s="14">
        <f t="shared" si="177"/>
        <v>283</v>
      </c>
      <c r="Q398" s="252" t="s">
        <v>19</v>
      </c>
      <c r="R398" s="266"/>
      <c r="S398" s="266"/>
      <c r="T398" s="266"/>
      <c r="U398" s="266"/>
      <c r="V398" s="266"/>
      <c r="W398" s="266"/>
      <c r="X398" s="266"/>
      <c r="Y398" s="267"/>
      <c r="Z398" s="268">
        <f t="shared" ref="Z398:Z403" si="178">SUM(S398:Y398)</f>
        <v>0</v>
      </c>
      <c r="AB398" s="288"/>
      <c r="AC398" s="289"/>
      <c r="AD398" s="289"/>
      <c r="AE398" s="289"/>
      <c r="AF398" s="289"/>
      <c r="AG398" s="289"/>
    </row>
    <row r="399" spans="1:37" ht="15" thickTop="1" thickBot="1">
      <c r="A399" s="280" t="str">
        <f t="shared" si="176"/>
        <v>4223-00</v>
      </c>
      <c r="B399" s="3"/>
      <c r="C399" s="3"/>
      <c r="D399" s="3"/>
      <c r="E399" s="5" t="s">
        <v>3</v>
      </c>
      <c r="F399" s="352" t="s">
        <v>127</v>
      </c>
      <c r="G399" s="6"/>
      <c r="H399" s="7">
        <v>39</v>
      </c>
      <c r="I399" s="7">
        <v>60</v>
      </c>
      <c r="J399" s="7">
        <v>60</v>
      </c>
      <c r="K399" s="7">
        <v>60</v>
      </c>
      <c r="L399" s="7">
        <v>39</v>
      </c>
      <c r="M399" s="7">
        <v>25</v>
      </c>
      <c r="N399" s="15"/>
      <c r="O399" s="14">
        <f t="shared" si="177"/>
        <v>283</v>
      </c>
      <c r="Q399" s="252" t="s">
        <v>4</v>
      </c>
      <c r="R399" s="266">
        <f>78/19</f>
        <v>4.1052631578947372</v>
      </c>
      <c r="S399" s="266"/>
      <c r="T399" s="266"/>
      <c r="U399" s="266"/>
      <c r="V399" s="266"/>
      <c r="W399" s="266"/>
      <c r="X399" s="266"/>
      <c r="Y399" s="266"/>
      <c r="Z399" s="266">
        <f t="shared" si="178"/>
        <v>0</v>
      </c>
      <c r="AB399" s="288"/>
      <c r="AC399" s="289"/>
      <c r="AD399" s="289"/>
      <c r="AE399" s="289"/>
      <c r="AF399" s="289"/>
      <c r="AG399" s="289"/>
    </row>
    <row r="400" spans="1:37" ht="15" thickTop="1" thickBot="1">
      <c r="A400" s="280" t="str">
        <f t="shared" si="176"/>
        <v>4223-00</v>
      </c>
      <c r="B400" s="3"/>
      <c r="C400" s="3"/>
      <c r="D400" s="3"/>
      <c r="E400" s="5" t="s">
        <v>3</v>
      </c>
      <c r="F400" s="269"/>
      <c r="G400" s="6"/>
      <c r="H400" s="15"/>
      <c r="I400" s="15"/>
      <c r="J400" s="15"/>
      <c r="K400" s="15"/>
      <c r="L400" s="15"/>
      <c r="M400" s="15"/>
      <c r="N400" s="15"/>
      <c r="O400" s="16">
        <f t="shared" si="177"/>
        <v>0</v>
      </c>
      <c r="Q400" s="252" t="s">
        <v>6</v>
      </c>
      <c r="R400" s="266">
        <f>25/11</f>
        <v>2.2727272727272729</v>
      </c>
      <c r="S400" s="266"/>
      <c r="T400" s="266"/>
      <c r="U400" s="266"/>
      <c r="V400" s="266"/>
      <c r="W400" s="266"/>
      <c r="X400" s="266"/>
      <c r="Y400" s="266"/>
      <c r="Z400" s="266">
        <f t="shared" si="178"/>
        <v>0</v>
      </c>
      <c r="AB400" s="288"/>
      <c r="AC400" s="289"/>
      <c r="AD400" s="289"/>
      <c r="AE400" s="289"/>
      <c r="AF400" s="289"/>
      <c r="AG400" s="289"/>
    </row>
    <row r="401" spans="1:37" ht="15" thickTop="1" thickBot="1">
      <c r="A401" s="280" t="str">
        <f t="shared" si="176"/>
        <v>4223-00</v>
      </c>
      <c r="B401" s="3"/>
      <c r="C401" s="3"/>
      <c r="D401" s="3"/>
      <c r="E401" s="5" t="s">
        <v>3</v>
      </c>
      <c r="F401" s="269"/>
      <c r="G401" s="6"/>
      <c r="H401" s="8"/>
      <c r="I401" s="8"/>
      <c r="J401" s="8"/>
      <c r="K401" s="8"/>
      <c r="L401" s="8"/>
      <c r="M401" s="8"/>
      <c r="N401" s="15"/>
      <c r="O401" s="16">
        <f t="shared" si="177"/>
        <v>0</v>
      </c>
      <c r="Q401" s="266"/>
      <c r="R401" s="266"/>
      <c r="S401" s="266"/>
      <c r="T401" s="266"/>
      <c r="U401" s="266"/>
      <c r="V401" s="266"/>
      <c r="W401" s="266"/>
      <c r="X401" s="266"/>
      <c r="Y401" s="266"/>
      <c r="Z401" s="266">
        <f t="shared" si="178"/>
        <v>0</v>
      </c>
      <c r="AB401" s="288"/>
      <c r="AC401" s="289"/>
      <c r="AD401" s="289"/>
      <c r="AE401" s="289"/>
      <c r="AF401" s="289"/>
      <c r="AG401" s="289"/>
    </row>
    <row r="402" spans="1:37" ht="15" thickTop="1" thickBot="1">
      <c r="A402" s="283" t="str">
        <f t="shared" si="176"/>
        <v>4223-00</v>
      </c>
      <c r="B402" s="19"/>
      <c r="C402" s="19"/>
      <c r="D402" s="19"/>
      <c r="E402" s="20" t="s">
        <v>3</v>
      </c>
      <c r="F402" s="271"/>
      <c r="G402" s="21"/>
      <c r="H402" s="22"/>
      <c r="I402" s="22"/>
      <c r="J402" s="22"/>
      <c r="K402" s="22"/>
      <c r="L402" s="22"/>
      <c r="M402" s="22"/>
      <c r="N402" s="22"/>
      <c r="O402" s="23">
        <f t="shared" si="177"/>
        <v>0</v>
      </c>
      <c r="Q402" s="252" t="s">
        <v>2</v>
      </c>
      <c r="R402" s="272">
        <f>500/10.2</f>
        <v>49.019607843137258</v>
      </c>
      <c r="S402" s="252">
        <f>49*1.2</f>
        <v>58.8</v>
      </c>
      <c r="T402" s="252">
        <f>49*2.1</f>
        <v>102.9</v>
      </c>
      <c r="U402" s="252">
        <f>49*2.4</f>
        <v>117.6</v>
      </c>
      <c r="V402" s="252">
        <f>49*2.4</f>
        <v>117.6</v>
      </c>
      <c r="W402" s="252">
        <f>49*1.5</f>
        <v>73.5</v>
      </c>
      <c r="X402" s="252">
        <f>49*0.9</f>
        <v>44.1</v>
      </c>
      <c r="Y402" s="266"/>
      <c r="Z402" s="266">
        <f t="shared" si="178"/>
        <v>514.5</v>
      </c>
      <c r="AB402" s="288"/>
      <c r="AC402" s="289"/>
      <c r="AD402" s="289"/>
      <c r="AE402" s="289"/>
      <c r="AF402" s="289"/>
      <c r="AG402" s="289"/>
    </row>
    <row r="403" spans="1:37" ht="15" thickTop="1" thickBot="1">
      <c r="A403" s="284" t="str">
        <f t="shared" si="176"/>
        <v>4223-00</v>
      </c>
      <c r="B403" s="47"/>
      <c r="C403" s="47"/>
      <c r="D403" s="47"/>
      <c r="E403" s="48" t="s">
        <v>23</v>
      </c>
      <c r="F403" s="49" t="str">
        <f>+B396</f>
        <v>B2868-V3</v>
      </c>
      <c r="G403" s="48"/>
      <c r="H403" s="48">
        <f>+H397-H398-H399-H400-H402+H401</f>
        <v>-32</v>
      </c>
      <c r="I403" s="48">
        <f>+I397-I398-I399-I400-I402+I401</f>
        <v>-36</v>
      </c>
      <c r="J403" s="48">
        <f>+J397-J398-J399-J400-J402-J401</f>
        <v>-28</v>
      </c>
      <c r="K403" s="48">
        <f>+K397-K398-K399-K400-K402-K401</f>
        <v>-37</v>
      </c>
      <c r="L403" s="48">
        <f>+L397-L398-L399-L400-L402-L401</f>
        <v>-28</v>
      </c>
      <c r="M403" s="48">
        <f>+M397-M398-M399-M400-M402-M401</f>
        <v>-8</v>
      </c>
      <c r="N403" s="48"/>
      <c r="O403" s="48">
        <f t="shared" si="177"/>
        <v>-169</v>
      </c>
      <c r="Q403" s="266"/>
      <c r="R403" s="266"/>
      <c r="S403" s="252">
        <f t="shared" ref="S403:X403" si="179">SUM(S399:S402)</f>
        <v>58.8</v>
      </c>
      <c r="T403" s="252">
        <f t="shared" si="179"/>
        <v>102.9</v>
      </c>
      <c r="U403" s="252">
        <f t="shared" si="179"/>
        <v>117.6</v>
      </c>
      <c r="V403" s="252">
        <f t="shared" si="179"/>
        <v>117.6</v>
      </c>
      <c r="W403" s="252">
        <f t="shared" si="179"/>
        <v>73.5</v>
      </c>
      <c r="X403" s="252">
        <f t="shared" si="179"/>
        <v>44.1</v>
      </c>
      <c r="Y403" s="252"/>
      <c r="Z403" s="252">
        <f t="shared" si="178"/>
        <v>514.5</v>
      </c>
      <c r="AB403" s="288"/>
      <c r="AC403" s="289"/>
      <c r="AD403" s="289"/>
      <c r="AE403" s="289"/>
      <c r="AF403" s="289"/>
      <c r="AG403" s="289"/>
    </row>
    <row r="404" spans="1:37" ht="15" thickTop="1" thickBot="1">
      <c r="A404" s="353" t="s">
        <v>7</v>
      </c>
      <c r="B404" s="43" t="s">
        <v>8</v>
      </c>
      <c r="C404" s="43"/>
      <c r="D404" s="43"/>
      <c r="E404" s="44" t="s">
        <v>9</v>
      </c>
      <c r="F404" s="45"/>
      <c r="G404" s="45"/>
      <c r="H404" s="44"/>
      <c r="I404" s="44"/>
      <c r="J404" s="44"/>
      <c r="K404" s="44"/>
      <c r="L404" s="44"/>
      <c r="M404" s="44"/>
      <c r="N404" s="44"/>
      <c r="O404" s="44"/>
      <c r="AB404" s="288"/>
      <c r="AC404" s="275" t="s">
        <v>3</v>
      </c>
      <c r="AD404" s="276">
        <v>46105</v>
      </c>
      <c r="AE404" s="275">
        <v>36</v>
      </c>
      <c r="AF404" s="275">
        <v>38</v>
      </c>
      <c r="AG404" s="275">
        <v>40</v>
      </c>
      <c r="AH404" s="275">
        <v>42</v>
      </c>
      <c r="AI404" s="277">
        <v>44</v>
      </c>
      <c r="AJ404" s="277">
        <v>46</v>
      </c>
      <c r="AK404" s="277" t="s">
        <v>28</v>
      </c>
    </row>
    <row r="405" spans="1:37" ht="20.25" thickTop="1" thickBot="1">
      <c r="A405" s="354" t="s">
        <v>128</v>
      </c>
      <c r="B405" s="38" t="s">
        <v>50</v>
      </c>
      <c r="C405" s="9" t="s">
        <v>12</v>
      </c>
      <c r="D405" s="9" t="s">
        <v>37</v>
      </c>
      <c r="E405" s="10"/>
      <c r="F405" s="256" t="s">
        <v>14</v>
      </c>
      <c r="G405" s="257">
        <v>34</v>
      </c>
      <c r="H405" s="257">
        <v>36</v>
      </c>
      <c r="I405" s="257">
        <v>38</v>
      </c>
      <c r="J405" s="257">
        <v>40</v>
      </c>
      <c r="K405" s="257">
        <v>42</v>
      </c>
      <c r="L405" s="257">
        <v>44</v>
      </c>
      <c r="M405" s="257">
        <v>46</v>
      </c>
      <c r="N405" s="257"/>
      <c r="O405" s="258" t="s">
        <v>15</v>
      </c>
      <c r="Q405" s="259" t="s">
        <v>14</v>
      </c>
      <c r="R405" s="259"/>
      <c r="S405" s="259">
        <v>36</v>
      </c>
      <c r="T405" s="259">
        <v>38</v>
      </c>
      <c r="U405" s="259">
        <v>40</v>
      </c>
      <c r="V405" s="259">
        <v>42</v>
      </c>
      <c r="W405" s="259">
        <v>44</v>
      </c>
      <c r="X405" s="259">
        <v>46</v>
      </c>
      <c r="Y405" s="259"/>
      <c r="Z405" s="259" t="s">
        <v>15</v>
      </c>
      <c r="AB405" s="288"/>
      <c r="AC405" s="279" t="s">
        <v>29</v>
      </c>
      <c r="AD405" s="192">
        <v>11581</v>
      </c>
      <c r="AE405" s="279">
        <v>20</v>
      </c>
      <c r="AF405" s="279">
        <v>40</v>
      </c>
      <c r="AG405" s="279">
        <v>46</v>
      </c>
      <c r="AH405" s="279">
        <v>40</v>
      </c>
      <c r="AI405" s="279">
        <v>32</v>
      </c>
      <c r="AJ405" s="279">
        <v>22</v>
      </c>
      <c r="AK405" s="275">
        <f>SUM(AE405:AJ405)</f>
        <v>200</v>
      </c>
    </row>
    <row r="406" spans="1:37" ht="20.25" thickTop="1" thickBot="1">
      <c r="A406" s="355" t="str">
        <f t="shared" ref="A406:A412" si="180">+A405</f>
        <v>4224-00</v>
      </c>
      <c r="B406" s="39" t="s">
        <v>16</v>
      </c>
      <c r="C406" s="39"/>
      <c r="D406" s="39" t="str">
        <f>+B405</f>
        <v>Ayla</v>
      </c>
      <c r="E406" s="40"/>
      <c r="F406" s="261" t="s">
        <v>1</v>
      </c>
      <c r="G406" s="261"/>
      <c r="H406" s="262">
        <f>'BASE DATOS'!C48</f>
        <v>10</v>
      </c>
      <c r="I406" s="262">
        <f>'BASE DATOS'!D48</f>
        <v>21</v>
      </c>
      <c r="J406" s="262">
        <f>'BASE DATOS'!E48</f>
        <v>24</v>
      </c>
      <c r="K406" s="262">
        <f>'BASE DATOS'!F48</f>
        <v>20</v>
      </c>
      <c r="L406" s="262">
        <f>'BASE DATOS'!G48</f>
        <v>17</v>
      </c>
      <c r="M406" s="262">
        <f>'BASE DATOS'!H48</f>
        <v>11</v>
      </c>
      <c r="N406" s="262"/>
      <c r="O406" s="263">
        <f t="shared" ref="O406:O412" si="181">SUM(H406:N406)</f>
        <v>103</v>
      </c>
      <c r="Q406" s="264"/>
      <c r="R406" s="264"/>
      <c r="S406" s="264"/>
      <c r="T406" s="264"/>
      <c r="U406" s="264"/>
      <c r="V406" s="264"/>
      <c r="W406" s="264"/>
      <c r="X406" s="264"/>
      <c r="Y406" s="264"/>
      <c r="Z406" s="264">
        <f>SUBTOTAL(9,S406:Y406)</f>
        <v>0</v>
      </c>
      <c r="AB406" s="288"/>
      <c r="AC406" s="281" t="s">
        <v>30</v>
      </c>
      <c r="AD406" s="196">
        <v>4224</v>
      </c>
    </row>
    <row r="407" spans="1:37" ht="20.25" thickTop="1" thickBot="1">
      <c r="A407" s="355" t="str">
        <f t="shared" si="180"/>
        <v>4224-00</v>
      </c>
      <c r="B407" s="3">
        <v>46105</v>
      </c>
      <c r="C407" s="4" t="s">
        <v>17</v>
      </c>
      <c r="D407" s="4" t="s">
        <v>51</v>
      </c>
      <c r="E407" s="5" t="s">
        <v>3</v>
      </c>
      <c r="F407" s="265">
        <v>11581</v>
      </c>
      <c r="G407" s="2"/>
      <c r="H407" s="7">
        <f>20-H416</f>
        <v>14</v>
      </c>
      <c r="I407" s="7">
        <f>40-I416</f>
        <v>30</v>
      </c>
      <c r="J407" s="7">
        <f>46-J416</f>
        <v>32</v>
      </c>
      <c r="K407" s="7">
        <f>40-K416</f>
        <v>27</v>
      </c>
      <c r="L407" s="7">
        <f>32-L416</f>
        <v>21</v>
      </c>
      <c r="M407" s="7">
        <f>22-M416</f>
        <v>14</v>
      </c>
      <c r="N407" s="8"/>
      <c r="O407" s="14">
        <f t="shared" si="181"/>
        <v>138</v>
      </c>
      <c r="Q407" s="252" t="s">
        <v>19</v>
      </c>
      <c r="R407" s="266"/>
      <c r="S407" s="266"/>
      <c r="T407" s="266"/>
      <c r="U407" s="266"/>
      <c r="V407" s="266"/>
      <c r="W407" s="266"/>
      <c r="X407" s="266"/>
      <c r="Y407" s="267"/>
      <c r="Z407" s="268">
        <f t="shared" ref="Z407:Z412" si="182">SUM(S407:Y407)</f>
        <v>0</v>
      </c>
      <c r="AB407" s="288"/>
      <c r="AC407" s="279" t="s">
        <v>32</v>
      </c>
      <c r="AD407" s="192" t="s">
        <v>50</v>
      </c>
    </row>
    <row r="408" spans="1:37" ht="15" thickTop="1" thickBot="1">
      <c r="A408" s="355" t="str">
        <f t="shared" si="180"/>
        <v>4224-00</v>
      </c>
      <c r="B408" s="3"/>
      <c r="C408" s="3"/>
      <c r="D408" s="3"/>
      <c r="E408" s="5" t="s">
        <v>3</v>
      </c>
      <c r="F408" s="269"/>
      <c r="G408" s="6"/>
      <c r="H408" s="7"/>
      <c r="I408" s="7"/>
      <c r="J408" s="7"/>
      <c r="K408" s="7"/>
      <c r="L408" s="7"/>
      <c r="M408" s="7"/>
      <c r="N408" s="15"/>
      <c r="O408" s="14">
        <f t="shared" si="181"/>
        <v>0</v>
      </c>
      <c r="Q408" s="252" t="s">
        <v>4</v>
      </c>
      <c r="R408" s="266">
        <f>78/19</f>
        <v>4.1052631578947372</v>
      </c>
      <c r="S408" s="266"/>
      <c r="T408" s="266"/>
      <c r="U408" s="266"/>
      <c r="V408" s="266"/>
      <c r="W408" s="266"/>
      <c r="X408" s="266"/>
      <c r="Y408" s="266"/>
      <c r="Z408" s="266">
        <f t="shared" si="182"/>
        <v>0</v>
      </c>
      <c r="AB408" s="288"/>
      <c r="AC408" s="279" t="s">
        <v>12</v>
      </c>
      <c r="AD408" s="275" t="s">
        <v>37</v>
      </c>
    </row>
    <row r="409" spans="1:37" ht="15" thickTop="1" thickBot="1">
      <c r="A409" s="355" t="str">
        <f t="shared" si="180"/>
        <v>4224-00</v>
      </c>
      <c r="B409" s="3"/>
      <c r="C409" s="3"/>
      <c r="D409" s="3"/>
      <c r="E409" s="5" t="s">
        <v>3</v>
      </c>
      <c r="F409" s="269"/>
      <c r="G409" s="6"/>
      <c r="H409" s="15"/>
      <c r="I409" s="15"/>
      <c r="J409" s="15"/>
      <c r="K409" s="15"/>
      <c r="L409" s="15"/>
      <c r="M409" s="15"/>
      <c r="N409" s="15"/>
      <c r="O409" s="16">
        <f t="shared" si="181"/>
        <v>0</v>
      </c>
      <c r="Q409" s="252" t="s">
        <v>6</v>
      </c>
      <c r="R409" s="266">
        <f>25/11</f>
        <v>2.2727272727272729</v>
      </c>
      <c r="S409" s="266"/>
      <c r="T409" s="266"/>
      <c r="U409" s="266"/>
      <c r="V409" s="266"/>
      <c r="W409" s="266"/>
      <c r="X409" s="266"/>
      <c r="Y409" s="266"/>
      <c r="Z409" s="266">
        <f t="shared" si="182"/>
        <v>0</v>
      </c>
      <c r="AB409" s="288"/>
      <c r="AC409" s="279" t="s">
        <v>17</v>
      </c>
      <c r="AD409" s="275" t="s">
        <v>51</v>
      </c>
    </row>
    <row r="410" spans="1:37" ht="15" thickTop="1" thickBot="1">
      <c r="A410" s="355" t="str">
        <f t="shared" si="180"/>
        <v>4224-00</v>
      </c>
      <c r="B410" s="3"/>
      <c r="C410" s="3"/>
      <c r="D410" s="3"/>
      <c r="E410" s="5" t="s">
        <v>3</v>
      </c>
      <c r="F410" s="269"/>
      <c r="G410" s="6"/>
      <c r="H410" s="8"/>
      <c r="I410" s="8"/>
      <c r="J410" s="8"/>
      <c r="K410" s="8"/>
      <c r="L410" s="8"/>
      <c r="M410" s="8"/>
      <c r="N410" s="15"/>
      <c r="O410" s="16">
        <f t="shared" si="181"/>
        <v>0</v>
      </c>
      <c r="Q410" s="266"/>
      <c r="R410" s="266"/>
      <c r="S410" s="266"/>
      <c r="T410" s="266"/>
      <c r="U410" s="266"/>
      <c r="V410" s="266"/>
      <c r="W410" s="266"/>
      <c r="X410" s="266"/>
      <c r="Y410" s="266"/>
      <c r="Z410" s="266">
        <f t="shared" si="182"/>
        <v>0</v>
      </c>
      <c r="AB410" s="288"/>
      <c r="AC410" s="289"/>
      <c r="AD410" s="289"/>
      <c r="AE410" s="289"/>
      <c r="AF410" s="289"/>
      <c r="AG410" s="289"/>
    </row>
    <row r="411" spans="1:37" ht="15" thickTop="1" thickBot="1">
      <c r="A411" s="356" t="str">
        <f t="shared" si="180"/>
        <v>4224-00</v>
      </c>
      <c r="B411" s="19"/>
      <c r="C411" s="19"/>
      <c r="D411" s="19"/>
      <c r="E411" s="20" t="s">
        <v>3</v>
      </c>
      <c r="F411" s="271"/>
      <c r="G411" s="21"/>
      <c r="H411" s="22"/>
      <c r="I411" s="22"/>
      <c r="J411" s="22"/>
      <c r="K411" s="22"/>
      <c r="L411" s="22"/>
      <c r="M411" s="22"/>
      <c r="N411" s="22"/>
      <c r="O411" s="23">
        <f t="shared" si="181"/>
        <v>0</v>
      </c>
      <c r="Q411" s="252" t="s">
        <v>2</v>
      </c>
      <c r="R411" s="272">
        <f>500/10.2</f>
        <v>49.019607843137258</v>
      </c>
      <c r="S411" s="252">
        <f>49*1.2</f>
        <v>58.8</v>
      </c>
      <c r="T411" s="252">
        <f>49*2.1</f>
        <v>102.9</v>
      </c>
      <c r="U411" s="252">
        <f>49*2.4</f>
        <v>117.6</v>
      </c>
      <c r="V411" s="252">
        <f>49*2.4</f>
        <v>117.6</v>
      </c>
      <c r="W411" s="252">
        <f>49*1.5</f>
        <v>73.5</v>
      </c>
      <c r="X411" s="252">
        <f>49*0.9</f>
        <v>44.1</v>
      </c>
      <c r="Y411" s="266"/>
      <c r="Z411" s="266">
        <f t="shared" si="182"/>
        <v>514.5</v>
      </c>
      <c r="AB411" s="288"/>
      <c r="AC411" s="289"/>
      <c r="AD411" s="289"/>
      <c r="AE411" s="289"/>
      <c r="AF411" s="289"/>
      <c r="AG411" s="289"/>
      <c r="AH411" s="289"/>
      <c r="AI411" s="289"/>
      <c r="AJ411" s="289"/>
      <c r="AK411" s="250"/>
    </row>
    <row r="412" spans="1:37" ht="15" thickTop="1" thickBot="1">
      <c r="A412" s="357" t="str">
        <f t="shared" si="180"/>
        <v>4224-00</v>
      </c>
      <c r="B412" s="47"/>
      <c r="C412" s="47"/>
      <c r="D412" s="47"/>
      <c r="E412" s="48" t="s">
        <v>23</v>
      </c>
      <c r="F412" s="49" t="str">
        <f>+B405</f>
        <v>Ayla</v>
      </c>
      <c r="G412" s="48"/>
      <c r="H412" s="48">
        <f>+H406-H407-H408-H409-H411+H410</f>
        <v>-4</v>
      </c>
      <c r="I412" s="48">
        <f>+I406-I407-I408-I409-I411+I410</f>
        <v>-9</v>
      </c>
      <c r="J412" s="48">
        <f>+J406-J407-J408-J409-J411-J410</f>
        <v>-8</v>
      </c>
      <c r="K412" s="48">
        <f>+K406-K407-K408-K409-K411-K410</f>
        <v>-7</v>
      </c>
      <c r="L412" s="48">
        <f>+L406-L407-L408-L409-L411-L410</f>
        <v>-4</v>
      </c>
      <c r="M412" s="48">
        <f>+M406-M407-M408-M409-M411-M410</f>
        <v>-3</v>
      </c>
      <c r="N412" s="48"/>
      <c r="O412" s="48">
        <f t="shared" si="181"/>
        <v>-35</v>
      </c>
      <c r="Q412" s="266"/>
      <c r="R412" s="266"/>
      <c r="S412" s="252">
        <f t="shared" ref="S412:X412" si="183">SUM(S408:S411)</f>
        <v>58.8</v>
      </c>
      <c r="T412" s="252">
        <f t="shared" si="183"/>
        <v>102.9</v>
      </c>
      <c r="U412" s="252">
        <f t="shared" si="183"/>
        <v>117.6</v>
      </c>
      <c r="V412" s="252">
        <f t="shared" si="183"/>
        <v>117.6</v>
      </c>
      <c r="W412" s="252">
        <f t="shared" si="183"/>
        <v>73.5</v>
      </c>
      <c r="X412" s="252">
        <f t="shared" si="183"/>
        <v>44.1</v>
      </c>
      <c r="Y412" s="252"/>
      <c r="Z412" s="252">
        <f t="shared" si="182"/>
        <v>514.5</v>
      </c>
      <c r="AB412" s="288"/>
      <c r="AC412" s="289"/>
      <c r="AD412" s="289"/>
      <c r="AE412" s="289"/>
      <c r="AF412" s="289"/>
      <c r="AG412" s="289"/>
    </row>
    <row r="413" spans="1:37" ht="15" thickTop="1" thickBot="1">
      <c r="A413" s="353" t="s">
        <v>7</v>
      </c>
      <c r="B413" s="43" t="s">
        <v>8</v>
      </c>
      <c r="C413" s="43"/>
      <c r="D413" s="43"/>
      <c r="E413" s="44" t="s">
        <v>9</v>
      </c>
      <c r="F413" s="45"/>
      <c r="G413" s="45"/>
      <c r="H413" s="44"/>
      <c r="I413" s="44"/>
      <c r="J413" s="44"/>
      <c r="K413" s="44"/>
      <c r="L413" s="44"/>
      <c r="M413" s="44"/>
      <c r="N413" s="44"/>
      <c r="O413" s="44"/>
      <c r="AB413" s="288"/>
      <c r="AC413" s="289"/>
      <c r="AD413" s="289"/>
      <c r="AE413" s="289"/>
      <c r="AF413" s="289"/>
      <c r="AG413" s="289"/>
      <c r="AH413" s="289"/>
      <c r="AI413" s="289"/>
      <c r="AJ413" s="289"/>
    </row>
    <row r="414" spans="1:37" ht="15" thickTop="1" thickBot="1">
      <c r="A414" s="354" t="s">
        <v>129</v>
      </c>
      <c r="B414" s="38" t="s">
        <v>50</v>
      </c>
      <c r="C414" s="9" t="s">
        <v>12</v>
      </c>
      <c r="D414" s="9" t="s">
        <v>37</v>
      </c>
      <c r="E414" s="10"/>
      <c r="F414" s="256" t="s">
        <v>14</v>
      </c>
      <c r="G414" s="257">
        <v>34</v>
      </c>
      <c r="H414" s="257">
        <v>36</v>
      </c>
      <c r="I414" s="257">
        <v>38</v>
      </c>
      <c r="J414" s="257">
        <v>40</v>
      </c>
      <c r="K414" s="257">
        <v>42</v>
      </c>
      <c r="L414" s="257">
        <v>44</v>
      </c>
      <c r="M414" s="257">
        <v>46</v>
      </c>
      <c r="N414" s="257"/>
      <c r="O414" s="258" t="s">
        <v>15</v>
      </c>
      <c r="Q414" s="259" t="s">
        <v>14</v>
      </c>
      <c r="R414" s="259"/>
      <c r="S414" s="259">
        <v>36</v>
      </c>
      <c r="T414" s="259">
        <v>38</v>
      </c>
      <c r="U414" s="259">
        <v>40</v>
      </c>
      <c r="V414" s="259">
        <v>42</v>
      </c>
      <c r="W414" s="259">
        <v>44</v>
      </c>
      <c r="X414" s="259">
        <v>46</v>
      </c>
      <c r="Y414" s="259"/>
      <c r="Z414" s="259" t="s">
        <v>15</v>
      </c>
      <c r="AB414" s="288"/>
      <c r="AC414" s="289"/>
      <c r="AD414" s="289"/>
      <c r="AE414" s="289"/>
      <c r="AF414" s="289"/>
      <c r="AG414" s="289"/>
    </row>
    <row r="415" spans="1:37" ht="15" thickTop="1" thickBot="1">
      <c r="A415" s="355" t="str">
        <f t="shared" ref="A415:A421" si="184">+A414</f>
        <v>4224-01</v>
      </c>
      <c r="B415" s="39" t="s">
        <v>16</v>
      </c>
      <c r="C415" s="39"/>
      <c r="D415" s="39" t="str">
        <f>+B414</f>
        <v>Ayla</v>
      </c>
      <c r="E415" s="40"/>
      <c r="F415" s="261" t="s">
        <v>1</v>
      </c>
      <c r="G415" s="261"/>
      <c r="H415" s="262">
        <f>'BASE DATOS'!C49</f>
        <v>5</v>
      </c>
      <c r="I415" s="262">
        <f>'BASE DATOS'!D49</f>
        <v>9</v>
      </c>
      <c r="J415" s="262">
        <f>'BASE DATOS'!E49</f>
        <v>13</v>
      </c>
      <c r="K415" s="262">
        <f>'BASE DATOS'!F49</f>
        <v>12</v>
      </c>
      <c r="L415" s="262">
        <f>'BASE DATOS'!G49</f>
        <v>10</v>
      </c>
      <c r="M415" s="262">
        <f>'BASE DATOS'!H49</f>
        <v>7</v>
      </c>
      <c r="N415" s="262"/>
      <c r="O415" s="263">
        <f t="shared" ref="O415:O421" si="185">SUM(H415:N415)</f>
        <v>56</v>
      </c>
      <c r="Q415" s="264"/>
      <c r="R415" s="264"/>
      <c r="S415" s="264"/>
      <c r="T415" s="264"/>
      <c r="U415" s="264"/>
      <c r="V415" s="264"/>
      <c r="W415" s="264"/>
      <c r="X415" s="264"/>
      <c r="Y415" s="264"/>
      <c r="Z415" s="264">
        <f>SUBTOTAL(9,S415:Y415)</f>
        <v>0</v>
      </c>
      <c r="AB415" s="288"/>
      <c r="AC415" s="289"/>
      <c r="AD415" s="289"/>
      <c r="AE415" s="289"/>
      <c r="AF415" s="289"/>
      <c r="AG415" s="289"/>
    </row>
    <row r="416" spans="1:37" ht="15" thickTop="1" thickBot="1">
      <c r="A416" s="355" t="str">
        <f t="shared" si="184"/>
        <v>4224-01</v>
      </c>
      <c r="B416" s="3">
        <v>46105</v>
      </c>
      <c r="C416" s="4" t="s">
        <v>17</v>
      </c>
      <c r="D416" s="4" t="s">
        <v>51</v>
      </c>
      <c r="E416" s="5" t="s">
        <v>3</v>
      </c>
      <c r="F416" s="265">
        <v>11581</v>
      </c>
      <c r="G416" s="2"/>
      <c r="H416" s="7">
        <v>6</v>
      </c>
      <c r="I416" s="7">
        <v>10</v>
      </c>
      <c r="J416" s="7">
        <v>14</v>
      </c>
      <c r="K416" s="7">
        <v>13</v>
      </c>
      <c r="L416" s="7">
        <v>11</v>
      </c>
      <c r="M416" s="7">
        <v>8</v>
      </c>
      <c r="N416" s="8"/>
      <c r="O416" s="14">
        <f t="shared" si="185"/>
        <v>62</v>
      </c>
      <c r="Q416" s="252" t="s">
        <v>19</v>
      </c>
      <c r="R416" s="266"/>
      <c r="S416" s="266"/>
      <c r="T416" s="266"/>
      <c r="U416" s="266"/>
      <c r="V416" s="266"/>
      <c r="W416" s="266"/>
      <c r="X416" s="266"/>
      <c r="Y416" s="267"/>
      <c r="Z416" s="268">
        <f t="shared" ref="Z416:Z421" si="186">SUM(S416:Y416)</f>
        <v>0</v>
      </c>
      <c r="AB416" s="288"/>
      <c r="AC416" s="289"/>
      <c r="AD416" s="289"/>
      <c r="AE416" s="289"/>
      <c r="AF416" s="289"/>
      <c r="AG416" s="289"/>
    </row>
    <row r="417" spans="1:35" ht="15" thickTop="1" thickBot="1">
      <c r="A417" s="355" t="str">
        <f t="shared" si="184"/>
        <v>4224-01</v>
      </c>
      <c r="B417" s="3"/>
      <c r="C417" s="3"/>
      <c r="D417" s="3"/>
      <c r="E417" s="5" t="s">
        <v>3</v>
      </c>
      <c r="F417" s="269"/>
      <c r="G417" s="6"/>
      <c r="H417" s="7"/>
      <c r="I417" s="7"/>
      <c r="J417" s="7"/>
      <c r="K417" s="7"/>
      <c r="L417" s="7"/>
      <c r="M417" s="7"/>
      <c r="N417" s="15"/>
      <c r="O417" s="14">
        <f t="shared" si="185"/>
        <v>0</v>
      </c>
      <c r="Q417" s="252" t="s">
        <v>4</v>
      </c>
      <c r="R417" s="266">
        <f>78/19</f>
        <v>4.1052631578947372</v>
      </c>
      <c r="S417" s="266"/>
      <c r="T417" s="266"/>
      <c r="U417" s="266"/>
      <c r="V417" s="266"/>
      <c r="W417" s="266"/>
      <c r="X417" s="266"/>
      <c r="Y417" s="266"/>
      <c r="Z417" s="266">
        <f t="shared" si="186"/>
        <v>0</v>
      </c>
      <c r="AB417" s="288"/>
      <c r="AC417" s="289"/>
      <c r="AD417" s="289"/>
      <c r="AE417" s="289"/>
      <c r="AF417" s="289"/>
      <c r="AG417" s="289"/>
    </row>
    <row r="418" spans="1:35" ht="15" thickTop="1" thickBot="1">
      <c r="A418" s="355" t="str">
        <f t="shared" si="184"/>
        <v>4224-01</v>
      </c>
      <c r="B418" s="3"/>
      <c r="C418" s="3"/>
      <c r="D418" s="3"/>
      <c r="E418" s="5" t="s">
        <v>3</v>
      </c>
      <c r="F418" s="269"/>
      <c r="G418" s="6"/>
      <c r="H418" s="15"/>
      <c r="I418" s="15"/>
      <c r="J418" s="15"/>
      <c r="K418" s="15"/>
      <c r="L418" s="15"/>
      <c r="M418" s="15"/>
      <c r="N418" s="15"/>
      <c r="O418" s="16">
        <f t="shared" si="185"/>
        <v>0</v>
      </c>
      <c r="Q418" s="252" t="s">
        <v>6</v>
      </c>
      <c r="R418" s="266">
        <f>25/11</f>
        <v>2.2727272727272729</v>
      </c>
      <c r="S418" s="266"/>
      <c r="T418" s="266"/>
      <c r="U418" s="266"/>
      <c r="V418" s="266"/>
      <c r="W418" s="266"/>
      <c r="X418" s="266"/>
      <c r="Y418" s="266"/>
      <c r="Z418" s="266">
        <f t="shared" si="186"/>
        <v>0</v>
      </c>
      <c r="AB418" s="288"/>
      <c r="AC418" s="289"/>
      <c r="AD418" s="289"/>
      <c r="AE418" s="289"/>
      <c r="AF418" s="289"/>
      <c r="AG418" s="289"/>
    </row>
    <row r="419" spans="1:35" ht="15" thickTop="1" thickBot="1">
      <c r="A419" s="355" t="str">
        <f t="shared" si="184"/>
        <v>4224-01</v>
      </c>
      <c r="B419" s="3"/>
      <c r="C419" s="3"/>
      <c r="D419" s="3"/>
      <c r="E419" s="5" t="s">
        <v>3</v>
      </c>
      <c r="F419" s="269"/>
      <c r="G419" s="6"/>
      <c r="H419" s="8"/>
      <c r="I419" s="8"/>
      <c r="J419" s="8"/>
      <c r="K419" s="8"/>
      <c r="L419" s="8"/>
      <c r="M419" s="8"/>
      <c r="N419" s="15"/>
      <c r="O419" s="16">
        <f t="shared" si="185"/>
        <v>0</v>
      </c>
      <c r="Q419" s="266"/>
      <c r="R419" s="266"/>
      <c r="S419" s="266"/>
      <c r="T419" s="266"/>
      <c r="U419" s="266"/>
      <c r="V419" s="266"/>
      <c r="W419" s="266"/>
      <c r="X419" s="266"/>
      <c r="Y419" s="266"/>
      <c r="Z419" s="266">
        <f t="shared" si="186"/>
        <v>0</v>
      </c>
      <c r="AB419" s="288"/>
      <c r="AC419" s="289"/>
      <c r="AD419" s="289"/>
      <c r="AE419" s="289"/>
      <c r="AF419" s="289"/>
      <c r="AG419" s="289"/>
    </row>
    <row r="420" spans="1:35" ht="15" thickTop="1" thickBot="1">
      <c r="A420" s="356" t="str">
        <f t="shared" si="184"/>
        <v>4224-01</v>
      </c>
      <c r="B420" s="19"/>
      <c r="C420" s="19"/>
      <c r="D420" s="19"/>
      <c r="E420" s="20" t="s">
        <v>3</v>
      </c>
      <c r="F420" s="271"/>
      <c r="G420" s="21"/>
      <c r="H420" s="22"/>
      <c r="I420" s="22"/>
      <c r="J420" s="22"/>
      <c r="K420" s="22"/>
      <c r="L420" s="22"/>
      <c r="M420" s="22"/>
      <c r="N420" s="22"/>
      <c r="O420" s="23">
        <f t="shared" si="185"/>
        <v>0</v>
      </c>
      <c r="Q420" s="252" t="s">
        <v>2</v>
      </c>
      <c r="R420" s="272">
        <f>500/10.2</f>
        <v>49.019607843137258</v>
      </c>
      <c r="S420" s="252">
        <f>49*1.2</f>
        <v>58.8</v>
      </c>
      <c r="T420" s="252">
        <f>49*2.1</f>
        <v>102.9</v>
      </c>
      <c r="U420" s="252">
        <f>49*2.4</f>
        <v>117.6</v>
      </c>
      <c r="V420" s="252">
        <f>49*2.4</f>
        <v>117.6</v>
      </c>
      <c r="W420" s="252">
        <f>49*1.5</f>
        <v>73.5</v>
      </c>
      <c r="X420" s="252">
        <f>49*0.9</f>
        <v>44.1</v>
      </c>
      <c r="Y420" s="266"/>
      <c r="Z420" s="266">
        <f t="shared" si="186"/>
        <v>514.5</v>
      </c>
      <c r="AB420" s="288"/>
      <c r="AC420" s="289"/>
      <c r="AD420" s="289"/>
      <c r="AE420" s="289"/>
      <c r="AF420" s="289"/>
      <c r="AG420" s="289"/>
    </row>
    <row r="421" spans="1:35" ht="15" thickTop="1" thickBot="1">
      <c r="A421" s="357" t="str">
        <f t="shared" si="184"/>
        <v>4224-01</v>
      </c>
      <c r="B421" s="47"/>
      <c r="C421" s="47"/>
      <c r="D421" s="47"/>
      <c r="E421" s="48" t="s">
        <v>23</v>
      </c>
      <c r="F421" s="49" t="str">
        <f>+B414</f>
        <v>Ayla</v>
      </c>
      <c r="G421" s="48"/>
      <c r="H421" s="48">
        <f>+H415-H416-H417-H418-H420+H419</f>
        <v>-1</v>
      </c>
      <c r="I421" s="48">
        <f>+I415-I416-I417-I418-I420+I419</f>
        <v>-1</v>
      </c>
      <c r="J421" s="48">
        <f>+J415-J416-J417-J418-J420-J419</f>
        <v>-1</v>
      </c>
      <c r="K421" s="48">
        <f>+K415-K416-K417-K418-K420-K419</f>
        <v>-1</v>
      </c>
      <c r="L421" s="48">
        <f>+L415-L416-L417-L418-L420-L419</f>
        <v>-1</v>
      </c>
      <c r="M421" s="48">
        <f>+M415-M416-M417-M418-M420-M419</f>
        <v>-1</v>
      </c>
      <c r="N421" s="48"/>
      <c r="O421" s="48">
        <f t="shared" si="185"/>
        <v>-6</v>
      </c>
      <c r="Q421" s="266"/>
      <c r="R421" s="266"/>
      <c r="S421" s="252">
        <f t="shared" ref="S421:X421" si="187">SUM(S417:S420)</f>
        <v>58.8</v>
      </c>
      <c r="T421" s="252">
        <f t="shared" si="187"/>
        <v>102.9</v>
      </c>
      <c r="U421" s="252">
        <f t="shared" si="187"/>
        <v>117.6</v>
      </c>
      <c r="V421" s="252">
        <f t="shared" si="187"/>
        <v>117.6</v>
      </c>
      <c r="W421" s="252">
        <f t="shared" si="187"/>
        <v>73.5</v>
      </c>
      <c r="X421" s="252">
        <f t="shared" si="187"/>
        <v>44.1</v>
      </c>
      <c r="Y421" s="252"/>
      <c r="Z421" s="252">
        <f t="shared" si="186"/>
        <v>514.5</v>
      </c>
      <c r="AB421" s="288"/>
      <c r="AC421" s="289"/>
      <c r="AD421" s="289"/>
      <c r="AE421" s="289"/>
      <c r="AF421" s="289"/>
      <c r="AG421" s="289"/>
    </row>
    <row r="422" spans="1:35" ht="15" thickTop="1" thickBot="1">
      <c r="A422" s="358" t="s">
        <v>7</v>
      </c>
      <c r="B422" s="43" t="s">
        <v>8</v>
      </c>
      <c r="C422" s="43"/>
      <c r="D422" s="43"/>
      <c r="E422" s="44" t="s">
        <v>9</v>
      </c>
      <c r="F422" s="45"/>
      <c r="G422" s="45"/>
      <c r="H422" s="44"/>
      <c r="I422" s="44"/>
      <c r="J422" s="44"/>
      <c r="K422" s="44"/>
      <c r="L422" s="44"/>
      <c r="M422" s="44"/>
      <c r="N422" s="44"/>
      <c r="O422" s="44"/>
      <c r="AB422" s="288"/>
      <c r="AC422" s="289"/>
      <c r="AD422" s="289"/>
      <c r="AE422" s="289"/>
      <c r="AF422" s="289"/>
      <c r="AG422" s="289"/>
    </row>
    <row r="423" spans="1:35" ht="15" thickTop="1" thickBot="1">
      <c r="A423" s="359" t="s">
        <v>130</v>
      </c>
      <c r="B423" s="38" t="s">
        <v>36</v>
      </c>
      <c r="C423" s="9" t="s">
        <v>12</v>
      </c>
      <c r="D423" s="9" t="s">
        <v>13</v>
      </c>
      <c r="E423" s="10"/>
      <c r="F423" s="256" t="s">
        <v>14</v>
      </c>
      <c r="G423" s="257">
        <v>34</v>
      </c>
      <c r="H423" s="257">
        <v>36</v>
      </c>
      <c r="I423" s="257">
        <v>38</v>
      </c>
      <c r="J423" s="257">
        <v>40</v>
      </c>
      <c r="K423" s="257">
        <v>42</v>
      </c>
      <c r="L423" s="257">
        <v>44</v>
      </c>
      <c r="M423" s="257">
        <v>46</v>
      </c>
      <c r="N423" s="257"/>
      <c r="O423" s="258" t="s">
        <v>15</v>
      </c>
      <c r="Q423" s="259" t="s">
        <v>14</v>
      </c>
      <c r="R423" s="259"/>
      <c r="S423" s="259">
        <v>36</v>
      </c>
      <c r="T423" s="259">
        <v>38</v>
      </c>
      <c r="U423" s="259">
        <v>40</v>
      </c>
      <c r="V423" s="259">
        <v>42</v>
      </c>
      <c r="W423" s="259">
        <v>44</v>
      </c>
      <c r="X423" s="259">
        <v>46</v>
      </c>
      <c r="Y423" s="259"/>
      <c r="Z423" s="259" t="s">
        <v>15</v>
      </c>
      <c r="AB423" s="288"/>
      <c r="AC423" s="289"/>
      <c r="AD423" s="289"/>
      <c r="AE423" s="289"/>
      <c r="AF423" s="289"/>
      <c r="AG423" s="289"/>
    </row>
    <row r="424" spans="1:35" ht="15" thickTop="1" thickBot="1">
      <c r="A424" s="360" t="str">
        <f t="shared" ref="A424:A430" si="188">+A423</f>
        <v>4225-00</v>
      </c>
      <c r="B424" s="39" t="s">
        <v>16</v>
      </c>
      <c r="C424" s="39"/>
      <c r="D424" s="39" t="str">
        <f>+B423</f>
        <v>B2868-V3</v>
      </c>
      <c r="E424" s="40"/>
      <c r="F424" s="261" t="s">
        <v>1</v>
      </c>
      <c r="G424" s="261"/>
      <c r="H424" s="262">
        <f>'BASE DATOS'!C50</f>
        <v>50</v>
      </c>
      <c r="I424" s="262">
        <f>'BASE DATOS'!D50</f>
        <v>99</v>
      </c>
      <c r="J424" s="262">
        <f>'BASE DATOS'!E50</f>
        <v>103</v>
      </c>
      <c r="K424" s="262">
        <f>'BASE DATOS'!F50</f>
        <v>102</v>
      </c>
      <c r="L424" s="262">
        <f>'BASE DATOS'!G50</f>
        <v>65</v>
      </c>
      <c r="M424" s="262">
        <f>'BASE DATOS'!H50</f>
        <v>57</v>
      </c>
      <c r="N424" s="262"/>
      <c r="O424" s="263">
        <f t="shared" ref="O424:O430" si="189">SUM(H424:N424)</f>
        <v>476</v>
      </c>
      <c r="Q424" s="264"/>
      <c r="R424" s="264"/>
      <c r="S424" s="264"/>
      <c r="T424" s="264"/>
      <c r="U424" s="264"/>
      <c r="V424" s="264"/>
      <c r="W424" s="264"/>
      <c r="X424" s="264"/>
      <c r="Y424" s="264"/>
      <c r="Z424" s="264">
        <f>SUBTOTAL(9,S424:Y424)</f>
        <v>0</v>
      </c>
      <c r="AB424" s="288"/>
      <c r="AC424" s="289"/>
      <c r="AD424" s="289"/>
      <c r="AE424" s="289"/>
      <c r="AF424" s="289"/>
      <c r="AG424" s="289"/>
    </row>
    <row r="425" spans="1:35" ht="15" thickTop="1" thickBot="1">
      <c r="A425" s="360" t="str">
        <f t="shared" si="188"/>
        <v>4225-00</v>
      </c>
      <c r="B425" s="3">
        <v>46006</v>
      </c>
      <c r="C425" s="4" t="s">
        <v>17</v>
      </c>
      <c r="D425" s="4" t="s">
        <v>42</v>
      </c>
      <c r="E425" s="5" t="s">
        <v>3</v>
      </c>
      <c r="F425" s="265">
        <v>11540</v>
      </c>
      <c r="G425" s="2"/>
      <c r="H425" s="7">
        <v>78</v>
      </c>
      <c r="I425" s="7">
        <v>119</v>
      </c>
      <c r="J425" s="7">
        <v>124</v>
      </c>
      <c r="K425" s="7">
        <v>119</v>
      </c>
      <c r="L425" s="7">
        <v>78</v>
      </c>
      <c r="M425" s="7">
        <v>50</v>
      </c>
      <c r="N425" s="8"/>
      <c r="O425" s="14">
        <f t="shared" si="189"/>
        <v>568</v>
      </c>
      <c r="Q425" s="252" t="s">
        <v>19</v>
      </c>
      <c r="R425" s="266"/>
      <c r="S425" s="266"/>
      <c r="T425" s="266"/>
      <c r="U425" s="266"/>
      <c r="V425" s="266"/>
      <c r="W425" s="266"/>
      <c r="X425" s="266"/>
      <c r="Y425" s="267"/>
      <c r="Z425" s="268">
        <f t="shared" ref="Z425:Z430" si="190">SUM(S425:Y425)</f>
        <v>0</v>
      </c>
      <c r="AB425" s="288"/>
      <c r="AC425" s="289"/>
      <c r="AD425" s="289"/>
      <c r="AE425" s="289"/>
      <c r="AF425" s="289"/>
      <c r="AG425" s="289"/>
    </row>
    <row r="426" spans="1:35" ht="15" thickTop="1" thickBot="1">
      <c r="A426" s="360" t="str">
        <f t="shared" si="188"/>
        <v>4225-00</v>
      </c>
      <c r="B426" s="3">
        <v>45980</v>
      </c>
      <c r="C426" s="3"/>
      <c r="D426" s="361" t="s">
        <v>131</v>
      </c>
      <c r="E426" s="5" t="s">
        <v>3</v>
      </c>
      <c r="F426" s="269" t="s">
        <v>132</v>
      </c>
      <c r="G426" s="6"/>
      <c r="H426" s="7">
        <v>10</v>
      </c>
      <c r="I426" s="7">
        <v>22</v>
      </c>
      <c r="J426" s="7">
        <v>52</v>
      </c>
      <c r="K426" s="7">
        <v>45</v>
      </c>
      <c r="L426" s="7">
        <v>36</v>
      </c>
      <c r="M426" s="7">
        <v>12</v>
      </c>
      <c r="N426" s="15"/>
      <c r="O426" s="14">
        <f t="shared" si="189"/>
        <v>177</v>
      </c>
      <c r="Q426" s="252" t="s">
        <v>4</v>
      </c>
      <c r="R426" s="266">
        <f>78/19</f>
        <v>4.1052631578947372</v>
      </c>
      <c r="S426" s="266"/>
      <c r="T426" s="266"/>
      <c r="U426" s="266"/>
      <c r="V426" s="266"/>
      <c r="W426" s="266"/>
      <c r="X426" s="266"/>
      <c r="Y426" s="266"/>
      <c r="Z426" s="266">
        <f t="shared" si="190"/>
        <v>0</v>
      </c>
      <c r="AB426" s="288"/>
      <c r="AC426" s="289"/>
      <c r="AD426" s="289"/>
      <c r="AE426" s="289"/>
      <c r="AF426" s="289"/>
      <c r="AG426" s="289"/>
    </row>
    <row r="427" spans="1:35" ht="15" thickTop="1" thickBot="1">
      <c r="A427" s="360" t="str">
        <f t="shared" si="188"/>
        <v>4225-00</v>
      </c>
      <c r="B427" s="3"/>
      <c r="C427" s="3"/>
      <c r="D427" s="361" t="s">
        <v>72</v>
      </c>
      <c r="E427" s="5" t="s">
        <v>3</v>
      </c>
      <c r="F427" s="269"/>
      <c r="G427" s="6"/>
      <c r="H427" s="15"/>
      <c r="I427" s="15"/>
      <c r="J427" s="15"/>
      <c r="K427" s="15"/>
      <c r="L427" s="15"/>
      <c r="M427" s="15"/>
      <c r="N427" s="15"/>
      <c r="O427" s="16">
        <f t="shared" si="189"/>
        <v>0</v>
      </c>
      <c r="Q427" s="252" t="s">
        <v>6</v>
      </c>
      <c r="R427" s="266">
        <f>25/11</f>
        <v>2.2727272727272729</v>
      </c>
      <c r="S427" s="266"/>
      <c r="T427" s="266"/>
      <c r="U427" s="266"/>
      <c r="V427" s="266"/>
      <c r="W427" s="266"/>
      <c r="X427" s="266"/>
      <c r="Y427" s="266"/>
      <c r="Z427" s="266">
        <f t="shared" si="190"/>
        <v>0</v>
      </c>
      <c r="AB427" s="288"/>
      <c r="AC427" s="289"/>
      <c r="AD427" s="289"/>
      <c r="AE427" s="289"/>
      <c r="AF427" s="289"/>
      <c r="AG427" s="289"/>
    </row>
    <row r="428" spans="1:35" ht="15" thickTop="1" thickBot="1">
      <c r="A428" s="360" t="str">
        <f t="shared" si="188"/>
        <v>4225-00</v>
      </c>
      <c r="B428" s="3"/>
      <c r="C428" s="3"/>
      <c r="D428" s="3"/>
      <c r="E428" s="5" t="s">
        <v>3</v>
      </c>
      <c r="F428" s="269"/>
      <c r="G428" s="6"/>
      <c r="H428" s="8"/>
      <c r="I428" s="8"/>
      <c r="J428" s="8"/>
      <c r="K428" s="8"/>
      <c r="L428" s="8"/>
      <c r="M428" s="8"/>
      <c r="N428" s="15"/>
      <c r="O428" s="16">
        <f t="shared" si="189"/>
        <v>0</v>
      </c>
      <c r="Q428" s="266"/>
      <c r="R428" s="266"/>
      <c r="S428" s="266"/>
      <c r="T428" s="266"/>
      <c r="U428" s="266"/>
      <c r="V428" s="266"/>
      <c r="W428" s="266"/>
      <c r="X428" s="266"/>
      <c r="Y428" s="266"/>
      <c r="Z428" s="266">
        <f t="shared" si="190"/>
        <v>0</v>
      </c>
      <c r="AB428" s="288"/>
      <c r="AC428" s="289"/>
      <c r="AD428" s="289"/>
      <c r="AF428" s="289"/>
      <c r="AG428" s="289"/>
      <c r="AH428" s="289"/>
      <c r="AI428" s="250"/>
    </row>
    <row r="429" spans="1:35" ht="15" thickTop="1" thickBot="1">
      <c r="A429" s="362" t="str">
        <f t="shared" si="188"/>
        <v>4225-00</v>
      </c>
      <c r="B429" s="19"/>
      <c r="C429" s="19"/>
      <c r="D429" s="19"/>
      <c r="E429" s="20" t="s">
        <v>3</v>
      </c>
      <c r="F429" s="271"/>
      <c r="G429" s="21"/>
      <c r="H429" s="22"/>
      <c r="I429" s="22"/>
      <c r="J429" s="22"/>
      <c r="K429" s="22"/>
      <c r="L429" s="22"/>
      <c r="M429" s="22"/>
      <c r="N429" s="22"/>
      <c r="O429" s="23">
        <f t="shared" si="189"/>
        <v>0</v>
      </c>
      <c r="Q429" s="252" t="s">
        <v>2</v>
      </c>
      <c r="R429" s="272">
        <f>500/10.2</f>
        <v>49.019607843137258</v>
      </c>
      <c r="S429" s="252">
        <f>49*1.2</f>
        <v>58.8</v>
      </c>
      <c r="T429" s="252">
        <f>49*2.1</f>
        <v>102.9</v>
      </c>
      <c r="U429" s="252">
        <f>49*2.4</f>
        <v>117.6</v>
      </c>
      <c r="V429" s="252">
        <f>49*2.4</f>
        <v>117.6</v>
      </c>
      <c r="W429" s="252">
        <f>49*1.5</f>
        <v>73.5</v>
      </c>
      <c r="X429" s="252">
        <f>49*0.9</f>
        <v>44.1</v>
      </c>
      <c r="Y429" s="266"/>
      <c r="Z429" s="266">
        <f t="shared" si="190"/>
        <v>514.5</v>
      </c>
      <c r="AB429" s="288"/>
      <c r="AC429" s="289"/>
      <c r="AD429" s="289"/>
      <c r="AF429" s="289"/>
      <c r="AG429" s="289"/>
      <c r="AH429" s="289"/>
      <c r="AI429" s="250"/>
    </row>
    <row r="430" spans="1:35" ht="15" thickTop="1" thickBot="1">
      <c r="A430" s="363" t="str">
        <f t="shared" si="188"/>
        <v>4225-00</v>
      </c>
      <c r="B430" s="47"/>
      <c r="C430" s="47"/>
      <c r="D430" s="47"/>
      <c r="E430" s="48" t="s">
        <v>23</v>
      </c>
      <c r="F430" s="49" t="str">
        <f>+B423</f>
        <v>B2868-V3</v>
      </c>
      <c r="G430" s="48"/>
      <c r="H430" s="48">
        <f>+H424-H425-H426-H427-H429+H428</f>
        <v>-38</v>
      </c>
      <c r="I430" s="48">
        <f>+I424-I425-I426-I427-I429+I428</f>
        <v>-42</v>
      </c>
      <c r="J430" s="48">
        <f>+J424-J425-J426-J427-J429-J428</f>
        <v>-73</v>
      </c>
      <c r="K430" s="48">
        <f>+K424-K425-K426-K427-K429-K428</f>
        <v>-62</v>
      </c>
      <c r="L430" s="48">
        <f>+L424-L425-L426-L427-L429-L428</f>
        <v>-49</v>
      </c>
      <c r="M430" s="48">
        <f>+M424-M425-M426-M427-M429-M428</f>
        <v>-5</v>
      </c>
      <c r="N430" s="48"/>
      <c r="O430" s="48">
        <f t="shared" si="189"/>
        <v>-269</v>
      </c>
      <c r="Q430" s="266"/>
      <c r="R430" s="266"/>
      <c r="S430" s="252">
        <f t="shared" ref="S430:X430" si="191">SUM(S426:S429)</f>
        <v>58.8</v>
      </c>
      <c r="T430" s="252">
        <f t="shared" si="191"/>
        <v>102.9</v>
      </c>
      <c r="U430" s="252">
        <f t="shared" si="191"/>
        <v>117.6</v>
      </c>
      <c r="V430" s="252">
        <f t="shared" si="191"/>
        <v>117.6</v>
      </c>
      <c r="W430" s="252">
        <f t="shared" si="191"/>
        <v>73.5</v>
      </c>
      <c r="X430" s="252">
        <f t="shared" si="191"/>
        <v>44.1</v>
      </c>
      <c r="Y430" s="252"/>
      <c r="Z430" s="252">
        <f t="shared" si="190"/>
        <v>514.5</v>
      </c>
      <c r="AB430" s="288"/>
      <c r="AC430" s="289"/>
      <c r="AD430" s="289"/>
      <c r="AF430" s="289"/>
      <c r="AG430" s="289"/>
      <c r="AH430" s="289"/>
      <c r="AI430" s="250"/>
    </row>
    <row r="431" spans="1:35" ht="15" thickTop="1" thickBot="1">
      <c r="A431" s="358" t="s">
        <v>7</v>
      </c>
      <c r="B431" s="43" t="s">
        <v>8</v>
      </c>
      <c r="C431" s="43"/>
      <c r="D431" s="43"/>
      <c r="E431" s="44" t="s">
        <v>9</v>
      </c>
      <c r="F431" s="45"/>
      <c r="G431" s="45"/>
      <c r="H431" s="44"/>
      <c r="I431" s="44"/>
      <c r="J431" s="44"/>
      <c r="K431" s="44"/>
      <c r="L431" s="44"/>
      <c r="M431" s="44"/>
      <c r="N431" s="44"/>
      <c r="O431" s="44"/>
      <c r="AB431" s="288"/>
      <c r="AC431" s="289"/>
      <c r="AD431" s="289"/>
      <c r="AF431" s="289"/>
      <c r="AG431" s="289"/>
      <c r="AH431" s="289"/>
      <c r="AI431" s="250"/>
    </row>
    <row r="432" spans="1:35" ht="15" thickTop="1" thickBot="1">
      <c r="A432" s="359" t="s">
        <v>133</v>
      </c>
      <c r="B432" s="38" t="s">
        <v>36</v>
      </c>
      <c r="C432" s="9" t="s">
        <v>12</v>
      </c>
      <c r="D432" s="9" t="s">
        <v>13</v>
      </c>
      <c r="E432" s="10"/>
      <c r="F432" s="256" t="s">
        <v>14</v>
      </c>
      <c r="G432" s="257">
        <v>34</v>
      </c>
      <c r="H432" s="257">
        <v>36</v>
      </c>
      <c r="I432" s="257">
        <v>38</v>
      </c>
      <c r="J432" s="257">
        <v>40</v>
      </c>
      <c r="K432" s="257">
        <v>42</v>
      </c>
      <c r="L432" s="257">
        <v>44</v>
      </c>
      <c r="M432" s="257">
        <v>46</v>
      </c>
      <c r="N432" s="257"/>
      <c r="O432" s="258" t="s">
        <v>15</v>
      </c>
      <c r="Q432" s="259" t="s">
        <v>14</v>
      </c>
      <c r="R432" s="259"/>
      <c r="S432" s="259">
        <v>36</v>
      </c>
      <c r="T432" s="259">
        <v>38</v>
      </c>
      <c r="U432" s="259">
        <v>40</v>
      </c>
      <c r="V432" s="259">
        <v>42</v>
      </c>
      <c r="W432" s="259">
        <v>44</v>
      </c>
      <c r="X432" s="259">
        <v>46</v>
      </c>
      <c r="Y432" s="259"/>
      <c r="Z432" s="259" t="s">
        <v>15</v>
      </c>
      <c r="AB432" s="288"/>
      <c r="AC432" s="289"/>
      <c r="AD432" s="289"/>
      <c r="AF432" s="289"/>
      <c r="AG432" s="289"/>
      <c r="AH432" s="289"/>
      <c r="AI432" s="250"/>
    </row>
    <row r="433" spans="1:37" ht="15" thickTop="1" thickBot="1">
      <c r="A433" s="360" t="str">
        <f t="shared" ref="A433:A439" si="192">+A432</f>
        <v>4225-01</v>
      </c>
      <c r="B433" s="39" t="s">
        <v>16</v>
      </c>
      <c r="C433" s="39"/>
      <c r="D433" s="39" t="str">
        <f>+B432</f>
        <v>B2868-V3</v>
      </c>
      <c r="E433" s="40"/>
      <c r="F433" s="261" t="s">
        <v>1</v>
      </c>
      <c r="G433" s="261"/>
      <c r="H433" s="262">
        <f>'BASE DATOS'!C51</f>
        <v>0</v>
      </c>
      <c r="I433" s="262">
        <f>'BASE DATOS'!D51</f>
        <v>4</v>
      </c>
      <c r="J433" s="262">
        <f>'BASE DATOS'!E51</f>
        <v>8</v>
      </c>
      <c r="K433" s="262">
        <f>'BASE DATOS'!F51</f>
        <v>8</v>
      </c>
      <c r="L433" s="262">
        <f>'BASE DATOS'!G51</f>
        <v>7</v>
      </c>
      <c r="M433" s="262">
        <f>'BASE DATOS'!H51</f>
        <v>5</v>
      </c>
      <c r="N433" s="262"/>
      <c r="O433" s="263">
        <f t="shared" ref="O433:O439" si="193">SUM(H433:N433)</f>
        <v>32</v>
      </c>
      <c r="Q433" s="264"/>
      <c r="R433" s="264"/>
      <c r="S433" s="264"/>
      <c r="T433" s="264"/>
      <c r="U433" s="264"/>
      <c r="V433" s="264"/>
      <c r="W433" s="264"/>
      <c r="X433" s="264"/>
      <c r="Y433" s="264"/>
      <c r="Z433" s="264">
        <f>SUBTOTAL(9,S433:Y433)</f>
        <v>0</v>
      </c>
      <c r="AB433" s="288"/>
      <c r="AC433" s="289"/>
      <c r="AD433" s="289"/>
      <c r="AF433" s="289"/>
      <c r="AG433" s="289"/>
      <c r="AH433" s="289"/>
      <c r="AI433" s="250"/>
    </row>
    <row r="434" spans="1:37" ht="15" thickTop="1" thickBot="1">
      <c r="A434" s="360" t="str">
        <f t="shared" si="192"/>
        <v>4225-01</v>
      </c>
      <c r="B434" s="3">
        <v>46006</v>
      </c>
      <c r="C434" s="4" t="s">
        <v>17</v>
      </c>
      <c r="D434" s="4" t="s">
        <v>42</v>
      </c>
      <c r="E434" s="5" t="s">
        <v>3</v>
      </c>
      <c r="F434" s="265"/>
      <c r="G434" s="2"/>
      <c r="H434" s="7"/>
      <c r="I434" s="7"/>
      <c r="J434" s="7"/>
      <c r="K434" s="7"/>
      <c r="L434" s="7"/>
      <c r="M434" s="7"/>
      <c r="N434" s="8"/>
      <c r="O434" s="14">
        <f t="shared" si="193"/>
        <v>0</v>
      </c>
      <c r="Q434" s="252" t="s">
        <v>19</v>
      </c>
      <c r="R434" s="266"/>
      <c r="S434" s="266"/>
      <c r="T434" s="266"/>
      <c r="U434" s="266"/>
      <c r="V434" s="266"/>
      <c r="W434" s="266"/>
      <c r="X434" s="266"/>
      <c r="Y434" s="267"/>
      <c r="Z434" s="268">
        <f t="shared" ref="Z434:Z439" si="194">SUM(S434:Y434)</f>
        <v>0</v>
      </c>
      <c r="AB434" s="288"/>
      <c r="AC434" s="289"/>
      <c r="AD434" s="289"/>
      <c r="AF434" s="289"/>
      <c r="AG434" s="289"/>
      <c r="AH434" s="289"/>
      <c r="AI434" s="250"/>
    </row>
    <row r="435" spans="1:37" ht="15" thickTop="1" thickBot="1">
      <c r="A435" s="360" t="str">
        <f t="shared" si="192"/>
        <v>4225-01</v>
      </c>
      <c r="B435" s="3">
        <v>45980</v>
      </c>
      <c r="C435" s="3"/>
      <c r="D435" s="361" t="s">
        <v>131</v>
      </c>
      <c r="E435" s="5" t="s">
        <v>3</v>
      </c>
      <c r="F435" s="269"/>
      <c r="G435" s="6"/>
      <c r="H435" s="7"/>
      <c r="I435" s="7"/>
      <c r="J435" s="7"/>
      <c r="K435" s="7"/>
      <c r="L435" s="7"/>
      <c r="M435" s="7"/>
      <c r="N435" s="15"/>
      <c r="O435" s="14">
        <f t="shared" si="193"/>
        <v>0</v>
      </c>
      <c r="Q435" s="252" t="s">
        <v>4</v>
      </c>
      <c r="R435" s="266">
        <f>78/19</f>
        <v>4.1052631578947372</v>
      </c>
      <c r="S435" s="266"/>
      <c r="T435" s="266"/>
      <c r="U435" s="266"/>
      <c r="V435" s="266"/>
      <c r="W435" s="266"/>
      <c r="X435" s="266"/>
      <c r="Y435" s="266"/>
      <c r="Z435" s="266">
        <f t="shared" si="194"/>
        <v>0</v>
      </c>
      <c r="AB435" s="288"/>
      <c r="AC435" s="289"/>
      <c r="AD435" s="289"/>
      <c r="AE435" s="289"/>
      <c r="AF435" s="289"/>
      <c r="AG435" s="289"/>
    </row>
    <row r="436" spans="1:37" ht="15" thickTop="1" thickBot="1">
      <c r="A436" s="360" t="str">
        <f t="shared" si="192"/>
        <v>4225-01</v>
      </c>
      <c r="B436" s="3"/>
      <c r="C436" s="3"/>
      <c r="D436" s="361" t="s">
        <v>134</v>
      </c>
      <c r="E436" s="5" t="s">
        <v>3</v>
      </c>
      <c r="F436" s="269"/>
      <c r="G436" s="6"/>
      <c r="H436" s="15"/>
      <c r="I436" s="15"/>
      <c r="J436" s="15"/>
      <c r="K436" s="15"/>
      <c r="L436" s="15"/>
      <c r="M436" s="15"/>
      <c r="N436" s="15"/>
      <c r="O436" s="16">
        <f t="shared" si="193"/>
        <v>0</v>
      </c>
      <c r="Q436" s="252" t="s">
        <v>6</v>
      </c>
      <c r="R436" s="266">
        <f>25/11</f>
        <v>2.2727272727272729</v>
      </c>
      <c r="S436" s="266"/>
      <c r="T436" s="266"/>
      <c r="U436" s="266"/>
      <c r="V436" s="266"/>
      <c r="W436" s="266"/>
      <c r="X436" s="266"/>
      <c r="Y436" s="266"/>
      <c r="Z436" s="266">
        <f t="shared" si="194"/>
        <v>0</v>
      </c>
      <c r="AB436" s="288"/>
      <c r="AC436" s="289"/>
      <c r="AD436" s="289"/>
      <c r="AE436" s="289"/>
      <c r="AF436" s="289"/>
      <c r="AG436" s="289"/>
    </row>
    <row r="437" spans="1:37" ht="15" thickTop="1" thickBot="1">
      <c r="A437" s="360" t="str">
        <f t="shared" si="192"/>
        <v>4225-01</v>
      </c>
      <c r="B437" s="3"/>
      <c r="C437" s="3"/>
      <c r="D437" s="3"/>
      <c r="E437" s="5" t="s">
        <v>3</v>
      </c>
      <c r="F437" s="269"/>
      <c r="G437" s="6"/>
      <c r="H437" s="8"/>
      <c r="I437" s="8"/>
      <c r="J437" s="8"/>
      <c r="K437" s="8"/>
      <c r="L437" s="8"/>
      <c r="M437" s="8"/>
      <c r="N437" s="15"/>
      <c r="O437" s="16">
        <f t="shared" si="193"/>
        <v>0</v>
      </c>
      <c r="Q437" s="266"/>
      <c r="R437" s="266"/>
      <c r="S437" s="266"/>
      <c r="T437" s="266"/>
      <c r="U437" s="266"/>
      <c r="V437" s="266"/>
      <c r="W437" s="266"/>
      <c r="X437" s="266"/>
      <c r="Y437" s="266"/>
      <c r="Z437" s="266">
        <f t="shared" si="194"/>
        <v>0</v>
      </c>
      <c r="AB437" s="288"/>
      <c r="AC437" s="289"/>
      <c r="AD437" s="289"/>
      <c r="AE437" s="289"/>
      <c r="AF437" s="289"/>
      <c r="AG437" s="289"/>
    </row>
    <row r="438" spans="1:37" ht="15" thickTop="1" thickBot="1">
      <c r="A438" s="362" t="str">
        <f t="shared" si="192"/>
        <v>4225-01</v>
      </c>
      <c r="B438" s="19"/>
      <c r="C438" s="19"/>
      <c r="D438" s="19"/>
      <c r="E438" s="20" t="s">
        <v>3</v>
      </c>
      <c r="F438" s="271"/>
      <c r="G438" s="21"/>
      <c r="H438" s="22"/>
      <c r="I438" s="22"/>
      <c r="J438" s="22"/>
      <c r="K438" s="22"/>
      <c r="L438" s="22"/>
      <c r="M438" s="22"/>
      <c r="N438" s="22"/>
      <c r="O438" s="23">
        <f t="shared" si="193"/>
        <v>0</v>
      </c>
      <c r="Q438" s="252" t="s">
        <v>2</v>
      </c>
      <c r="R438" s="272">
        <f>500/10.2</f>
        <v>49.019607843137258</v>
      </c>
      <c r="S438" s="252">
        <f>49*1.2</f>
        <v>58.8</v>
      </c>
      <c r="T438" s="252">
        <f>49*2.1</f>
        <v>102.9</v>
      </c>
      <c r="U438" s="252">
        <f>49*2.4</f>
        <v>117.6</v>
      </c>
      <c r="V438" s="252">
        <f>49*2.4</f>
        <v>117.6</v>
      </c>
      <c r="W438" s="252">
        <f>49*1.5</f>
        <v>73.5</v>
      </c>
      <c r="X438" s="252">
        <f>49*0.9</f>
        <v>44.1</v>
      </c>
      <c r="Y438" s="266"/>
      <c r="Z438" s="266">
        <f t="shared" si="194"/>
        <v>514.5</v>
      </c>
      <c r="AB438" s="288"/>
      <c r="AC438" s="289"/>
      <c r="AD438" s="289"/>
      <c r="AE438" s="289"/>
      <c r="AF438" s="289"/>
      <c r="AG438" s="289"/>
    </row>
    <row r="439" spans="1:37" ht="15" thickTop="1" thickBot="1">
      <c r="A439" s="363" t="str">
        <f t="shared" si="192"/>
        <v>4225-01</v>
      </c>
      <c r="B439" s="47"/>
      <c r="C439" s="47"/>
      <c r="D439" s="47"/>
      <c r="E439" s="48" t="s">
        <v>23</v>
      </c>
      <c r="F439" s="49" t="str">
        <f>+B432</f>
        <v>B2868-V3</v>
      </c>
      <c r="G439" s="48"/>
      <c r="H439" s="48">
        <f>+H433-H434-H435-H436-H438+H437</f>
        <v>0</v>
      </c>
      <c r="I439" s="48">
        <f>+I433-I434-I435-I436-I438+I437</f>
        <v>4</v>
      </c>
      <c r="J439" s="48">
        <f>+J433-J434-J435-J436-J438-J437</f>
        <v>8</v>
      </c>
      <c r="K439" s="48">
        <f>+K433-K434-K435-K436-K438-K437</f>
        <v>8</v>
      </c>
      <c r="L439" s="48">
        <f>+L433-L434-L435-L436-L438-L437</f>
        <v>7</v>
      </c>
      <c r="M439" s="48">
        <f>+M433-M434-M435-M436-M438-M437</f>
        <v>5</v>
      </c>
      <c r="N439" s="48"/>
      <c r="O439" s="48">
        <f t="shared" si="193"/>
        <v>32</v>
      </c>
      <c r="Q439" s="266"/>
      <c r="R439" s="266"/>
      <c r="S439" s="252">
        <f t="shared" ref="S439:X439" si="195">SUM(S435:S438)</f>
        <v>58.8</v>
      </c>
      <c r="T439" s="252">
        <f t="shared" si="195"/>
        <v>102.9</v>
      </c>
      <c r="U439" s="252">
        <f t="shared" si="195"/>
        <v>117.6</v>
      </c>
      <c r="V439" s="252">
        <f t="shared" si="195"/>
        <v>117.6</v>
      </c>
      <c r="W439" s="252">
        <f t="shared" si="195"/>
        <v>73.5</v>
      </c>
      <c r="X439" s="252">
        <f t="shared" si="195"/>
        <v>44.1</v>
      </c>
      <c r="Y439" s="252"/>
      <c r="Z439" s="252">
        <f t="shared" si="194"/>
        <v>514.5</v>
      </c>
      <c r="AB439" s="288"/>
      <c r="AC439" s="289"/>
      <c r="AD439" s="289"/>
      <c r="AE439" s="289"/>
      <c r="AF439" s="289"/>
      <c r="AG439" s="289"/>
    </row>
    <row r="440" spans="1:37" ht="15" thickTop="1" thickBot="1">
      <c r="A440" s="364" t="s">
        <v>7</v>
      </c>
      <c r="B440" s="43" t="s">
        <v>8</v>
      </c>
      <c r="C440" s="43"/>
      <c r="D440" s="43"/>
      <c r="E440" s="44" t="s">
        <v>9</v>
      </c>
      <c r="F440" s="45"/>
      <c r="G440" s="45"/>
      <c r="H440" s="44"/>
      <c r="I440" s="44"/>
      <c r="J440" s="44"/>
      <c r="K440" s="44"/>
      <c r="L440" s="44"/>
      <c r="M440" s="44"/>
      <c r="N440" s="44"/>
      <c r="O440" s="44"/>
      <c r="AB440" s="288"/>
      <c r="AC440" s="275" t="s">
        <v>3</v>
      </c>
      <c r="AD440" s="276">
        <v>46093</v>
      </c>
      <c r="AE440" s="275">
        <v>36</v>
      </c>
      <c r="AF440" s="275">
        <v>38</v>
      </c>
      <c r="AG440" s="275">
        <v>40</v>
      </c>
      <c r="AH440" s="275">
        <v>42</v>
      </c>
      <c r="AI440" s="277">
        <v>44</v>
      </c>
      <c r="AJ440" s="277">
        <v>46</v>
      </c>
      <c r="AK440" s="277" t="s">
        <v>28</v>
      </c>
    </row>
    <row r="441" spans="1:37" ht="15" thickTop="1" thickBot="1">
      <c r="A441" s="365" t="s">
        <v>135</v>
      </c>
      <c r="B441" s="38" t="s">
        <v>11</v>
      </c>
      <c r="C441" s="9" t="s">
        <v>12</v>
      </c>
      <c r="D441" s="9" t="s">
        <v>37</v>
      </c>
      <c r="E441" s="10"/>
      <c r="F441" s="256" t="s">
        <v>14</v>
      </c>
      <c r="G441" s="257">
        <v>34</v>
      </c>
      <c r="H441" s="257">
        <v>36</v>
      </c>
      <c r="I441" s="257">
        <v>38</v>
      </c>
      <c r="J441" s="257">
        <v>40</v>
      </c>
      <c r="K441" s="257">
        <v>42</v>
      </c>
      <c r="L441" s="257">
        <v>44</v>
      </c>
      <c r="M441" s="257">
        <v>46</v>
      </c>
      <c r="N441" s="257"/>
      <c r="O441" s="258" t="s">
        <v>15</v>
      </c>
      <c r="Q441" s="259" t="s">
        <v>14</v>
      </c>
      <c r="R441" s="259"/>
      <c r="S441" s="259">
        <v>36</v>
      </c>
      <c r="T441" s="259">
        <v>38</v>
      </c>
      <c r="U441" s="259">
        <v>40</v>
      </c>
      <c r="V441" s="259">
        <v>42</v>
      </c>
      <c r="W441" s="259">
        <v>44</v>
      </c>
      <c r="X441" s="259">
        <v>46</v>
      </c>
      <c r="Y441" s="259"/>
      <c r="Z441" s="259" t="s">
        <v>15</v>
      </c>
      <c r="AB441" s="288"/>
      <c r="AC441" s="279" t="s">
        <v>29</v>
      </c>
      <c r="AD441" s="275">
        <v>11570</v>
      </c>
      <c r="AE441" s="279">
        <v>8</v>
      </c>
      <c r="AF441" s="279">
        <v>70</v>
      </c>
      <c r="AG441" s="279">
        <v>80</v>
      </c>
      <c r="AH441" s="279">
        <v>70</v>
      </c>
      <c r="AI441" s="279">
        <v>42</v>
      </c>
      <c r="AJ441" s="279">
        <v>30</v>
      </c>
      <c r="AK441" s="279">
        <f>SUM(AE441:AJ441)</f>
        <v>300</v>
      </c>
    </row>
    <row r="442" spans="1:37" ht="15" thickTop="1" thickBot="1">
      <c r="A442" s="366" t="str">
        <f t="shared" ref="A442:A448" si="196">+A441</f>
        <v>4226-00</v>
      </c>
      <c r="B442" s="39" t="s">
        <v>16</v>
      </c>
      <c r="C442" s="39"/>
      <c r="D442" s="39" t="str">
        <f>+B441</f>
        <v>Ibiza Blue</v>
      </c>
      <c r="E442" s="40"/>
      <c r="F442" s="261" t="s">
        <v>1</v>
      </c>
      <c r="G442" s="261"/>
      <c r="H442" s="262">
        <f>'BASE DATOS'!C52</f>
        <v>51</v>
      </c>
      <c r="I442" s="262">
        <f>'BASE DATOS'!D52</f>
        <v>113</v>
      </c>
      <c r="J442" s="262">
        <f>'BASE DATOS'!E52</f>
        <v>127</v>
      </c>
      <c r="K442" s="262">
        <f>'BASE DATOS'!F52</f>
        <v>120</v>
      </c>
      <c r="L442" s="262">
        <f>'BASE DATOS'!G52</f>
        <v>81</v>
      </c>
      <c r="M442" s="262">
        <f>'BASE DATOS'!H52</f>
        <v>59</v>
      </c>
      <c r="N442" s="262"/>
      <c r="O442" s="263">
        <f t="shared" ref="O442:O448" si="197">SUM(H442:N442)</f>
        <v>551</v>
      </c>
      <c r="Q442" s="264"/>
      <c r="R442" s="264"/>
      <c r="S442" s="264"/>
      <c r="T442" s="264"/>
      <c r="U442" s="264"/>
      <c r="V442" s="264"/>
      <c r="W442" s="264"/>
      <c r="X442" s="264"/>
      <c r="Y442" s="264"/>
      <c r="Z442" s="264">
        <f>SUBTOTAL(9,S442:Y442)</f>
        <v>0</v>
      </c>
      <c r="AB442" s="288"/>
      <c r="AC442" s="281" t="s">
        <v>30</v>
      </c>
      <c r="AD442" s="282">
        <v>4226</v>
      </c>
    </row>
    <row r="443" spans="1:37" ht="15" thickTop="1" thickBot="1">
      <c r="A443" s="366" t="str">
        <f t="shared" si="196"/>
        <v>4226-00</v>
      </c>
      <c r="B443" s="3">
        <v>46006</v>
      </c>
      <c r="C443" s="4" t="s">
        <v>17</v>
      </c>
      <c r="D443" s="4" t="s">
        <v>18</v>
      </c>
      <c r="E443" s="5" t="s">
        <v>3</v>
      </c>
      <c r="F443" s="265">
        <v>11540</v>
      </c>
      <c r="G443" s="2"/>
      <c r="H443" s="7">
        <f>78-H452</f>
        <v>49</v>
      </c>
      <c r="I443" s="7">
        <f>100-I452</f>
        <v>73</v>
      </c>
      <c r="J443" s="7">
        <f>100-J452</f>
        <v>68</v>
      </c>
      <c r="K443" s="7">
        <f>100-K452</f>
        <v>73</v>
      </c>
      <c r="L443" s="7">
        <f>78-L452</f>
        <v>66</v>
      </c>
      <c r="M443" s="7">
        <f>50-M452</f>
        <v>40</v>
      </c>
      <c r="N443" s="8"/>
      <c r="O443" s="14">
        <f t="shared" si="197"/>
        <v>369</v>
      </c>
      <c r="Q443" s="252" t="s">
        <v>19</v>
      </c>
      <c r="R443" s="266"/>
      <c r="S443" s="266"/>
      <c r="T443" s="266"/>
      <c r="U443" s="266"/>
      <c r="V443" s="266"/>
      <c r="W443" s="266"/>
      <c r="X443" s="266"/>
      <c r="Y443" s="267"/>
      <c r="Z443" s="268">
        <f t="shared" ref="Z443:Z448" si="198">SUM(S443:Y443)</f>
        <v>0</v>
      </c>
      <c r="AB443" s="288"/>
      <c r="AC443" s="279" t="s">
        <v>32</v>
      </c>
      <c r="AD443" s="275" t="s">
        <v>11</v>
      </c>
      <c r="AE443" s="644" t="s">
        <v>136</v>
      </c>
      <c r="AF443" s="645"/>
      <c r="AG443" s="645"/>
      <c r="AH443" s="645"/>
      <c r="AI443" s="645"/>
      <c r="AJ443" s="645"/>
      <c r="AK443" s="645"/>
    </row>
    <row r="444" spans="1:37" ht="15" thickTop="1" thickBot="1">
      <c r="A444" s="366" t="str">
        <f t="shared" si="196"/>
        <v>4226-00</v>
      </c>
      <c r="B444" s="3">
        <v>46093</v>
      </c>
      <c r="C444" s="3"/>
      <c r="D444" s="52" t="s">
        <v>137</v>
      </c>
      <c r="E444" s="5" t="s">
        <v>3</v>
      </c>
      <c r="F444" s="269" t="s">
        <v>138</v>
      </c>
      <c r="G444" s="6"/>
      <c r="H444" s="7">
        <f>8-H453</f>
        <v>5</v>
      </c>
      <c r="I444" s="7">
        <f>57-I453</f>
        <v>40</v>
      </c>
      <c r="J444" s="7">
        <f>66-J453</f>
        <v>57</v>
      </c>
      <c r="K444" s="7">
        <f>57-K453</f>
        <v>45</v>
      </c>
      <c r="L444" s="7">
        <f>37-L453</f>
        <v>14</v>
      </c>
      <c r="M444" s="7">
        <f>24-M453</f>
        <v>19</v>
      </c>
      <c r="N444" s="15"/>
      <c r="O444" s="14">
        <f t="shared" si="197"/>
        <v>180</v>
      </c>
      <c r="Q444" s="252" t="s">
        <v>4</v>
      </c>
      <c r="R444" s="266">
        <f>78/19</f>
        <v>4.1052631578947372</v>
      </c>
      <c r="S444" s="266"/>
      <c r="T444" s="266"/>
      <c r="U444" s="266"/>
      <c r="V444" s="266"/>
      <c r="W444" s="266"/>
      <c r="X444" s="266"/>
      <c r="Y444" s="266"/>
      <c r="Z444" s="266">
        <f t="shared" si="198"/>
        <v>0</v>
      </c>
      <c r="AB444" s="288"/>
      <c r="AC444" s="279" t="s">
        <v>12</v>
      </c>
      <c r="AD444" s="275" t="s">
        <v>37</v>
      </c>
      <c r="AE444" s="644"/>
      <c r="AF444" s="645"/>
      <c r="AG444" s="645"/>
      <c r="AH444" s="645"/>
      <c r="AI444" s="645"/>
      <c r="AJ444" s="645"/>
      <c r="AK444" s="645"/>
    </row>
    <row r="445" spans="1:37" ht="15" thickTop="1" thickBot="1">
      <c r="A445" s="366" t="str">
        <f t="shared" si="196"/>
        <v>4226-00</v>
      </c>
      <c r="B445" s="3"/>
      <c r="C445" s="3"/>
      <c r="D445" s="3"/>
      <c r="E445" s="5" t="s">
        <v>3</v>
      </c>
      <c r="F445" s="269"/>
      <c r="G445" s="6"/>
      <c r="H445" s="15"/>
      <c r="I445" s="15"/>
      <c r="J445" s="15"/>
      <c r="K445" s="15"/>
      <c r="L445" s="15"/>
      <c r="M445" s="15"/>
      <c r="N445" s="15"/>
      <c r="O445" s="16">
        <f t="shared" si="197"/>
        <v>0</v>
      </c>
      <c r="Q445" s="252" t="s">
        <v>6</v>
      </c>
      <c r="R445" s="266">
        <f>25/11</f>
        <v>2.2727272727272729</v>
      </c>
      <c r="S445" s="266"/>
      <c r="T445" s="266"/>
      <c r="U445" s="266"/>
      <c r="V445" s="266"/>
      <c r="W445" s="266"/>
      <c r="X445" s="266"/>
      <c r="Y445" s="266"/>
      <c r="Z445" s="266">
        <f t="shared" si="198"/>
        <v>0</v>
      </c>
      <c r="AB445" s="288"/>
      <c r="AC445" s="279" t="s">
        <v>17</v>
      </c>
      <c r="AD445" s="275" t="s">
        <v>18</v>
      </c>
      <c r="AE445" s="644"/>
      <c r="AF445" s="645"/>
      <c r="AG445" s="645"/>
      <c r="AH445" s="645"/>
      <c r="AI445" s="645"/>
      <c r="AJ445" s="645"/>
      <c r="AK445" s="645"/>
    </row>
    <row r="446" spans="1:37" ht="15" thickTop="1" thickBot="1">
      <c r="A446" s="366" t="str">
        <f t="shared" si="196"/>
        <v>4226-00</v>
      </c>
      <c r="B446" s="3"/>
      <c r="C446" s="3"/>
      <c r="D446" s="3"/>
      <c r="E446" s="5" t="s">
        <v>3</v>
      </c>
      <c r="F446" s="269"/>
      <c r="G446" s="6"/>
      <c r="H446" s="8"/>
      <c r="I446" s="8"/>
      <c r="J446" s="8"/>
      <c r="K446" s="8"/>
      <c r="L446" s="8"/>
      <c r="M446" s="8"/>
      <c r="N446" s="15"/>
      <c r="O446" s="16">
        <f t="shared" si="197"/>
        <v>0</v>
      </c>
      <c r="Q446" s="266"/>
      <c r="R446" s="266"/>
      <c r="S446" s="266"/>
      <c r="T446" s="266"/>
      <c r="U446" s="266"/>
      <c r="V446" s="266"/>
      <c r="W446" s="266"/>
      <c r="X446" s="266"/>
      <c r="Y446" s="266"/>
      <c r="Z446" s="266">
        <f t="shared" si="198"/>
        <v>0</v>
      </c>
      <c r="AB446" s="288"/>
      <c r="AC446" s="289"/>
      <c r="AD446" s="289"/>
      <c r="AE446" s="289"/>
      <c r="AF446" s="289"/>
      <c r="AG446" s="289"/>
    </row>
    <row r="447" spans="1:37" ht="15" thickTop="1" thickBot="1">
      <c r="A447" s="367" t="str">
        <f t="shared" si="196"/>
        <v>4226-00</v>
      </c>
      <c r="B447" s="19"/>
      <c r="C447" s="19"/>
      <c r="D447" s="19"/>
      <c r="E447" s="20" t="s">
        <v>3</v>
      </c>
      <c r="F447" s="271"/>
      <c r="G447" s="21"/>
      <c r="H447" s="22"/>
      <c r="I447" s="22"/>
      <c r="J447" s="22"/>
      <c r="K447" s="22"/>
      <c r="L447" s="22"/>
      <c r="M447" s="22"/>
      <c r="N447" s="22"/>
      <c r="O447" s="23">
        <f t="shared" si="197"/>
        <v>0</v>
      </c>
      <c r="Q447" s="252" t="s">
        <v>2</v>
      </c>
      <c r="R447" s="272">
        <f>500/10.2</f>
        <v>49.019607843137258</v>
      </c>
      <c r="S447" s="252">
        <f>49*1.2</f>
        <v>58.8</v>
      </c>
      <c r="T447" s="252">
        <f>49*2.1</f>
        <v>102.9</v>
      </c>
      <c r="U447" s="252">
        <f>49*2.4</f>
        <v>117.6</v>
      </c>
      <c r="V447" s="252">
        <f>49*2.4</f>
        <v>117.6</v>
      </c>
      <c r="W447" s="252">
        <f>49*1.5</f>
        <v>73.5</v>
      </c>
      <c r="X447" s="252">
        <f>49*0.9</f>
        <v>44.1</v>
      </c>
      <c r="Y447" s="266"/>
      <c r="Z447" s="266">
        <f t="shared" si="198"/>
        <v>514.5</v>
      </c>
      <c r="AB447" s="288"/>
      <c r="AC447" s="289"/>
      <c r="AD447" s="289"/>
      <c r="AE447" s="289"/>
      <c r="AF447" s="289"/>
      <c r="AG447" s="289"/>
      <c r="AH447" s="289"/>
      <c r="AI447" s="289"/>
      <c r="AJ447" s="289"/>
      <c r="AK447" s="289"/>
    </row>
    <row r="448" spans="1:37" ht="15" thickTop="1" thickBot="1">
      <c r="A448" s="368" t="str">
        <f t="shared" si="196"/>
        <v>4226-00</v>
      </c>
      <c r="B448" s="47"/>
      <c r="C448" s="47"/>
      <c r="D448" s="47"/>
      <c r="E448" s="48" t="s">
        <v>23</v>
      </c>
      <c r="F448" s="49" t="str">
        <f>+B441</f>
        <v>Ibiza Blue</v>
      </c>
      <c r="G448" s="48"/>
      <c r="H448" s="48">
        <f>+H442-H443-H444-H445-H447-H446</f>
        <v>-3</v>
      </c>
      <c r="I448" s="48">
        <f t="shared" ref="I448:M448" si="199">+I442-I443-I444-I445-I447-I446</f>
        <v>0</v>
      </c>
      <c r="J448" s="48">
        <f t="shared" si="199"/>
        <v>2</v>
      </c>
      <c r="K448" s="48">
        <f t="shared" si="199"/>
        <v>2</v>
      </c>
      <c r="L448" s="48">
        <f t="shared" si="199"/>
        <v>1</v>
      </c>
      <c r="M448" s="48">
        <f t="shared" si="199"/>
        <v>0</v>
      </c>
      <c r="N448" s="48"/>
      <c r="O448" s="48">
        <f t="shared" si="197"/>
        <v>2</v>
      </c>
      <c r="Q448" s="266"/>
      <c r="R448" s="266"/>
      <c r="S448" s="252">
        <f t="shared" ref="S448:X448" si="200">SUM(S444:S447)</f>
        <v>58.8</v>
      </c>
      <c r="T448" s="252">
        <f t="shared" si="200"/>
        <v>102.9</v>
      </c>
      <c r="U448" s="252">
        <f t="shared" si="200"/>
        <v>117.6</v>
      </c>
      <c r="V448" s="252">
        <f t="shared" si="200"/>
        <v>117.6</v>
      </c>
      <c r="W448" s="252">
        <f t="shared" si="200"/>
        <v>73.5</v>
      </c>
      <c r="X448" s="252">
        <f t="shared" si="200"/>
        <v>44.1</v>
      </c>
      <c r="Y448" s="252"/>
      <c r="Z448" s="252">
        <f t="shared" si="198"/>
        <v>514.5</v>
      </c>
      <c r="AB448" s="288"/>
      <c r="AC448" s="289"/>
      <c r="AD448" s="289"/>
      <c r="AE448" s="289"/>
      <c r="AF448" s="289"/>
      <c r="AG448" s="289"/>
    </row>
    <row r="449" spans="1:38" ht="15" thickTop="1" thickBot="1">
      <c r="A449" s="364" t="s">
        <v>7</v>
      </c>
      <c r="B449" s="43" t="s">
        <v>8</v>
      </c>
      <c r="C449" s="43"/>
      <c r="D449" s="43"/>
      <c r="E449" s="44" t="s">
        <v>9</v>
      </c>
      <c r="F449" s="45"/>
      <c r="G449" s="45"/>
      <c r="H449" s="44"/>
      <c r="I449" s="44"/>
      <c r="J449" s="44"/>
      <c r="K449" s="44"/>
      <c r="L449" s="44"/>
      <c r="M449" s="44"/>
      <c r="N449" s="44"/>
      <c r="O449" s="44"/>
      <c r="AB449" s="288"/>
      <c r="AC449" s="289"/>
      <c r="AD449" s="289"/>
      <c r="AE449" s="289"/>
      <c r="AF449" s="289"/>
      <c r="AG449" s="289"/>
    </row>
    <row r="450" spans="1:38" ht="15" thickTop="1" thickBot="1">
      <c r="A450" s="365" t="s">
        <v>139</v>
      </c>
      <c r="B450" s="38" t="s">
        <v>11</v>
      </c>
      <c r="C450" s="9" t="s">
        <v>12</v>
      </c>
      <c r="D450" s="9" t="s">
        <v>37</v>
      </c>
      <c r="E450" s="10"/>
      <c r="F450" s="256" t="s">
        <v>14</v>
      </c>
      <c r="G450" s="257">
        <v>34</v>
      </c>
      <c r="H450" s="257">
        <v>36</v>
      </c>
      <c r="I450" s="257">
        <v>38</v>
      </c>
      <c r="J450" s="257">
        <v>40</v>
      </c>
      <c r="K450" s="257">
        <v>42</v>
      </c>
      <c r="L450" s="257">
        <v>44</v>
      </c>
      <c r="M450" s="257">
        <v>46</v>
      </c>
      <c r="N450" s="257"/>
      <c r="O450" s="258" t="s">
        <v>15</v>
      </c>
      <c r="Q450" s="259" t="s">
        <v>14</v>
      </c>
      <c r="R450" s="259"/>
      <c r="S450" s="259">
        <v>36</v>
      </c>
      <c r="T450" s="259">
        <v>38</v>
      </c>
      <c r="U450" s="259">
        <v>40</v>
      </c>
      <c r="V450" s="259">
        <v>42</v>
      </c>
      <c r="W450" s="259">
        <v>44</v>
      </c>
      <c r="X450" s="259">
        <v>46</v>
      </c>
      <c r="Y450" s="259"/>
      <c r="Z450" s="259" t="s">
        <v>15</v>
      </c>
      <c r="AB450" s="288"/>
      <c r="AC450" s="289"/>
      <c r="AD450" s="289"/>
      <c r="AE450" s="289"/>
      <c r="AF450" s="289"/>
      <c r="AG450" s="289"/>
    </row>
    <row r="451" spans="1:38" ht="15" thickTop="1" thickBot="1">
      <c r="A451" s="366" t="str">
        <f t="shared" ref="A451:A457" si="201">+A450</f>
        <v>4226-01</v>
      </c>
      <c r="B451" s="39" t="s">
        <v>16</v>
      </c>
      <c r="C451" s="39"/>
      <c r="D451" s="39" t="str">
        <f>+B450</f>
        <v>Ibiza Blue</v>
      </c>
      <c r="E451" s="40"/>
      <c r="F451" s="261" t="s">
        <v>1</v>
      </c>
      <c r="G451" s="261"/>
      <c r="H451" s="262">
        <f>'BASE DATOS'!C53</f>
        <v>32</v>
      </c>
      <c r="I451" s="262">
        <f>'BASE DATOS'!D53</f>
        <v>51</v>
      </c>
      <c r="J451" s="262">
        <f>'BASE DATOS'!E53</f>
        <v>58</v>
      </c>
      <c r="K451" s="262">
        <f>'BASE DATOS'!F53</f>
        <v>51</v>
      </c>
      <c r="L451" s="262">
        <f>'BASE DATOS'!G53</f>
        <v>39</v>
      </c>
      <c r="M451" s="262">
        <f>'BASE DATOS'!H53</f>
        <v>24</v>
      </c>
      <c r="N451" s="262"/>
      <c r="O451" s="263">
        <f t="shared" ref="O451:O457" si="202">SUM(H451:N451)</f>
        <v>255</v>
      </c>
      <c r="Q451" s="264"/>
      <c r="R451" s="264"/>
      <c r="S451" s="264"/>
      <c r="T451" s="264"/>
      <c r="U451" s="264"/>
      <c r="V451" s="264"/>
      <c r="W451" s="264"/>
      <c r="X451" s="264"/>
      <c r="Y451" s="264"/>
      <c r="Z451" s="264">
        <f>SUBTOTAL(9,S451:Y451)</f>
        <v>0</v>
      </c>
      <c r="AB451" s="288"/>
      <c r="AC451" s="289"/>
      <c r="AD451" s="289"/>
      <c r="AE451" s="289"/>
      <c r="AF451" s="289"/>
      <c r="AG451" s="289"/>
    </row>
    <row r="452" spans="1:38" ht="15" thickTop="1" thickBot="1">
      <c r="A452" s="366" t="str">
        <f t="shared" si="201"/>
        <v>4226-01</v>
      </c>
      <c r="B452" s="3">
        <v>46006</v>
      </c>
      <c r="C452" s="4" t="s">
        <v>17</v>
      </c>
      <c r="D452" s="4" t="s">
        <v>18</v>
      </c>
      <c r="E452" s="5" t="s">
        <v>3</v>
      </c>
      <c r="F452" s="265">
        <v>11540</v>
      </c>
      <c r="G452" s="2"/>
      <c r="H452" s="7">
        <v>29</v>
      </c>
      <c r="I452" s="7">
        <v>27</v>
      </c>
      <c r="J452" s="7">
        <v>32</v>
      </c>
      <c r="K452" s="7">
        <v>27</v>
      </c>
      <c r="L452" s="7">
        <v>12</v>
      </c>
      <c r="M452" s="7">
        <v>10</v>
      </c>
      <c r="N452" s="8"/>
      <c r="O452" s="14">
        <f t="shared" si="202"/>
        <v>137</v>
      </c>
      <c r="Q452" s="252" t="s">
        <v>19</v>
      </c>
      <c r="R452" s="266"/>
      <c r="S452" s="266"/>
      <c r="T452" s="266"/>
      <c r="U452" s="266"/>
      <c r="V452" s="266"/>
      <c r="W452" s="266"/>
      <c r="X452" s="266"/>
      <c r="Y452" s="267"/>
      <c r="Z452" s="268">
        <f t="shared" ref="Z452:Z457" si="203">SUM(S452:Y452)</f>
        <v>0</v>
      </c>
      <c r="AB452" s="288"/>
      <c r="AC452" s="289"/>
      <c r="AD452" s="289"/>
      <c r="AE452" s="289"/>
      <c r="AF452" s="289"/>
      <c r="AG452" s="289"/>
      <c r="AL452" s="250"/>
    </row>
    <row r="453" spans="1:38" ht="15" thickTop="1" thickBot="1">
      <c r="A453" s="366" t="str">
        <f t="shared" si="201"/>
        <v>4226-01</v>
      </c>
      <c r="B453" s="3"/>
      <c r="C453" s="3"/>
      <c r="D453" s="52" t="s">
        <v>137</v>
      </c>
      <c r="E453" s="5" t="s">
        <v>3</v>
      </c>
      <c r="F453" s="269" t="s">
        <v>138</v>
      </c>
      <c r="G453" s="6"/>
      <c r="H453" s="7">
        <v>3</v>
      </c>
      <c r="I453" s="7">
        <v>17</v>
      </c>
      <c r="J453" s="7">
        <v>9</v>
      </c>
      <c r="K453" s="7">
        <v>12</v>
      </c>
      <c r="L453" s="7">
        <v>23</v>
      </c>
      <c r="M453" s="7">
        <v>5</v>
      </c>
      <c r="N453" s="15"/>
      <c r="O453" s="14">
        <f t="shared" si="202"/>
        <v>69</v>
      </c>
      <c r="Q453" s="252" t="s">
        <v>4</v>
      </c>
      <c r="R453" s="266">
        <f>78/19</f>
        <v>4.1052631578947372</v>
      </c>
      <c r="S453" s="266"/>
      <c r="T453" s="266"/>
      <c r="U453" s="266"/>
      <c r="V453" s="266"/>
      <c r="W453" s="266"/>
      <c r="X453" s="266"/>
      <c r="Y453" s="266"/>
      <c r="Z453" s="266">
        <f t="shared" si="203"/>
        <v>0</v>
      </c>
      <c r="AB453" s="288"/>
      <c r="AC453" s="289"/>
      <c r="AD453" s="457"/>
      <c r="AE453" s="289"/>
      <c r="AF453" s="289"/>
      <c r="AG453" s="289"/>
    </row>
    <row r="454" spans="1:38" ht="15" thickTop="1" thickBot="1">
      <c r="A454" s="366" t="str">
        <f t="shared" si="201"/>
        <v>4226-01</v>
      </c>
      <c r="B454" s="3"/>
      <c r="C454" s="3"/>
      <c r="D454" s="3"/>
      <c r="E454" s="5" t="s">
        <v>3</v>
      </c>
      <c r="F454" s="269"/>
      <c r="G454" s="6"/>
      <c r="H454" s="15"/>
      <c r="I454" s="15"/>
      <c r="J454" s="15"/>
      <c r="K454" s="15"/>
      <c r="L454" s="15"/>
      <c r="M454" s="15"/>
      <c r="N454" s="15"/>
      <c r="O454" s="16">
        <f t="shared" si="202"/>
        <v>0</v>
      </c>
      <c r="Q454" s="252" t="s">
        <v>6</v>
      </c>
      <c r="R454" s="266">
        <f>25/11</f>
        <v>2.2727272727272729</v>
      </c>
      <c r="S454" s="266"/>
      <c r="T454" s="266"/>
      <c r="U454" s="266"/>
      <c r="V454" s="266"/>
      <c r="W454" s="266"/>
      <c r="X454" s="266"/>
      <c r="Y454" s="266"/>
      <c r="Z454" s="266">
        <f t="shared" si="203"/>
        <v>0</v>
      </c>
      <c r="AB454" s="288"/>
      <c r="AC454" s="289"/>
      <c r="AD454" s="289"/>
      <c r="AE454" s="289"/>
      <c r="AF454" s="289"/>
      <c r="AG454" s="289"/>
    </row>
    <row r="455" spans="1:38" ht="15" thickTop="1" thickBot="1">
      <c r="A455" s="366" t="str">
        <f t="shared" si="201"/>
        <v>4226-01</v>
      </c>
      <c r="B455" s="3"/>
      <c r="C455" s="3"/>
      <c r="D455" s="3"/>
      <c r="E455" s="5" t="s">
        <v>3</v>
      </c>
      <c r="F455" s="269"/>
      <c r="G455" s="6"/>
      <c r="H455" s="8"/>
      <c r="I455" s="8"/>
      <c r="J455" s="8"/>
      <c r="K455" s="8"/>
      <c r="L455" s="8"/>
      <c r="M455" s="8"/>
      <c r="N455" s="15"/>
      <c r="O455" s="16">
        <f t="shared" si="202"/>
        <v>0</v>
      </c>
      <c r="Q455" s="266"/>
      <c r="R455" s="266"/>
      <c r="S455" s="266"/>
      <c r="T455" s="266"/>
      <c r="U455" s="266"/>
      <c r="V455" s="266"/>
      <c r="W455" s="266"/>
      <c r="X455" s="266"/>
      <c r="Y455" s="266"/>
      <c r="Z455" s="266">
        <f t="shared" si="203"/>
        <v>0</v>
      </c>
      <c r="AB455" s="288"/>
      <c r="AC455" s="289"/>
      <c r="AD455" s="289"/>
      <c r="AE455" s="289"/>
      <c r="AF455" s="289"/>
      <c r="AG455" s="289"/>
    </row>
    <row r="456" spans="1:38" ht="15" thickTop="1" thickBot="1">
      <c r="A456" s="367" t="str">
        <f t="shared" si="201"/>
        <v>4226-01</v>
      </c>
      <c r="B456" s="19"/>
      <c r="C456" s="19"/>
      <c r="D456" s="19"/>
      <c r="E456" s="20" t="s">
        <v>3</v>
      </c>
      <c r="F456" s="271"/>
      <c r="G456" s="21"/>
      <c r="H456" s="22"/>
      <c r="I456" s="22"/>
      <c r="J456" s="22"/>
      <c r="K456" s="22"/>
      <c r="L456" s="22"/>
      <c r="M456" s="22"/>
      <c r="N456" s="22"/>
      <c r="O456" s="23">
        <f t="shared" si="202"/>
        <v>0</v>
      </c>
      <c r="Q456" s="252" t="s">
        <v>2</v>
      </c>
      <c r="R456" s="272">
        <f>500/10.2</f>
        <v>49.019607843137258</v>
      </c>
      <c r="S456" s="252">
        <f>49*1.2</f>
        <v>58.8</v>
      </c>
      <c r="T456" s="252">
        <f>49*2.1</f>
        <v>102.9</v>
      </c>
      <c r="U456" s="252">
        <f>49*2.4</f>
        <v>117.6</v>
      </c>
      <c r="V456" s="252">
        <f>49*2.4</f>
        <v>117.6</v>
      </c>
      <c r="W456" s="252">
        <f>49*1.5</f>
        <v>73.5</v>
      </c>
      <c r="X456" s="252">
        <f>49*0.9</f>
        <v>44.1</v>
      </c>
      <c r="Y456" s="266"/>
      <c r="Z456" s="266">
        <f t="shared" si="203"/>
        <v>514.5</v>
      </c>
      <c r="AB456" s="288"/>
      <c r="AC456" s="289"/>
      <c r="AD456" s="289"/>
      <c r="AE456" s="289"/>
      <c r="AF456" s="289"/>
      <c r="AG456" s="289"/>
    </row>
    <row r="457" spans="1:38" ht="15" thickTop="1" thickBot="1">
      <c r="A457" s="368" t="str">
        <f t="shared" si="201"/>
        <v>4226-01</v>
      </c>
      <c r="B457" s="47"/>
      <c r="C457" s="47"/>
      <c r="D457" s="47"/>
      <c r="E457" s="48" t="s">
        <v>23</v>
      </c>
      <c r="F457" s="49" t="str">
        <f>+B450</f>
        <v>Ibiza Blue</v>
      </c>
      <c r="G457" s="48"/>
      <c r="H457" s="48">
        <f>+H451-H452-H453-H454-H456+H455</f>
        <v>0</v>
      </c>
      <c r="I457" s="48">
        <f>+I451-I452-I453-I454-I456+I455</f>
        <v>7</v>
      </c>
      <c r="J457" s="48">
        <f>+J451-J452-J453-J454-J456-J455</f>
        <v>17</v>
      </c>
      <c r="K457" s="48">
        <f>+K451-K452-K453-K454-K456-K455</f>
        <v>12</v>
      </c>
      <c r="L457" s="48">
        <f>+L451-L452-L453-L454-L456-L455</f>
        <v>4</v>
      </c>
      <c r="M457" s="48">
        <f>+M451-M452-M453-M454-M456-M455</f>
        <v>9</v>
      </c>
      <c r="N457" s="48"/>
      <c r="O457" s="48">
        <f t="shared" si="202"/>
        <v>49</v>
      </c>
      <c r="Q457" s="266"/>
      <c r="R457" s="266"/>
      <c r="S457" s="252">
        <f t="shared" ref="S457:X457" si="204">SUM(S453:S456)</f>
        <v>58.8</v>
      </c>
      <c r="T457" s="252">
        <f t="shared" si="204"/>
        <v>102.9</v>
      </c>
      <c r="U457" s="252">
        <f t="shared" si="204"/>
        <v>117.6</v>
      </c>
      <c r="V457" s="252">
        <f t="shared" si="204"/>
        <v>117.6</v>
      </c>
      <c r="W457" s="252">
        <f t="shared" si="204"/>
        <v>73.5</v>
      </c>
      <c r="X457" s="252">
        <f t="shared" si="204"/>
        <v>44.1</v>
      </c>
      <c r="Y457" s="252"/>
      <c r="Z457" s="252">
        <f t="shared" si="203"/>
        <v>514.5</v>
      </c>
      <c r="AB457" s="288"/>
      <c r="AC457" s="289"/>
      <c r="AD457" s="289"/>
      <c r="AE457" s="289"/>
      <c r="AF457" s="289"/>
      <c r="AG457" s="289"/>
    </row>
    <row r="458" spans="1:38" ht="15" thickTop="1" thickBot="1">
      <c r="A458" s="369" t="s">
        <v>7</v>
      </c>
      <c r="B458" s="43" t="s">
        <v>8</v>
      </c>
      <c r="C458" s="43"/>
      <c r="D458" s="43"/>
      <c r="E458" s="44" t="s">
        <v>9</v>
      </c>
      <c r="F458" s="45"/>
      <c r="G458" s="45"/>
      <c r="H458" s="44"/>
      <c r="I458" s="44"/>
      <c r="J458" s="44"/>
      <c r="K458" s="44"/>
      <c r="L458" s="44"/>
      <c r="M458" s="44"/>
      <c r="N458" s="44"/>
      <c r="O458" s="44"/>
      <c r="AB458" s="288"/>
      <c r="AC458" s="289"/>
      <c r="AD458" s="289"/>
      <c r="AE458" s="289"/>
      <c r="AF458" s="289"/>
      <c r="AG458" s="289"/>
    </row>
    <row r="459" spans="1:38" ht="15" thickTop="1" thickBot="1">
      <c r="A459" s="370" t="s">
        <v>140</v>
      </c>
      <c r="B459" s="38" t="s">
        <v>95</v>
      </c>
      <c r="C459" s="9" t="s">
        <v>12</v>
      </c>
      <c r="D459" s="9" t="s">
        <v>13</v>
      </c>
      <c r="E459" s="10"/>
      <c r="F459" s="256" t="s">
        <v>14</v>
      </c>
      <c r="G459" s="257">
        <v>34</v>
      </c>
      <c r="H459" s="257">
        <v>36</v>
      </c>
      <c r="I459" s="257">
        <v>38</v>
      </c>
      <c r="J459" s="257">
        <v>40</v>
      </c>
      <c r="K459" s="257">
        <v>42</v>
      </c>
      <c r="L459" s="257">
        <v>44</v>
      </c>
      <c r="M459" s="257">
        <v>46</v>
      </c>
      <c r="N459" s="257"/>
      <c r="O459" s="258" t="s">
        <v>15</v>
      </c>
      <c r="Q459" s="259" t="s">
        <v>14</v>
      </c>
      <c r="R459" s="259"/>
      <c r="S459" s="259">
        <v>36</v>
      </c>
      <c r="T459" s="259">
        <v>38</v>
      </c>
      <c r="U459" s="259">
        <v>40</v>
      </c>
      <c r="V459" s="259">
        <v>42</v>
      </c>
      <c r="W459" s="259">
        <v>44</v>
      </c>
      <c r="X459" s="259">
        <v>46</v>
      </c>
      <c r="Y459" s="259"/>
      <c r="Z459" s="259" t="s">
        <v>15</v>
      </c>
    </row>
    <row r="460" spans="1:38" ht="15" thickTop="1" thickBot="1">
      <c r="A460" s="371" t="str">
        <f t="shared" ref="A460:A466" si="205">+A459</f>
        <v>4227-00</v>
      </c>
      <c r="B460" s="39" t="s">
        <v>16</v>
      </c>
      <c r="C460" s="39"/>
      <c r="D460" s="39" t="str">
        <f>+B459</f>
        <v>New Glue</v>
      </c>
      <c r="E460" s="40"/>
      <c r="F460" s="261" t="s">
        <v>1</v>
      </c>
      <c r="G460" s="261"/>
      <c r="H460" s="262">
        <f>'BASE DATOS'!C54</f>
        <v>43</v>
      </c>
      <c r="I460" s="262">
        <f>'BASE DATOS'!D54</f>
        <v>103</v>
      </c>
      <c r="J460" s="262">
        <f>'BASE DATOS'!E54</f>
        <v>110</v>
      </c>
      <c r="K460" s="262">
        <f>'BASE DATOS'!F54</f>
        <v>105</v>
      </c>
      <c r="L460" s="262">
        <f>'BASE DATOS'!G54</f>
        <v>77</v>
      </c>
      <c r="M460" s="262">
        <f>'BASE DATOS'!H54</f>
        <v>56</v>
      </c>
      <c r="N460" s="262"/>
      <c r="O460" s="263">
        <f t="shared" ref="O460:O466" si="206">SUM(H460:N460)</f>
        <v>494</v>
      </c>
      <c r="Q460" s="264"/>
      <c r="R460" s="264"/>
      <c r="S460" s="264"/>
      <c r="T460" s="264"/>
      <c r="U460" s="264"/>
      <c r="V460" s="264"/>
      <c r="W460" s="264"/>
      <c r="X460" s="264"/>
      <c r="Y460" s="264"/>
      <c r="Z460" s="264">
        <f>SUBTOTAL(9,S460:Y460)</f>
        <v>0</v>
      </c>
    </row>
    <row r="461" spans="1:38" ht="15" thickTop="1" thickBot="1">
      <c r="A461" s="371" t="str">
        <f t="shared" si="205"/>
        <v>4227-00</v>
      </c>
      <c r="B461" s="3">
        <v>46001</v>
      </c>
      <c r="C461" s="4" t="s">
        <v>17</v>
      </c>
      <c r="D461" s="4" t="s">
        <v>141</v>
      </c>
      <c r="E461" s="5" t="s">
        <v>3</v>
      </c>
      <c r="F461" s="265">
        <v>11533</v>
      </c>
      <c r="G461" s="2"/>
      <c r="H461" s="7">
        <f>78-H470</f>
        <v>38</v>
      </c>
      <c r="I461" s="7">
        <f>100-I470</f>
        <v>66</v>
      </c>
      <c r="J461" s="7">
        <f>100-J470</f>
        <v>70</v>
      </c>
      <c r="K461" s="7">
        <f>100-K470</f>
        <v>68</v>
      </c>
      <c r="L461" s="7">
        <f>78-L470</f>
        <v>50</v>
      </c>
      <c r="M461" s="7">
        <f>50-M470</f>
        <v>40</v>
      </c>
      <c r="N461" s="8"/>
      <c r="O461" s="14">
        <f t="shared" si="206"/>
        <v>332</v>
      </c>
      <c r="Q461" s="252" t="s">
        <v>19</v>
      </c>
      <c r="R461" s="266"/>
      <c r="S461" s="266"/>
      <c r="T461" s="266"/>
      <c r="U461" s="266"/>
      <c r="V461" s="266"/>
      <c r="W461" s="266"/>
      <c r="X461" s="266"/>
      <c r="Y461" s="267"/>
      <c r="Z461" s="268">
        <f t="shared" ref="Z461:Z466" si="207">SUM(S461:Y461)</f>
        <v>0</v>
      </c>
      <c r="AC461" s="275" t="s">
        <v>3</v>
      </c>
      <c r="AD461" s="276">
        <v>46070</v>
      </c>
      <c r="AE461" s="275">
        <v>36</v>
      </c>
      <c r="AF461" s="275">
        <v>38</v>
      </c>
      <c r="AG461" s="275">
        <v>40</v>
      </c>
      <c r="AH461" s="275">
        <v>42</v>
      </c>
      <c r="AI461" s="277">
        <v>44</v>
      </c>
      <c r="AJ461" s="277">
        <v>46</v>
      </c>
      <c r="AK461" s="277" t="s">
        <v>28</v>
      </c>
    </row>
    <row r="462" spans="1:38" ht="15" thickTop="1" thickBot="1">
      <c r="A462" s="371" t="str">
        <f t="shared" si="205"/>
        <v>4227-00</v>
      </c>
      <c r="B462" s="3"/>
      <c r="C462" s="3"/>
      <c r="D462" s="57" t="s">
        <v>142</v>
      </c>
      <c r="E462" s="5" t="s">
        <v>3</v>
      </c>
      <c r="F462" s="269" t="s">
        <v>143</v>
      </c>
      <c r="G462" s="6"/>
      <c r="H462" s="7">
        <f>16-H471-H479</f>
        <v>12</v>
      </c>
      <c r="I462" s="7">
        <f>114-I471-I479</f>
        <v>43</v>
      </c>
      <c r="J462" s="7">
        <f>124-J471-J479</f>
        <v>41</v>
      </c>
      <c r="K462" s="7">
        <f>110-K471-K479</f>
        <v>32</v>
      </c>
      <c r="L462" s="7">
        <f>74-L471-L479</f>
        <v>21</v>
      </c>
      <c r="M462" s="7">
        <f>64-M471-M479</f>
        <v>12</v>
      </c>
      <c r="N462" s="15"/>
      <c r="O462" s="14">
        <f t="shared" si="206"/>
        <v>161</v>
      </c>
      <c r="Q462" s="252" t="s">
        <v>4</v>
      </c>
      <c r="R462" s="266">
        <f>78/19</f>
        <v>4.1052631578947372</v>
      </c>
      <c r="S462" s="266"/>
      <c r="T462" s="266"/>
      <c r="U462" s="266"/>
      <c r="V462" s="266"/>
      <c r="W462" s="266"/>
      <c r="X462" s="266"/>
      <c r="Y462" s="266"/>
      <c r="Z462" s="266">
        <f t="shared" si="207"/>
        <v>0</v>
      </c>
      <c r="AC462" s="279" t="s">
        <v>29</v>
      </c>
      <c r="AD462" s="275">
        <v>11558</v>
      </c>
      <c r="AE462" s="279">
        <f t="shared" ref="AE462:AJ462" si="208">+H462+H471+H479+H463</f>
        <v>16</v>
      </c>
      <c r="AF462" s="279">
        <f t="shared" si="208"/>
        <v>114</v>
      </c>
      <c r="AG462" s="279">
        <f t="shared" si="208"/>
        <v>124</v>
      </c>
      <c r="AH462" s="279">
        <f t="shared" si="208"/>
        <v>110</v>
      </c>
      <c r="AI462" s="279">
        <f t="shared" si="208"/>
        <v>74</v>
      </c>
      <c r="AJ462" s="279">
        <f t="shared" si="208"/>
        <v>64</v>
      </c>
      <c r="AK462" s="279">
        <f>SUM(AE462:AJ462)</f>
        <v>502</v>
      </c>
    </row>
    <row r="463" spans="1:38" ht="15" thickTop="1" thickBot="1">
      <c r="A463" s="371" t="str">
        <f t="shared" si="205"/>
        <v>4227-00</v>
      </c>
      <c r="B463" s="3"/>
      <c r="C463" s="3"/>
      <c r="D463" s="3"/>
      <c r="E463" s="5" t="s">
        <v>3</v>
      </c>
      <c r="F463" s="269"/>
      <c r="G463" s="6"/>
      <c r="H463" s="15"/>
      <c r="I463" s="15"/>
      <c r="J463" s="15"/>
      <c r="K463" s="15"/>
      <c r="L463" s="15"/>
      <c r="M463" s="15"/>
      <c r="N463" s="15"/>
      <c r="O463" s="16">
        <f t="shared" si="206"/>
        <v>0</v>
      </c>
      <c r="Q463" s="252" t="s">
        <v>6</v>
      </c>
      <c r="R463" s="266">
        <f>25/11</f>
        <v>2.2727272727272729</v>
      </c>
      <c r="S463" s="266"/>
      <c r="T463" s="266"/>
      <c r="U463" s="266"/>
      <c r="V463" s="266"/>
      <c r="W463" s="266"/>
      <c r="X463" s="266"/>
      <c r="Y463" s="266"/>
      <c r="Z463" s="266">
        <f t="shared" si="207"/>
        <v>0</v>
      </c>
      <c r="AC463" s="281" t="s">
        <v>30</v>
      </c>
      <c r="AD463" s="282">
        <v>4227</v>
      </c>
    </row>
    <row r="464" spans="1:38" ht="15" thickTop="1" thickBot="1">
      <c r="A464" s="371" t="str">
        <f t="shared" si="205"/>
        <v>4227-00</v>
      </c>
      <c r="B464" s="3"/>
      <c r="C464" s="3"/>
      <c r="D464" s="3"/>
      <c r="E464" s="5" t="s">
        <v>3</v>
      </c>
      <c r="F464" s="269"/>
      <c r="G464" s="6"/>
      <c r="H464" s="8"/>
      <c r="I464" s="8"/>
      <c r="J464" s="8"/>
      <c r="K464" s="8"/>
      <c r="L464" s="8"/>
      <c r="M464" s="8"/>
      <c r="N464" s="15"/>
      <c r="O464" s="16">
        <f t="shared" si="206"/>
        <v>0</v>
      </c>
      <c r="Q464" s="266"/>
      <c r="R464" s="266"/>
      <c r="S464" s="266"/>
      <c r="T464" s="266"/>
      <c r="U464" s="266"/>
      <c r="V464" s="266"/>
      <c r="W464" s="266"/>
      <c r="X464" s="266"/>
      <c r="Y464" s="266"/>
      <c r="Z464" s="266">
        <f t="shared" si="207"/>
        <v>0</v>
      </c>
      <c r="AC464" s="279" t="s">
        <v>32</v>
      </c>
      <c r="AD464" s="275" t="s">
        <v>95</v>
      </c>
    </row>
    <row r="465" spans="1:30" ht="15" thickTop="1" thickBot="1">
      <c r="A465" s="372" t="str">
        <f t="shared" si="205"/>
        <v>4227-00</v>
      </c>
      <c r="B465" s="19"/>
      <c r="C465" s="19"/>
      <c r="D465" s="19"/>
      <c r="E465" s="20" t="s">
        <v>3</v>
      </c>
      <c r="F465" s="271"/>
      <c r="G465" s="21"/>
      <c r="H465" s="22"/>
      <c r="I465" s="22"/>
      <c r="J465" s="22"/>
      <c r="K465" s="22"/>
      <c r="L465" s="22"/>
      <c r="M465" s="22"/>
      <c r="N465" s="22"/>
      <c r="O465" s="23">
        <f t="shared" si="206"/>
        <v>0</v>
      </c>
      <c r="Q465" s="252" t="s">
        <v>2</v>
      </c>
      <c r="R465" s="272">
        <f>500/10.2</f>
        <v>49.019607843137258</v>
      </c>
      <c r="S465" s="252">
        <f>49*1.2</f>
        <v>58.8</v>
      </c>
      <c r="T465" s="252">
        <f>49*2.1</f>
        <v>102.9</v>
      </c>
      <c r="U465" s="252">
        <f>49*2.4</f>
        <v>117.6</v>
      </c>
      <c r="V465" s="252">
        <f>49*2.4</f>
        <v>117.6</v>
      </c>
      <c r="W465" s="252">
        <f>49*1.5</f>
        <v>73.5</v>
      </c>
      <c r="X465" s="252">
        <f>49*0.9</f>
        <v>44.1</v>
      </c>
      <c r="Y465" s="266"/>
      <c r="Z465" s="266">
        <f t="shared" si="207"/>
        <v>514.5</v>
      </c>
      <c r="AC465" s="279" t="s">
        <v>12</v>
      </c>
      <c r="AD465" s="275" t="s">
        <v>13</v>
      </c>
    </row>
    <row r="466" spans="1:30" ht="15" thickTop="1" thickBot="1">
      <c r="A466" s="373" t="str">
        <f t="shared" si="205"/>
        <v>4227-00</v>
      </c>
      <c r="B466" s="47"/>
      <c r="C466" s="47"/>
      <c r="D466" s="47"/>
      <c r="E466" s="48" t="s">
        <v>23</v>
      </c>
      <c r="F466" s="49" t="str">
        <f>+B459</f>
        <v>New Glue</v>
      </c>
      <c r="G466" s="48"/>
      <c r="H466" s="48">
        <f>+H460-H461-H462-H463-H465+H464</f>
        <v>-7</v>
      </c>
      <c r="I466" s="48">
        <f>+I460-I461-I462-I463-I465+I464</f>
        <v>-6</v>
      </c>
      <c r="J466" s="48">
        <f>+J460-J461-J462-J463-J465-J464</f>
        <v>-1</v>
      </c>
      <c r="K466" s="48">
        <f>+K460-K461-K462-K463-K465-K464</f>
        <v>5</v>
      </c>
      <c r="L466" s="48">
        <f>+L460-L461-L462-L463-L465-L464</f>
        <v>6</v>
      </c>
      <c r="M466" s="48">
        <f>+M460-M461-M462-M463-M465-M464</f>
        <v>4</v>
      </c>
      <c r="N466" s="48"/>
      <c r="O466" s="48">
        <f t="shared" si="206"/>
        <v>1</v>
      </c>
      <c r="Q466" s="266"/>
      <c r="R466" s="266"/>
      <c r="S466" s="252">
        <f t="shared" ref="S466:X466" si="209">SUM(S462:S465)</f>
        <v>58.8</v>
      </c>
      <c r="T466" s="252">
        <f t="shared" si="209"/>
        <v>102.9</v>
      </c>
      <c r="U466" s="252">
        <f t="shared" si="209"/>
        <v>117.6</v>
      </c>
      <c r="V466" s="252">
        <f t="shared" si="209"/>
        <v>117.6</v>
      </c>
      <c r="W466" s="252">
        <f t="shared" si="209"/>
        <v>73.5</v>
      </c>
      <c r="X466" s="252">
        <f t="shared" si="209"/>
        <v>44.1</v>
      </c>
      <c r="Y466" s="252"/>
      <c r="Z466" s="252">
        <f t="shared" si="207"/>
        <v>514.5</v>
      </c>
      <c r="AC466" s="279" t="s">
        <v>17</v>
      </c>
      <c r="AD466" s="275" t="s">
        <v>114</v>
      </c>
    </row>
    <row r="467" spans="1:30" ht="15" thickTop="1" thickBot="1">
      <c r="A467" s="369" t="s">
        <v>7</v>
      </c>
      <c r="B467" s="43" t="s">
        <v>8</v>
      </c>
      <c r="C467" s="43"/>
      <c r="D467" s="43"/>
      <c r="E467" s="44" t="s">
        <v>9</v>
      </c>
      <c r="F467" s="45"/>
      <c r="G467" s="45"/>
      <c r="H467" s="44"/>
      <c r="I467" s="44"/>
      <c r="J467" s="44"/>
      <c r="K467" s="44"/>
      <c r="L467" s="44"/>
      <c r="M467" s="44"/>
      <c r="N467" s="44"/>
      <c r="O467" s="44"/>
    </row>
    <row r="468" spans="1:30" ht="15" thickTop="1" thickBot="1">
      <c r="A468" s="370" t="s">
        <v>144</v>
      </c>
      <c r="B468" s="38" t="s">
        <v>95</v>
      </c>
      <c r="C468" s="9" t="s">
        <v>12</v>
      </c>
      <c r="D468" s="9" t="s">
        <v>13</v>
      </c>
      <c r="E468" s="10"/>
      <c r="F468" s="256" t="s">
        <v>14</v>
      </c>
      <c r="G468" s="257">
        <v>34</v>
      </c>
      <c r="H468" s="257">
        <v>36</v>
      </c>
      <c r="I468" s="257">
        <v>38</v>
      </c>
      <c r="J468" s="257">
        <v>40</v>
      </c>
      <c r="K468" s="257">
        <v>42</v>
      </c>
      <c r="L468" s="257">
        <v>44</v>
      </c>
      <c r="M468" s="257">
        <v>46</v>
      </c>
      <c r="N468" s="257"/>
      <c r="O468" s="258" t="s">
        <v>15</v>
      </c>
      <c r="Q468" s="259" t="s">
        <v>14</v>
      </c>
      <c r="R468" s="259"/>
      <c r="S468" s="259">
        <v>36</v>
      </c>
      <c r="T468" s="259">
        <v>38</v>
      </c>
      <c r="U468" s="259">
        <v>40</v>
      </c>
      <c r="V468" s="259">
        <v>42</v>
      </c>
      <c r="W468" s="259">
        <v>44</v>
      </c>
      <c r="X468" s="259">
        <v>46</v>
      </c>
      <c r="Y468" s="259"/>
      <c r="Z468" s="259" t="s">
        <v>15</v>
      </c>
    </row>
    <row r="469" spans="1:30" ht="15" thickTop="1" thickBot="1">
      <c r="A469" s="371" t="str">
        <f t="shared" ref="A469:A475" si="210">+A468</f>
        <v>4227-01</v>
      </c>
      <c r="B469" s="39" t="s">
        <v>16</v>
      </c>
      <c r="C469" s="39"/>
      <c r="D469" s="39" t="str">
        <f>+B468</f>
        <v>New Glue</v>
      </c>
      <c r="E469" s="40"/>
      <c r="F469" s="261" t="s">
        <v>1</v>
      </c>
      <c r="G469" s="261"/>
      <c r="H469" s="262">
        <f>'BASE DATOS'!C55</f>
        <v>41</v>
      </c>
      <c r="I469" s="262">
        <f>'BASE DATOS'!D55</f>
        <v>101</v>
      </c>
      <c r="J469" s="262">
        <f>'BASE DATOS'!E55</f>
        <v>109</v>
      </c>
      <c r="K469" s="262">
        <f>'BASE DATOS'!F55</f>
        <v>108</v>
      </c>
      <c r="L469" s="262">
        <f>'BASE DATOS'!G55</f>
        <v>79</v>
      </c>
      <c r="M469" s="262">
        <f>'BASE DATOS'!H55</f>
        <v>61</v>
      </c>
      <c r="N469" s="262"/>
      <c r="O469" s="263">
        <f t="shared" ref="O469:O475" si="211">SUM(H469:N469)</f>
        <v>499</v>
      </c>
      <c r="Q469" s="264"/>
      <c r="R469" s="264"/>
      <c r="S469" s="264"/>
      <c r="T469" s="264"/>
      <c r="U469" s="264"/>
      <c r="V469" s="264"/>
      <c r="W469" s="264"/>
      <c r="X469" s="264"/>
      <c r="Y469" s="264"/>
      <c r="Z469" s="264">
        <f>SUBTOTAL(9,S469:Y469)</f>
        <v>0</v>
      </c>
    </row>
    <row r="470" spans="1:30" ht="15" thickTop="1" thickBot="1">
      <c r="A470" s="371" t="str">
        <f t="shared" si="210"/>
        <v>4227-01</v>
      </c>
      <c r="B470" s="3"/>
      <c r="C470" s="4" t="s">
        <v>17</v>
      </c>
      <c r="D470" s="4" t="s">
        <v>141</v>
      </c>
      <c r="E470" s="5" t="s">
        <v>3</v>
      </c>
      <c r="F470" s="265">
        <v>11533</v>
      </c>
      <c r="G470" s="2"/>
      <c r="H470" s="7">
        <v>40</v>
      </c>
      <c r="I470" s="7">
        <v>34</v>
      </c>
      <c r="J470" s="7">
        <v>30</v>
      </c>
      <c r="K470" s="7">
        <v>32</v>
      </c>
      <c r="L470" s="7">
        <v>28</v>
      </c>
      <c r="M470" s="7">
        <v>10</v>
      </c>
      <c r="N470" s="8"/>
      <c r="O470" s="14">
        <f t="shared" si="211"/>
        <v>174</v>
      </c>
      <c r="Q470" s="252" t="s">
        <v>19</v>
      </c>
      <c r="R470" s="266"/>
      <c r="S470" s="266"/>
      <c r="T470" s="266"/>
      <c r="U470" s="266"/>
      <c r="V470" s="266"/>
      <c r="W470" s="266"/>
      <c r="X470" s="266"/>
      <c r="Y470" s="267"/>
      <c r="Z470" s="268">
        <f t="shared" ref="Z470:Z475" si="212">SUM(S470:Y470)</f>
        <v>0</v>
      </c>
    </row>
    <row r="471" spans="1:30" ht="15" thickTop="1" thickBot="1">
      <c r="A471" s="371" t="str">
        <f t="shared" si="210"/>
        <v>4227-01</v>
      </c>
      <c r="B471" s="3"/>
      <c r="C471" s="3"/>
      <c r="D471" s="57" t="s">
        <v>142</v>
      </c>
      <c r="E471" s="5" t="s">
        <v>3</v>
      </c>
      <c r="F471" s="269" t="s">
        <v>143</v>
      </c>
      <c r="G471" s="6"/>
      <c r="H471" s="7">
        <v>2</v>
      </c>
      <c r="I471" s="7">
        <v>68</v>
      </c>
      <c r="J471" s="7">
        <v>81</v>
      </c>
      <c r="K471" s="7">
        <v>76</v>
      </c>
      <c r="L471" s="7">
        <v>51</v>
      </c>
      <c r="M471" s="7">
        <v>51</v>
      </c>
      <c r="N471" s="15"/>
      <c r="O471" s="14">
        <f t="shared" si="211"/>
        <v>329</v>
      </c>
      <c r="Q471" s="252" t="s">
        <v>4</v>
      </c>
      <c r="R471" s="266">
        <f>78/19</f>
        <v>4.1052631578947372</v>
      </c>
      <c r="S471" s="266"/>
      <c r="T471" s="266"/>
      <c r="U471" s="266"/>
      <c r="V471" s="266"/>
      <c r="W471" s="266"/>
      <c r="X471" s="266"/>
      <c r="Y471" s="266"/>
      <c r="Z471" s="266">
        <f t="shared" si="212"/>
        <v>0</v>
      </c>
    </row>
    <row r="472" spans="1:30" ht="15" thickTop="1" thickBot="1">
      <c r="A472" s="371" t="str">
        <f t="shared" si="210"/>
        <v>4227-01</v>
      </c>
      <c r="B472" s="3"/>
      <c r="C472" s="3"/>
      <c r="D472" s="3"/>
      <c r="E472" s="5" t="s">
        <v>3</v>
      </c>
      <c r="F472" s="269"/>
      <c r="G472" s="6"/>
      <c r="H472" s="15"/>
      <c r="I472" s="15"/>
      <c r="J472" s="15"/>
      <c r="K472" s="15"/>
      <c r="L472" s="15"/>
      <c r="M472" s="15"/>
      <c r="N472" s="15"/>
      <c r="O472" s="16">
        <f t="shared" si="211"/>
        <v>0</v>
      </c>
      <c r="Q472" s="252" t="s">
        <v>6</v>
      </c>
      <c r="R472" s="266">
        <f>25/11</f>
        <v>2.2727272727272729</v>
      </c>
      <c r="S472" s="266"/>
      <c r="T472" s="266"/>
      <c r="U472" s="266"/>
      <c r="V472" s="266"/>
      <c r="W472" s="266"/>
      <c r="X472" s="266"/>
      <c r="Y472" s="266"/>
      <c r="Z472" s="266">
        <f t="shared" si="212"/>
        <v>0</v>
      </c>
    </row>
    <row r="473" spans="1:30" ht="15" thickTop="1" thickBot="1">
      <c r="A473" s="371" t="str">
        <f t="shared" si="210"/>
        <v>4227-01</v>
      </c>
      <c r="B473" s="3"/>
      <c r="C473" s="3"/>
      <c r="D473" s="3"/>
      <c r="E473" s="5" t="s">
        <v>3</v>
      </c>
      <c r="F473" s="269"/>
      <c r="G473" s="6"/>
      <c r="H473" s="8"/>
      <c r="I473" s="8"/>
      <c r="J473" s="8"/>
      <c r="K473" s="8"/>
      <c r="L473" s="8"/>
      <c r="M473" s="8"/>
      <c r="N473" s="15"/>
      <c r="O473" s="16">
        <f t="shared" si="211"/>
        <v>0</v>
      </c>
      <c r="Q473" s="266"/>
      <c r="R473" s="266"/>
      <c r="S473" s="266"/>
      <c r="T473" s="266"/>
      <c r="U473" s="266"/>
      <c r="V473" s="266"/>
      <c r="W473" s="266"/>
      <c r="X473" s="266"/>
      <c r="Y473" s="266"/>
      <c r="Z473" s="266">
        <f t="shared" si="212"/>
        <v>0</v>
      </c>
    </row>
    <row r="474" spans="1:30" ht="15" thickTop="1" thickBot="1">
      <c r="A474" s="372" t="str">
        <f t="shared" si="210"/>
        <v>4227-01</v>
      </c>
      <c r="B474" s="19"/>
      <c r="C474" s="19"/>
      <c r="D474" s="19"/>
      <c r="E474" s="20" t="s">
        <v>3</v>
      </c>
      <c r="F474" s="271"/>
      <c r="G474" s="21"/>
      <c r="H474" s="22"/>
      <c r="I474" s="22"/>
      <c r="J474" s="22"/>
      <c r="K474" s="22"/>
      <c r="L474" s="22"/>
      <c r="M474" s="22"/>
      <c r="N474" s="22"/>
      <c r="O474" s="23">
        <f t="shared" si="211"/>
        <v>0</v>
      </c>
      <c r="Q474" s="252" t="s">
        <v>2</v>
      </c>
      <c r="R474" s="272">
        <f>500/10.2</f>
        <v>49.019607843137258</v>
      </c>
      <c r="S474" s="252">
        <f>49*1.2</f>
        <v>58.8</v>
      </c>
      <c r="T474" s="252">
        <f>49*2.1</f>
        <v>102.9</v>
      </c>
      <c r="U474" s="252">
        <f>49*2.4</f>
        <v>117.6</v>
      </c>
      <c r="V474" s="252">
        <f>49*2.4</f>
        <v>117.6</v>
      </c>
      <c r="W474" s="252">
        <f>49*1.5</f>
        <v>73.5</v>
      </c>
      <c r="X474" s="252">
        <f>49*0.9</f>
        <v>44.1</v>
      </c>
      <c r="Y474" s="266"/>
      <c r="Z474" s="266">
        <f t="shared" si="212"/>
        <v>514.5</v>
      </c>
    </row>
    <row r="475" spans="1:30" ht="15" thickTop="1" thickBot="1">
      <c r="A475" s="373" t="str">
        <f t="shared" si="210"/>
        <v>4227-01</v>
      </c>
      <c r="B475" s="47"/>
      <c r="C475" s="47"/>
      <c r="D475" s="47"/>
      <c r="E475" s="48" t="s">
        <v>23</v>
      </c>
      <c r="F475" s="49" t="str">
        <f>+B468</f>
        <v>New Glue</v>
      </c>
      <c r="G475" s="48"/>
      <c r="H475" s="48">
        <f>+H469-H470-H471-H472-H474+H473</f>
        <v>-1</v>
      </c>
      <c r="I475" s="48">
        <f>+I469-I470-I471-I472-I474+I473</f>
        <v>-1</v>
      </c>
      <c r="J475" s="48">
        <f>+J469-J470-J471-J472-J474-J473</f>
        <v>-2</v>
      </c>
      <c r="K475" s="48">
        <f>+K469-K470-K471-K472-K474-K473</f>
        <v>0</v>
      </c>
      <c r="L475" s="48">
        <f>+L469-L470-L471-L472-L474-L473</f>
        <v>0</v>
      </c>
      <c r="M475" s="48">
        <f>+M469-M470-M471-M472-M474-M473</f>
        <v>0</v>
      </c>
      <c r="N475" s="48"/>
      <c r="O475" s="48">
        <f t="shared" si="211"/>
        <v>-4</v>
      </c>
      <c r="Q475" s="266"/>
      <c r="R475" s="266"/>
      <c r="S475" s="252">
        <f t="shared" ref="S475:X475" si="213">SUM(S471:S474)</f>
        <v>58.8</v>
      </c>
      <c r="T475" s="252">
        <f t="shared" si="213"/>
        <v>102.9</v>
      </c>
      <c r="U475" s="252">
        <f t="shared" si="213"/>
        <v>117.6</v>
      </c>
      <c r="V475" s="252">
        <f t="shared" si="213"/>
        <v>117.6</v>
      </c>
      <c r="W475" s="252">
        <f t="shared" si="213"/>
        <v>73.5</v>
      </c>
      <c r="X475" s="252">
        <f t="shared" si="213"/>
        <v>44.1</v>
      </c>
      <c r="Y475" s="252"/>
      <c r="Z475" s="252">
        <f t="shared" si="212"/>
        <v>514.5</v>
      </c>
    </row>
    <row r="476" spans="1:30" ht="15" thickTop="1" thickBot="1">
      <c r="A476" s="369" t="s">
        <v>7</v>
      </c>
      <c r="B476" s="43" t="s">
        <v>8</v>
      </c>
      <c r="C476" s="43"/>
      <c r="D476" s="43"/>
      <c r="E476" s="44" t="s">
        <v>9</v>
      </c>
      <c r="F476" s="45"/>
      <c r="G476" s="45"/>
      <c r="H476" s="44"/>
      <c r="I476" s="44"/>
      <c r="J476" s="44"/>
      <c r="K476" s="44"/>
      <c r="L476" s="44"/>
      <c r="M476" s="44"/>
      <c r="N476" s="44"/>
      <c r="O476" s="44"/>
    </row>
    <row r="477" spans="1:30" ht="15" thickTop="1" thickBot="1">
      <c r="A477" s="370" t="s">
        <v>145</v>
      </c>
      <c r="B477" s="38" t="s">
        <v>95</v>
      </c>
      <c r="C477" s="9" t="s">
        <v>12</v>
      </c>
      <c r="D477" s="9" t="s">
        <v>13</v>
      </c>
      <c r="E477" s="10"/>
      <c r="F477" s="256" t="s">
        <v>14</v>
      </c>
      <c r="G477" s="257">
        <v>34</v>
      </c>
      <c r="H477" s="257">
        <v>36</v>
      </c>
      <c r="I477" s="257">
        <v>38</v>
      </c>
      <c r="J477" s="257">
        <v>40</v>
      </c>
      <c r="K477" s="257">
        <v>42</v>
      </c>
      <c r="L477" s="257">
        <v>44</v>
      </c>
      <c r="M477" s="257">
        <v>46</v>
      </c>
      <c r="N477" s="257"/>
      <c r="O477" s="258" t="s">
        <v>15</v>
      </c>
      <c r="Q477" s="259" t="s">
        <v>14</v>
      </c>
      <c r="R477" s="259"/>
      <c r="S477" s="259">
        <v>36</v>
      </c>
      <c r="T477" s="259">
        <v>38</v>
      </c>
      <c r="U477" s="259">
        <v>40</v>
      </c>
      <c r="V477" s="259">
        <v>42</v>
      </c>
      <c r="W477" s="259">
        <v>44</v>
      </c>
      <c r="X477" s="259">
        <v>46</v>
      </c>
      <c r="Y477" s="259"/>
      <c r="Z477" s="259" t="s">
        <v>15</v>
      </c>
    </row>
    <row r="478" spans="1:30" ht="15" thickTop="1" thickBot="1">
      <c r="A478" s="371" t="str">
        <f t="shared" ref="A478:A484" si="214">+A477</f>
        <v>4227-02</v>
      </c>
      <c r="B478" s="39" t="s">
        <v>16</v>
      </c>
      <c r="C478" s="39"/>
      <c r="D478" s="39" t="str">
        <f>+B477</f>
        <v>New Glue</v>
      </c>
      <c r="E478" s="40"/>
      <c r="F478" s="261" t="s">
        <v>1</v>
      </c>
      <c r="G478" s="261"/>
      <c r="H478" s="262">
        <f>'BASE DATOS'!C56</f>
        <v>2</v>
      </c>
      <c r="I478" s="262">
        <f>'BASE DATOS'!D56</f>
        <v>3</v>
      </c>
      <c r="J478" s="262">
        <f>'BASE DATOS'!E56</f>
        <v>2</v>
      </c>
      <c r="K478" s="262">
        <f>'BASE DATOS'!F56</f>
        <v>2</v>
      </c>
      <c r="L478" s="262">
        <f>'BASE DATOS'!G56</f>
        <v>2</v>
      </c>
      <c r="M478" s="262">
        <f>'BASE DATOS'!H56</f>
        <v>1</v>
      </c>
      <c r="N478" s="262"/>
      <c r="O478" s="263">
        <f t="shared" ref="O478:O484" si="215">SUM(H478:N478)</f>
        <v>12</v>
      </c>
      <c r="Q478" s="264"/>
      <c r="R478" s="264"/>
      <c r="S478" s="264"/>
      <c r="T478" s="264"/>
      <c r="U478" s="264"/>
      <c r="V478" s="264"/>
      <c r="W478" s="264"/>
      <c r="X478" s="264"/>
      <c r="Y478" s="264"/>
      <c r="Z478" s="264">
        <f>SUBTOTAL(9,S478:Y478)</f>
        <v>0</v>
      </c>
    </row>
    <row r="479" spans="1:30" ht="15" thickTop="1" thickBot="1">
      <c r="A479" s="371" t="str">
        <f t="shared" si="214"/>
        <v>4227-02</v>
      </c>
      <c r="B479" s="3"/>
      <c r="C479" s="4" t="s">
        <v>17</v>
      </c>
      <c r="D479" s="4" t="s">
        <v>141</v>
      </c>
      <c r="E479" s="5" t="s">
        <v>3</v>
      </c>
      <c r="F479" s="265">
        <v>11558</v>
      </c>
      <c r="G479" s="2"/>
      <c r="H479" s="7">
        <v>2</v>
      </c>
      <c r="I479" s="7">
        <v>3</v>
      </c>
      <c r="J479" s="7">
        <v>2</v>
      </c>
      <c r="K479" s="7">
        <v>2</v>
      </c>
      <c r="L479" s="7">
        <v>2</v>
      </c>
      <c r="M479" s="7">
        <v>1</v>
      </c>
      <c r="N479" s="8"/>
      <c r="O479" s="14">
        <f t="shared" si="215"/>
        <v>12</v>
      </c>
      <c r="Q479" s="252" t="s">
        <v>19</v>
      </c>
      <c r="R479" s="266"/>
      <c r="S479" s="266"/>
      <c r="T479" s="266"/>
      <c r="U479" s="266"/>
      <c r="V479" s="266"/>
      <c r="W479" s="266"/>
      <c r="X479" s="266"/>
      <c r="Y479" s="267"/>
      <c r="Z479" s="268">
        <f t="shared" ref="Z479:Z484" si="216">SUM(S479:Y479)</f>
        <v>0</v>
      </c>
    </row>
    <row r="480" spans="1:30" ht="15" thickTop="1" thickBot="1">
      <c r="A480" s="371" t="str">
        <f t="shared" si="214"/>
        <v>4227-02</v>
      </c>
      <c r="B480" s="3"/>
      <c r="C480" s="3"/>
      <c r="D480" s="57" t="s">
        <v>142</v>
      </c>
      <c r="E480" s="5" t="s">
        <v>3</v>
      </c>
      <c r="F480" s="269"/>
      <c r="G480" s="6"/>
      <c r="H480" s="7"/>
      <c r="I480" s="7"/>
      <c r="J480" s="7"/>
      <c r="K480" s="7"/>
      <c r="L480" s="7"/>
      <c r="M480" s="7"/>
      <c r="N480" s="15"/>
      <c r="O480" s="14">
        <f t="shared" si="215"/>
        <v>0</v>
      </c>
      <c r="Q480" s="252" t="s">
        <v>4</v>
      </c>
      <c r="R480" s="266">
        <f>78/19</f>
        <v>4.1052631578947372</v>
      </c>
      <c r="S480" s="266"/>
      <c r="T480" s="266"/>
      <c r="U480" s="266"/>
      <c r="V480" s="266"/>
      <c r="W480" s="266"/>
      <c r="X480" s="266"/>
      <c r="Y480" s="266"/>
      <c r="Z480" s="266">
        <f t="shared" si="216"/>
        <v>0</v>
      </c>
    </row>
    <row r="481" spans="1:26" ht="15" thickTop="1" thickBot="1">
      <c r="A481" s="371" t="str">
        <f t="shared" si="214"/>
        <v>4227-02</v>
      </c>
      <c r="B481" s="3"/>
      <c r="C481" s="3"/>
      <c r="D481" s="3"/>
      <c r="E481" s="5" t="s">
        <v>3</v>
      </c>
      <c r="F481" s="269"/>
      <c r="G481" s="6"/>
      <c r="H481" s="15"/>
      <c r="I481" s="15"/>
      <c r="J481" s="15"/>
      <c r="K481" s="15"/>
      <c r="L481" s="15"/>
      <c r="M481" s="15"/>
      <c r="N481" s="15"/>
      <c r="O481" s="16">
        <f t="shared" si="215"/>
        <v>0</v>
      </c>
      <c r="Q481" s="252" t="s">
        <v>6</v>
      </c>
      <c r="R481" s="266">
        <f>25/11</f>
        <v>2.2727272727272729</v>
      </c>
      <c r="S481" s="266"/>
      <c r="T481" s="266"/>
      <c r="U481" s="266"/>
      <c r="V481" s="266"/>
      <c r="W481" s="266"/>
      <c r="X481" s="266"/>
      <c r="Y481" s="266"/>
      <c r="Z481" s="266">
        <f t="shared" si="216"/>
        <v>0</v>
      </c>
    </row>
    <row r="482" spans="1:26" ht="15" thickTop="1" thickBot="1">
      <c r="A482" s="371" t="str">
        <f t="shared" si="214"/>
        <v>4227-02</v>
      </c>
      <c r="B482" s="3"/>
      <c r="C482" s="3"/>
      <c r="D482" s="3"/>
      <c r="E482" s="5" t="s">
        <v>3</v>
      </c>
      <c r="F482" s="269"/>
      <c r="G482" s="6"/>
      <c r="H482" s="8"/>
      <c r="I482" s="8"/>
      <c r="J482" s="8"/>
      <c r="K482" s="8"/>
      <c r="L482" s="8"/>
      <c r="M482" s="8"/>
      <c r="N482" s="15"/>
      <c r="O482" s="16">
        <f t="shared" si="215"/>
        <v>0</v>
      </c>
      <c r="Q482" s="266"/>
      <c r="R482" s="266"/>
      <c r="S482" s="266"/>
      <c r="T482" s="266"/>
      <c r="U482" s="266"/>
      <c r="V482" s="266"/>
      <c r="W482" s="266"/>
      <c r="X482" s="266"/>
      <c r="Y482" s="266"/>
      <c r="Z482" s="266">
        <f t="shared" si="216"/>
        <v>0</v>
      </c>
    </row>
    <row r="483" spans="1:26" ht="15" thickTop="1" thickBot="1">
      <c r="A483" s="372" t="str">
        <f t="shared" si="214"/>
        <v>4227-02</v>
      </c>
      <c r="B483" s="19"/>
      <c r="C483" s="19"/>
      <c r="D483" s="19"/>
      <c r="E483" s="20" t="s">
        <v>3</v>
      </c>
      <c r="F483" s="271"/>
      <c r="G483" s="21"/>
      <c r="H483" s="22"/>
      <c r="I483" s="22"/>
      <c r="J483" s="22"/>
      <c r="K483" s="22"/>
      <c r="L483" s="22"/>
      <c r="M483" s="22"/>
      <c r="N483" s="22"/>
      <c r="O483" s="23">
        <f t="shared" si="215"/>
        <v>0</v>
      </c>
      <c r="Q483" s="252" t="s">
        <v>2</v>
      </c>
      <c r="R483" s="272">
        <f>500/10.2</f>
        <v>49.019607843137258</v>
      </c>
      <c r="S483" s="252">
        <f>49*1.2</f>
        <v>58.8</v>
      </c>
      <c r="T483" s="252">
        <f>49*2.1</f>
        <v>102.9</v>
      </c>
      <c r="U483" s="252">
        <f>49*2.4</f>
        <v>117.6</v>
      </c>
      <c r="V483" s="252">
        <f>49*2.4</f>
        <v>117.6</v>
      </c>
      <c r="W483" s="252">
        <f>49*1.5</f>
        <v>73.5</v>
      </c>
      <c r="X483" s="252">
        <f>49*0.9</f>
        <v>44.1</v>
      </c>
      <c r="Y483" s="266"/>
      <c r="Z483" s="266">
        <f t="shared" si="216"/>
        <v>514.5</v>
      </c>
    </row>
    <row r="484" spans="1:26" ht="15" thickTop="1" thickBot="1">
      <c r="A484" s="373" t="str">
        <f t="shared" si="214"/>
        <v>4227-02</v>
      </c>
      <c r="B484" s="47"/>
      <c r="C484" s="47"/>
      <c r="D484" s="47"/>
      <c r="E484" s="48" t="s">
        <v>23</v>
      </c>
      <c r="F484" s="49" t="str">
        <f>+B477</f>
        <v>New Glue</v>
      </c>
      <c r="G484" s="48"/>
      <c r="H484" s="48">
        <f>+H478-H479-H480-H481-H483+H482</f>
        <v>0</v>
      </c>
      <c r="I484" s="48">
        <f>+I478-I479-I480-I481-I483+I482</f>
        <v>0</v>
      </c>
      <c r="J484" s="48">
        <f>+J478-J479-J480-J481-J483-J482</f>
        <v>0</v>
      </c>
      <c r="K484" s="48">
        <f>+K478-K479-K480-K481-K483-K482</f>
        <v>0</v>
      </c>
      <c r="L484" s="48">
        <f>+L478-L479-L480-L481-L483-L482</f>
        <v>0</v>
      </c>
      <c r="M484" s="48">
        <f>+M478-M479-M480-M481-M483-M482</f>
        <v>0</v>
      </c>
      <c r="N484" s="48"/>
      <c r="O484" s="48">
        <f t="shared" si="215"/>
        <v>0</v>
      </c>
      <c r="Q484" s="266"/>
      <c r="R484" s="266"/>
      <c r="S484" s="252">
        <f t="shared" ref="S484:X484" si="217">SUM(S480:S483)</f>
        <v>58.8</v>
      </c>
      <c r="T484" s="252">
        <f t="shared" si="217"/>
        <v>102.9</v>
      </c>
      <c r="U484" s="252">
        <f t="shared" si="217"/>
        <v>117.6</v>
      </c>
      <c r="V484" s="252">
        <f t="shared" si="217"/>
        <v>117.6</v>
      </c>
      <c r="W484" s="252">
        <f t="shared" si="217"/>
        <v>73.5</v>
      </c>
      <c r="X484" s="252">
        <f t="shared" si="217"/>
        <v>44.1</v>
      </c>
      <c r="Y484" s="252"/>
      <c r="Z484" s="252">
        <f t="shared" si="216"/>
        <v>514.5</v>
      </c>
    </row>
    <row r="485" spans="1:26" ht="15" thickTop="1" thickBot="1">
      <c r="A485" s="274" t="s">
        <v>7</v>
      </c>
      <c r="B485" s="43" t="s">
        <v>8</v>
      </c>
      <c r="C485" s="43"/>
      <c r="D485" s="43"/>
      <c r="E485" s="44" t="s">
        <v>9</v>
      </c>
      <c r="F485" s="45"/>
      <c r="G485" s="45"/>
      <c r="H485" s="44"/>
      <c r="I485" s="44"/>
      <c r="J485" s="44"/>
      <c r="K485" s="44"/>
      <c r="L485" s="44"/>
      <c r="M485" s="44"/>
      <c r="N485" s="44"/>
      <c r="O485" s="44"/>
    </row>
    <row r="486" spans="1:26" ht="15" thickTop="1" thickBot="1">
      <c r="A486" s="278" t="s">
        <v>146</v>
      </c>
      <c r="B486" s="38" t="s">
        <v>36</v>
      </c>
      <c r="C486" s="9" t="s">
        <v>12</v>
      </c>
      <c r="D486" s="9" t="s">
        <v>37</v>
      </c>
      <c r="E486" s="10"/>
      <c r="F486" s="256" t="s">
        <v>14</v>
      </c>
      <c r="G486" s="257">
        <v>34</v>
      </c>
      <c r="H486" s="257">
        <v>36</v>
      </c>
      <c r="I486" s="257">
        <v>38</v>
      </c>
      <c r="J486" s="257">
        <v>40</v>
      </c>
      <c r="K486" s="257">
        <v>42</v>
      </c>
      <c r="L486" s="257">
        <v>44</v>
      </c>
      <c r="M486" s="257">
        <v>46</v>
      </c>
      <c r="N486" s="257"/>
      <c r="O486" s="258" t="s">
        <v>15</v>
      </c>
      <c r="Q486" s="259" t="s">
        <v>14</v>
      </c>
      <c r="R486" s="259"/>
      <c r="S486" s="259">
        <v>36</v>
      </c>
      <c r="T486" s="259">
        <v>38</v>
      </c>
      <c r="U486" s="259">
        <v>40</v>
      </c>
      <c r="V486" s="259">
        <v>42</v>
      </c>
      <c r="W486" s="259">
        <v>44</v>
      </c>
      <c r="X486" s="259">
        <v>46</v>
      </c>
      <c r="Y486" s="259"/>
      <c r="Z486" s="259" t="s">
        <v>15</v>
      </c>
    </row>
    <row r="487" spans="1:26" ht="15" thickTop="1" thickBot="1">
      <c r="A487" s="280" t="str">
        <f t="shared" ref="A487:A493" si="218">+A486</f>
        <v>4228-00</v>
      </c>
      <c r="B487" s="39" t="s">
        <v>16</v>
      </c>
      <c r="C487" s="39"/>
      <c r="D487" s="39" t="str">
        <f>+B486</f>
        <v>B2868-V3</v>
      </c>
      <c r="E487" s="40"/>
      <c r="F487" s="261" t="s">
        <v>1</v>
      </c>
      <c r="G487" s="261"/>
      <c r="H487" s="262">
        <f>'BASE DATOS'!C57</f>
        <v>56</v>
      </c>
      <c r="I487" s="262">
        <f>'BASE DATOS'!D57</f>
        <v>95</v>
      </c>
      <c r="J487" s="262">
        <f>'BASE DATOS'!E57</f>
        <v>97</v>
      </c>
      <c r="K487" s="262">
        <f>'BASE DATOS'!F57</f>
        <v>92</v>
      </c>
      <c r="L487" s="262">
        <f>'BASE DATOS'!G57</f>
        <v>67</v>
      </c>
      <c r="M487" s="262">
        <f>'BASE DATOS'!H57</f>
        <v>44</v>
      </c>
      <c r="N487" s="262"/>
      <c r="O487" s="263">
        <f t="shared" ref="O487:O493" si="219">SUM(H487:N487)</f>
        <v>451</v>
      </c>
      <c r="Q487" s="264"/>
      <c r="R487" s="264"/>
      <c r="S487" s="264"/>
      <c r="T487" s="264"/>
      <c r="U487" s="264"/>
      <c r="V487" s="264"/>
      <c r="W487" s="264"/>
      <c r="X487" s="264"/>
      <c r="Y487" s="264"/>
      <c r="Z487" s="264">
        <f>SUBTOTAL(9,S487:Y487)</f>
        <v>0</v>
      </c>
    </row>
    <row r="488" spans="1:26" ht="15" thickTop="1" thickBot="1">
      <c r="A488" s="280" t="str">
        <f t="shared" si="218"/>
        <v>4228-00</v>
      </c>
      <c r="B488" s="3">
        <v>46055</v>
      </c>
      <c r="C488" s="4" t="s">
        <v>17</v>
      </c>
      <c r="D488" s="4" t="s">
        <v>42</v>
      </c>
      <c r="E488" s="5" t="s">
        <v>3</v>
      </c>
      <c r="F488" s="265">
        <v>11552</v>
      </c>
      <c r="G488" s="2"/>
      <c r="H488" s="7">
        <v>50</v>
      </c>
      <c r="I488" s="7">
        <v>100</v>
      </c>
      <c r="J488" s="374">
        <v>150</v>
      </c>
      <c r="K488" s="7">
        <v>100</v>
      </c>
      <c r="L488" s="7">
        <v>100</v>
      </c>
      <c r="M488" s="7">
        <v>50</v>
      </c>
      <c r="N488" s="8"/>
      <c r="O488" s="14">
        <f t="shared" si="219"/>
        <v>550</v>
      </c>
      <c r="Q488" s="252" t="s">
        <v>19</v>
      </c>
      <c r="R488" s="266"/>
      <c r="S488" s="266"/>
      <c r="T488" s="266"/>
      <c r="U488" s="266"/>
      <c r="V488" s="266"/>
      <c r="W488" s="266"/>
      <c r="X488" s="266"/>
      <c r="Y488" s="267"/>
      <c r="Z488" s="268">
        <f t="shared" ref="Z488:Z493" si="220">SUM(S488:Y488)</f>
        <v>0</v>
      </c>
    </row>
    <row r="489" spans="1:26" ht="15" thickTop="1" thickBot="1">
      <c r="A489" s="280" t="str">
        <f t="shared" si="218"/>
        <v>4228-00</v>
      </c>
      <c r="B489" s="3"/>
      <c r="C489" s="3"/>
      <c r="D489" s="3"/>
      <c r="E489" s="5" t="s">
        <v>3</v>
      </c>
      <c r="F489" s="352" t="s">
        <v>147</v>
      </c>
      <c r="G489" s="6"/>
      <c r="H489" s="7"/>
      <c r="I489" s="7"/>
      <c r="J489" s="7"/>
      <c r="K489" s="7"/>
      <c r="L489" s="7"/>
      <c r="M489" s="7"/>
      <c r="N489" s="15"/>
      <c r="O489" s="14">
        <f t="shared" si="219"/>
        <v>0</v>
      </c>
      <c r="Q489" s="252" t="s">
        <v>4</v>
      </c>
      <c r="R489" s="266">
        <f>78/19</f>
        <v>4.1052631578947372</v>
      </c>
      <c r="S489" s="266"/>
      <c r="T489" s="266"/>
      <c r="U489" s="266"/>
      <c r="V489" s="266"/>
      <c r="W489" s="266"/>
      <c r="X489" s="266"/>
      <c r="Y489" s="266"/>
      <c r="Z489" s="266">
        <f t="shared" si="220"/>
        <v>0</v>
      </c>
    </row>
    <row r="490" spans="1:26" ht="15" thickTop="1" thickBot="1">
      <c r="A490" s="280" t="str">
        <f t="shared" si="218"/>
        <v>4228-00</v>
      </c>
      <c r="B490" s="3"/>
      <c r="C490" s="3"/>
      <c r="D490" s="3"/>
      <c r="E490" s="5" t="s">
        <v>3</v>
      </c>
      <c r="F490" s="352" t="s">
        <v>148</v>
      </c>
      <c r="G490" s="6"/>
      <c r="H490" s="15"/>
      <c r="I490" s="15"/>
      <c r="J490" s="15"/>
      <c r="K490" s="15"/>
      <c r="L490" s="15"/>
      <c r="M490" s="15"/>
      <c r="N490" s="15"/>
      <c r="O490" s="16">
        <f t="shared" si="219"/>
        <v>0</v>
      </c>
      <c r="Q490" s="252" t="s">
        <v>6</v>
      </c>
      <c r="R490" s="266">
        <f>25/11</f>
        <v>2.2727272727272729</v>
      </c>
      <c r="S490" s="266"/>
      <c r="T490" s="266"/>
      <c r="U490" s="266"/>
      <c r="V490" s="266"/>
      <c r="W490" s="266"/>
      <c r="X490" s="266"/>
      <c r="Y490" s="266"/>
      <c r="Z490" s="266">
        <f t="shared" si="220"/>
        <v>0</v>
      </c>
    </row>
    <row r="491" spans="1:26" ht="15" thickTop="1" thickBot="1">
      <c r="A491" s="280" t="str">
        <f t="shared" si="218"/>
        <v>4228-00</v>
      </c>
      <c r="B491" s="3"/>
      <c r="C491" s="3"/>
      <c r="D491" s="3"/>
      <c r="E491" s="5" t="s">
        <v>3</v>
      </c>
      <c r="F491" s="269"/>
      <c r="G491" s="6"/>
      <c r="H491" s="8"/>
      <c r="I491" s="8"/>
      <c r="J491" s="8"/>
      <c r="K491" s="8"/>
      <c r="L491" s="8"/>
      <c r="M491" s="8"/>
      <c r="N491" s="15"/>
      <c r="O491" s="16">
        <f t="shared" si="219"/>
        <v>0</v>
      </c>
      <c r="Q491" s="266"/>
      <c r="R491" s="266"/>
      <c r="S491" s="266"/>
      <c r="T491" s="266"/>
      <c r="U491" s="266"/>
      <c r="V491" s="266"/>
      <c r="W491" s="266"/>
      <c r="X491" s="266"/>
      <c r="Y491" s="266"/>
      <c r="Z491" s="266">
        <f t="shared" si="220"/>
        <v>0</v>
      </c>
    </row>
    <row r="492" spans="1:26" ht="15" thickTop="1" thickBot="1">
      <c r="A492" s="283" t="str">
        <f t="shared" si="218"/>
        <v>4228-00</v>
      </c>
      <c r="B492" s="19"/>
      <c r="C492" s="19"/>
      <c r="D492" s="19"/>
      <c r="E492" s="20" t="s">
        <v>3</v>
      </c>
      <c r="F492" s="271"/>
      <c r="G492" s="21"/>
      <c r="H492" s="22"/>
      <c r="I492" s="22"/>
      <c r="J492" s="22"/>
      <c r="K492" s="22"/>
      <c r="L492" s="22"/>
      <c r="M492" s="22"/>
      <c r="N492" s="22"/>
      <c r="O492" s="23">
        <f t="shared" si="219"/>
        <v>0</v>
      </c>
      <c r="Q492" s="252" t="s">
        <v>2</v>
      </c>
      <c r="R492" s="272">
        <f>500/10.2</f>
        <v>49.019607843137258</v>
      </c>
      <c r="S492" s="252">
        <f>49*1.2</f>
        <v>58.8</v>
      </c>
      <c r="T492" s="252">
        <f>49*2.1</f>
        <v>102.9</v>
      </c>
      <c r="U492" s="252">
        <f>49*2.4</f>
        <v>117.6</v>
      </c>
      <c r="V492" s="252">
        <f>49*2.4</f>
        <v>117.6</v>
      </c>
      <c r="W492" s="252">
        <f>49*1.5</f>
        <v>73.5</v>
      </c>
      <c r="X492" s="252">
        <f>49*0.9</f>
        <v>44.1</v>
      </c>
      <c r="Y492" s="266"/>
      <c r="Z492" s="266">
        <f t="shared" si="220"/>
        <v>514.5</v>
      </c>
    </row>
    <row r="493" spans="1:26" ht="15" thickTop="1" thickBot="1">
      <c r="A493" s="284" t="str">
        <f t="shared" si="218"/>
        <v>4228-00</v>
      </c>
      <c r="B493" s="47"/>
      <c r="C493" s="47"/>
      <c r="D493" s="47"/>
      <c r="E493" s="48" t="s">
        <v>23</v>
      </c>
      <c r="F493" s="49" t="str">
        <f>+B486</f>
        <v>B2868-V3</v>
      </c>
      <c r="G493" s="48"/>
      <c r="H493" s="48">
        <f>+H487-H488-H489-H490-H492+H491</f>
        <v>6</v>
      </c>
      <c r="I493" s="48">
        <f>+I487-I488-I489-I490-I492+I491</f>
        <v>-5</v>
      </c>
      <c r="J493" s="48">
        <f>+J487-J488-J489-J490-J492-J491</f>
        <v>-53</v>
      </c>
      <c r="K493" s="48">
        <f>+K487-K488-K489-K490-K492-K491</f>
        <v>-8</v>
      </c>
      <c r="L493" s="48">
        <f>+L487-L488-L489-L490-L492-L491</f>
        <v>-33</v>
      </c>
      <c r="M493" s="48">
        <f>+M487-M488-M489-M490-M492-M491</f>
        <v>-6</v>
      </c>
      <c r="N493" s="48"/>
      <c r="O493" s="48">
        <f t="shared" si="219"/>
        <v>-99</v>
      </c>
      <c r="Q493" s="266"/>
      <c r="R493" s="266"/>
      <c r="S493" s="252">
        <f t="shared" ref="S493:X493" si="221">SUM(S489:S492)</f>
        <v>58.8</v>
      </c>
      <c r="T493" s="252">
        <f t="shared" si="221"/>
        <v>102.9</v>
      </c>
      <c r="U493" s="252">
        <f t="shared" si="221"/>
        <v>117.6</v>
      </c>
      <c r="V493" s="252">
        <f t="shared" si="221"/>
        <v>117.6</v>
      </c>
      <c r="W493" s="252">
        <f t="shared" si="221"/>
        <v>73.5</v>
      </c>
      <c r="X493" s="252">
        <f t="shared" si="221"/>
        <v>44.1</v>
      </c>
      <c r="Y493" s="252"/>
      <c r="Z493" s="252">
        <f t="shared" si="220"/>
        <v>514.5</v>
      </c>
    </row>
    <row r="494" spans="1:26" ht="15" thickTop="1" thickBot="1">
      <c r="A494" s="274" t="s">
        <v>7</v>
      </c>
      <c r="B494" s="43" t="s">
        <v>8</v>
      </c>
      <c r="C494" s="43"/>
      <c r="D494" s="43"/>
      <c r="E494" s="44" t="s">
        <v>9</v>
      </c>
      <c r="F494" s="45"/>
      <c r="G494" s="45"/>
      <c r="H494" s="44"/>
      <c r="I494" s="44"/>
      <c r="J494" s="44"/>
      <c r="K494" s="44"/>
      <c r="L494" s="44"/>
      <c r="M494" s="44"/>
      <c r="N494" s="44"/>
      <c r="O494" s="44"/>
    </row>
    <row r="495" spans="1:26" ht="15" thickTop="1" thickBot="1">
      <c r="A495" s="278" t="s">
        <v>149</v>
      </c>
      <c r="B495" s="38" t="s">
        <v>95</v>
      </c>
      <c r="C495" s="9" t="s">
        <v>12</v>
      </c>
      <c r="D495" s="9" t="s">
        <v>13</v>
      </c>
      <c r="E495" s="10"/>
      <c r="F495" s="256" t="s">
        <v>14</v>
      </c>
      <c r="G495" s="257">
        <v>34</v>
      </c>
      <c r="H495" s="257">
        <v>36</v>
      </c>
      <c r="I495" s="257">
        <v>38</v>
      </c>
      <c r="J495" s="257">
        <v>40</v>
      </c>
      <c r="K495" s="257">
        <v>42</v>
      </c>
      <c r="L495" s="257">
        <v>44</v>
      </c>
      <c r="M495" s="257">
        <v>46</v>
      </c>
      <c r="N495" s="257"/>
      <c r="O495" s="258" t="s">
        <v>15</v>
      </c>
      <c r="Q495" s="259" t="s">
        <v>14</v>
      </c>
      <c r="R495" s="259"/>
      <c r="S495" s="259">
        <v>36</v>
      </c>
      <c r="T495" s="259">
        <v>38</v>
      </c>
      <c r="U495" s="259">
        <v>40</v>
      </c>
      <c r="V495" s="259">
        <v>42</v>
      </c>
      <c r="W495" s="259">
        <v>44</v>
      </c>
      <c r="X495" s="259">
        <v>46</v>
      </c>
      <c r="Y495" s="259"/>
      <c r="Z495" s="259" t="s">
        <v>15</v>
      </c>
    </row>
    <row r="496" spans="1:26" ht="15" thickTop="1" thickBot="1">
      <c r="A496" s="280" t="str">
        <f t="shared" ref="A496:A502" si="222">+A495</f>
        <v>4229-00</v>
      </c>
      <c r="B496" s="39" t="s">
        <v>16</v>
      </c>
      <c r="C496" s="39"/>
      <c r="D496" s="39" t="str">
        <f>+B495</f>
        <v>New Glue</v>
      </c>
      <c r="E496" s="40"/>
      <c r="F496" s="261" t="s">
        <v>1</v>
      </c>
      <c r="G496" s="261"/>
      <c r="H496" s="262">
        <f>'BASE DATOS'!C58</f>
        <v>43</v>
      </c>
      <c r="I496" s="262">
        <f>'BASE DATOS'!D58</f>
        <v>101</v>
      </c>
      <c r="J496" s="262">
        <f>'BASE DATOS'!E58</f>
        <v>110</v>
      </c>
      <c r="K496" s="262">
        <f>'BASE DATOS'!F58</f>
        <v>108</v>
      </c>
      <c r="L496" s="262">
        <f>'BASE DATOS'!G58</f>
        <v>79</v>
      </c>
      <c r="M496" s="262">
        <f>'BASE DATOS'!H58</f>
        <v>61</v>
      </c>
      <c r="N496" s="262"/>
      <c r="O496" s="263">
        <f t="shared" ref="O496:O502" si="223">SUM(H496:N496)</f>
        <v>502</v>
      </c>
      <c r="Q496" s="264"/>
      <c r="R496" s="264"/>
      <c r="S496" s="264"/>
      <c r="T496" s="264"/>
      <c r="U496" s="264"/>
      <c r="V496" s="264"/>
      <c r="W496" s="264"/>
      <c r="X496" s="264"/>
      <c r="Y496" s="264"/>
      <c r="Z496" s="264">
        <f>SUBTOTAL(9,S496:Y496)</f>
        <v>0</v>
      </c>
    </row>
    <row r="497" spans="1:26" ht="15" thickTop="1" thickBot="1">
      <c r="A497" s="280" t="str">
        <f t="shared" si="222"/>
        <v>4229-00</v>
      </c>
      <c r="B497" s="3">
        <v>46003</v>
      </c>
      <c r="C497" s="4" t="s">
        <v>17</v>
      </c>
      <c r="D497" s="4" t="s">
        <v>18</v>
      </c>
      <c r="E497" s="5" t="s">
        <v>3</v>
      </c>
      <c r="F497" s="265">
        <v>11535</v>
      </c>
      <c r="G497" s="2"/>
      <c r="H497" s="7">
        <v>78</v>
      </c>
      <c r="I497" s="7">
        <v>98</v>
      </c>
      <c r="J497" s="7">
        <v>98</v>
      </c>
      <c r="K497" s="7">
        <v>98</v>
      </c>
      <c r="L497" s="7">
        <v>76</v>
      </c>
      <c r="M497" s="7">
        <v>46</v>
      </c>
      <c r="N497" s="8"/>
      <c r="O497" s="14">
        <f t="shared" si="223"/>
        <v>494</v>
      </c>
      <c r="Q497" s="252" t="s">
        <v>19</v>
      </c>
      <c r="R497" s="266"/>
      <c r="S497" s="266"/>
      <c r="T497" s="266"/>
      <c r="U497" s="266"/>
      <c r="V497" s="266"/>
      <c r="W497" s="266"/>
      <c r="X497" s="266"/>
      <c r="Y497" s="267"/>
      <c r="Z497" s="268">
        <f t="shared" ref="Z497:Z502" si="224">SUM(S497:Y497)</f>
        <v>0</v>
      </c>
    </row>
    <row r="498" spans="1:26" ht="15" thickTop="1" thickBot="1">
      <c r="A498" s="280" t="str">
        <f t="shared" si="222"/>
        <v>4229-00</v>
      </c>
      <c r="B498" s="3"/>
      <c r="C498" s="3"/>
      <c r="D498" s="52"/>
      <c r="E498" s="5" t="s">
        <v>3</v>
      </c>
      <c r="F498" s="269"/>
      <c r="G498" s="6"/>
      <c r="H498" s="7"/>
      <c r="I498" s="7"/>
      <c r="J498" s="7"/>
      <c r="K498" s="7"/>
      <c r="L498" s="7"/>
      <c r="M498" s="7"/>
      <c r="N498" s="15"/>
      <c r="O498" s="14">
        <f t="shared" si="223"/>
        <v>0</v>
      </c>
      <c r="Q498" s="252" t="s">
        <v>4</v>
      </c>
      <c r="R498" s="266">
        <f>78/19</f>
        <v>4.1052631578947372</v>
      </c>
      <c r="S498" s="266"/>
      <c r="T498" s="266"/>
      <c r="U498" s="266"/>
      <c r="V498" s="266"/>
      <c r="W498" s="266"/>
      <c r="X498" s="266"/>
      <c r="Y498" s="266"/>
      <c r="Z498" s="266">
        <f t="shared" si="224"/>
        <v>0</v>
      </c>
    </row>
    <row r="499" spans="1:26" ht="15" thickTop="1" thickBot="1">
      <c r="A499" s="280" t="str">
        <f t="shared" si="222"/>
        <v>4229-00</v>
      </c>
      <c r="B499" s="3"/>
      <c r="C499" s="3"/>
      <c r="D499" s="3"/>
      <c r="E499" s="5" t="s">
        <v>3</v>
      </c>
      <c r="F499" s="269"/>
      <c r="G499" s="6"/>
      <c r="H499" s="15"/>
      <c r="I499" s="15"/>
      <c r="J499" s="15"/>
      <c r="K499" s="15"/>
      <c r="L499" s="15"/>
      <c r="M499" s="15"/>
      <c r="N499" s="15"/>
      <c r="O499" s="16">
        <f t="shared" si="223"/>
        <v>0</v>
      </c>
      <c r="Q499" s="252" t="s">
        <v>6</v>
      </c>
      <c r="R499" s="266">
        <f>25/11</f>
        <v>2.2727272727272729</v>
      </c>
      <c r="S499" s="266"/>
      <c r="T499" s="266"/>
      <c r="U499" s="266"/>
      <c r="V499" s="266"/>
      <c r="W499" s="266"/>
      <c r="X499" s="266"/>
      <c r="Y499" s="266"/>
      <c r="Z499" s="266">
        <f t="shared" si="224"/>
        <v>0</v>
      </c>
    </row>
    <row r="500" spans="1:26" ht="15" thickTop="1" thickBot="1">
      <c r="A500" s="280" t="str">
        <f t="shared" si="222"/>
        <v>4229-00</v>
      </c>
      <c r="B500" s="3"/>
      <c r="C500" s="3"/>
      <c r="D500" s="3"/>
      <c r="E500" s="5" t="s">
        <v>3</v>
      </c>
      <c r="F500" s="269"/>
      <c r="G500" s="6"/>
      <c r="H500" s="8"/>
      <c r="I500" s="8"/>
      <c r="J500" s="8"/>
      <c r="K500" s="8"/>
      <c r="L500" s="8"/>
      <c r="M500" s="8"/>
      <c r="N500" s="15"/>
      <c r="O500" s="16">
        <f t="shared" si="223"/>
        <v>0</v>
      </c>
      <c r="Q500" s="266"/>
      <c r="R500" s="266"/>
      <c r="S500" s="266"/>
      <c r="T500" s="266"/>
      <c r="U500" s="266"/>
      <c r="V500" s="266"/>
      <c r="W500" s="266"/>
      <c r="X500" s="266"/>
      <c r="Y500" s="266"/>
      <c r="Z500" s="266">
        <f t="shared" si="224"/>
        <v>0</v>
      </c>
    </row>
    <row r="501" spans="1:26" ht="15" thickTop="1" thickBot="1">
      <c r="A501" s="283" t="str">
        <f t="shared" si="222"/>
        <v>4229-00</v>
      </c>
      <c r="B501" s="19"/>
      <c r="C501" s="19"/>
      <c r="D501" s="19"/>
      <c r="E501" s="20" t="s">
        <v>3</v>
      </c>
      <c r="F501" s="271"/>
      <c r="G501" s="21"/>
      <c r="H501" s="22"/>
      <c r="I501" s="22"/>
      <c r="J501" s="22"/>
      <c r="K501" s="22"/>
      <c r="L501" s="22"/>
      <c r="M501" s="22"/>
      <c r="N501" s="22"/>
      <c r="O501" s="23">
        <f t="shared" si="223"/>
        <v>0</v>
      </c>
      <c r="Q501" s="252" t="s">
        <v>2</v>
      </c>
      <c r="R501" s="272">
        <f>500/10.2</f>
        <v>49.019607843137258</v>
      </c>
      <c r="S501" s="252">
        <f>49*1.2</f>
        <v>58.8</v>
      </c>
      <c r="T501" s="252">
        <f>49*2.1</f>
        <v>102.9</v>
      </c>
      <c r="U501" s="252">
        <f>49*2.4</f>
        <v>117.6</v>
      </c>
      <c r="V501" s="252">
        <f>49*2.4</f>
        <v>117.6</v>
      </c>
      <c r="W501" s="252">
        <f>49*1.5</f>
        <v>73.5</v>
      </c>
      <c r="X501" s="252">
        <f>49*0.9</f>
        <v>44.1</v>
      </c>
      <c r="Y501" s="266"/>
      <c r="Z501" s="266">
        <f t="shared" si="224"/>
        <v>514.5</v>
      </c>
    </row>
    <row r="502" spans="1:26" ht="15" thickTop="1" thickBot="1">
      <c r="A502" s="284" t="str">
        <f t="shared" si="222"/>
        <v>4229-00</v>
      </c>
      <c r="B502" s="47"/>
      <c r="C502" s="47"/>
      <c r="D502" s="47"/>
      <c r="E502" s="48" t="s">
        <v>23</v>
      </c>
      <c r="F502" s="49" t="str">
        <f>+B495</f>
        <v>New Glue</v>
      </c>
      <c r="G502" s="48"/>
      <c r="H502" s="48">
        <f>+H496-H497-H498-H499-H501+H500</f>
        <v>-35</v>
      </c>
      <c r="I502" s="48">
        <f>+I496-I497-I498-I499-I501+I500</f>
        <v>3</v>
      </c>
      <c r="J502" s="48">
        <f>+J496-J497-J498-J499-J501-J500</f>
        <v>12</v>
      </c>
      <c r="K502" s="48">
        <f>+K496-K497-K498-K499-K501-K500</f>
        <v>10</v>
      </c>
      <c r="L502" s="48">
        <f>+L496-L497-L498-L499-L501-L500</f>
        <v>3</v>
      </c>
      <c r="M502" s="48">
        <f>+M496-M497-M498-M499-M501-M500</f>
        <v>15</v>
      </c>
      <c r="N502" s="48"/>
      <c r="O502" s="48">
        <f t="shared" si="223"/>
        <v>8</v>
      </c>
      <c r="Q502" s="266"/>
      <c r="R502" s="266"/>
      <c r="S502" s="252">
        <f t="shared" ref="S502:X502" si="225">SUM(S498:S501)</f>
        <v>58.8</v>
      </c>
      <c r="T502" s="252">
        <f t="shared" si="225"/>
        <v>102.9</v>
      </c>
      <c r="U502" s="252">
        <f t="shared" si="225"/>
        <v>117.6</v>
      </c>
      <c r="V502" s="252">
        <f t="shared" si="225"/>
        <v>117.6</v>
      </c>
      <c r="W502" s="252">
        <f t="shared" si="225"/>
        <v>73.5</v>
      </c>
      <c r="X502" s="252">
        <f t="shared" si="225"/>
        <v>44.1</v>
      </c>
      <c r="Y502" s="252"/>
      <c r="Z502" s="252">
        <f t="shared" si="224"/>
        <v>514.5</v>
      </c>
    </row>
    <row r="503" spans="1:26" ht="15" thickTop="1" thickBot="1">
      <c r="A503" s="274" t="s">
        <v>7</v>
      </c>
      <c r="B503" s="43" t="s">
        <v>8</v>
      </c>
      <c r="C503" s="43"/>
      <c r="D503" s="43"/>
      <c r="E503" s="44" t="s">
        <v>9</v>
      </c>
      <c r="F503" s="45"/>
      <c r="G503" s="45"/>
      <c r="H503" s="44"/>
      <c r="I503" s="44"/>
      <c r="J503" s="44"/>
      <c r="K503" s="44"/>
      <c r="L503" s="44"/>
      <c r="M503" s="44"/>
      <c r="N503" s="44"/>
      <c r="O503" s="44"/>
    </row>
    <row r="504" spans="1:26" ht="15" thickTop="1" thickBot="1">
      <c r="A504" s="278" t="s">
        <v>150</v>
      </c>
      <c r="B504" s="38" t="s">
        <v>151</v>
      </c>
      <c r="C504" s="9" t="s">
        <v>12</v>
      </c>
      <c r="D504" s="9" t="s">
        <v>13</v>
      </c>
      <c r="E504" s="10"/>
      <c r="F504" s="256" t="s">
        <v>14</v>
      </c>
      <c r="G504" s="257">
        <v>34</v>
      </c>
      <c r="H504" s="257">
        <v>36</v>
      </c>
      <c r="I504" s="257">
        <v>38</v>
      </c>
      <c r="J504" s="257">
        <v>40</v>
      </c>
      <c r="K504" s="257">
        <v>42</v>
      </c>
      <c r="L504" s="257">
        <v>44</v>
      </c>
      <c r="M504" s="257">
        <v>46</v>
      </c>
      <c r="N504" s="257"/>
      <c r="O504" s="258" t="s">
        <v>15</v>
      </c>
      <c r="Q504" s="259" t="s">
        <v>14</v>
      </c>
      <c r="R504" s="259"/>
      <c r="S504" s="259">
        <v>36</v>
      </c>
      <c r="T504" s="259">
        <v>38</v>
      </c>
      <c r="U504" s="259">
        <v>40</v>
      </c>
      <c r="V504" s="259">
        <v>42</v>
      </c>
      <c r="W504" s="259">
        <v>44</v>
      </c>
      <c r="X504" s="259">
        <v>46</v>
      </c>
      <c r="Y504" s="259"/>
      <c r="Z504" s="259" t="s">
        <v>15</v>
      </c>
    </row>
    <row r="505" spans="1:26" ht="15" thickTop="1" thickBot="1">
      <c r="A505" s="280" t="str">
        <f t="shared" ref="A505:A511" si="226">+A504</f>
        <v>4230-00</v>
      </c>
      <c r="B505" s="39" t="s">
        <v>16</v>
      </c>
      <c r="C505" s="39"/>
      <c r="D505" s="39" t="str">
        <f>+B504</f>
        <v>Imperio Max</v>
      </c>
      <c r="E505" s="40"/>
      <c r="F505" s="261" t="s">
        <v>1</v>
      </c>
      <c r="G505" s="261"/>
      <c r="H505" s="262">
        <f>'BASE DATOS'!C59</f>
        <v>41</v>
      </c>
      <c r="I505" s="262">
        <f>'BASE DATOS'!D59</f>
        <v>58</v>
      </c>
      <c r="J505" s="262">
        <f>'BASE DATOS'!E59</f>
        <v>58</v>
      </c>
      <c r="K505" s="262">
        <f>'BASE DATOS'!F59</f>
        <v>54</v>
      </c>
      <c r="L505" s="262">
        <f>'BASE DATOS'!G59</f>
        <v>33</v>
      </c>
      <c r="M505" s="262">
        <f>'BASE DATOS'!H59</f>
        <v>21</v>
      </c>
      <c r="N505" s="262"/>
      <c r="O505" s="263">
        <f t="shared" ref="O505:O511" si="227">SUM(H505:N505)</f>
        <v>265</v>
      </c>
      <c r="Q505" s="264"/>
      <c r="R505" s="264"/>
      <c r="S505" s="264"/>
      <c r="T505" s="264"/>
      <c r="U505" s="264"/>
      <c r="V505" s="264"/>
      <c r="W505" s="264"/>
      <c r="X505" s="264"/>
      <c r="Y505" s="264"/>
      <c r="Z505" s="264">
        <f>SUBTOTAL(9,S505:Y505)</f>
        <v>0</v>
      </c>
    </row>
    <row r="506" spans="1:26" ht="15" thickTop="1" thickBot="1">
      <c r="A506" s="280" t="str">
        <f t="shared" si="226"/>
        <v>4230-00</v>
      </c>
      <c r="B506" s="3">
        <v>46003</v>
      </c>
      <c r="C506" s="4" t="s">
        <v>17</v>
      </c>
      <c r="D506" s="4" t="s">
        <v>152</v>
      </c>
      <c r="E506" s="5" t="s">
        <v>3</v>
      </c>
      <c r="F506" s="305" t="s">
        <v>153</v>
      </c>
      <c r="G506" s="2"/>
      <c r="H506" s="7">
        <v>48</v>
      </c>
      <c r="I506" s="7">
        <v>60</v>
      </c>
      <c r="J506" s="7">
        <v>60</v>
      </c>
      <c r="K506" s="7">
        <v>60</v>
      </c>
      <c r="L506" s="7">
        <v>48</v>
      </c>
      <c r="M506" s="7">
        <v>35</v>
      </c>
      <c r="N506" s="8"/>
      <c r="O506" s="14">
        <f t="shared" si="227"/>
        <v>311</v>
      </c>
      <c r="Q506" s="252" t="s">
        <v>19</v>
      </c>
      <c r="R506" s="266"/>
      <c r="S506" s="266"/>
      <c r="T506" s="266"/>
      <c r="U506" s="266"/>
      <c r="V506" s="266"/>
      <c r="W506" s="266"/>
      <c r="X506" s="266"/>
      <c r="Y506" s="267"/>
      <c r="Z506" s="268">
        <f t="shared" ref="Z506:Z511" si="228">SUM(S506:Y506)</f>
        <v>0</v>
      </c>
    </row>
    <row r="507" spans="1:26" ht="15" thickTop="1" thickBot="1">
      <c r="A507" s="280" t="str">
        <f t="shared" si="226"/>
        <v>4230-00</v>
      </c>
      <c r="B507" s="3"/>
      <c r="C507" s="3"/>
      <c r="D507" s="52"/>
      <c r="E507" s="5" t="s">
        <v>3</v>
      </c>
      <c r="F507" s="352" t="s">
        <v>154</v>
      </c>
      <c r="G507" s="6"/>
      <c r="H507" s="7">
        <v>30</v>
      </c>
      <c r="I507" s="7">
        <v>40</v>
      </c>
      <c r="J507" s="7">
        <v>40</v>
      </c>
      <c r="K507" s="7">
        <v>40</v>
      </c>
      <c r="L507" s="7">
        <v>30</v>
      </c>
      <c r="M507" s="7">
        <v>15</v>
      </c>
      <c r="N507" s="15"/>
      <c r="O507" s="14">
        <f t="shared" si="227"/>
        <v>195</v>
      </c>
      <c r="Q507" s="252" t="s">
        <v>4</v>
      </c>
      <c r="R507" s="266">
        <f>78/19</f>
        <v>4.1052631578947372</v>
      </c>
      <c r="S507" s="266"/>
      <c r="T507" s="266"/>
      <c r="U507" s="266"/>
      <c r="V507" s="266"/>
      <c r="W507" s="266"/>
      <c r="X507" s="266"/>
      <c r="Y507" s="266"/>
      <c r="Z507" s="266">
        <f t="shared" si="228"/>
        <v>0</v>
      </c>
    </row>
    <row r="508" spans="1:26" ht="15" thickTop="1" thickBot="1">
      <c r="A508" s="280" t="str">
        <f t="shared" si="226"/>
        <v>4230-00</v>
      </c>
      <c r="B508" s="3"/>
      <c r="C508" s="3"/>
      <c r="D508" s="3"/>
      <c r="E508" s="5" t="s">
        <v>3</v>
      </c>
      <c r="F508" s="269"/>
      <c r="G508" s="6"/>
      <c r="H508" s="15"/>
      <c r="I508" s="15"/>
      <c r="J508" s="15"/>
      <c r="K508" s="15"/>
      <c r="L508" s="15"/>
      <c r="M508" s="15"/>
      <c r="N508" s="15"/>
      <c r="O508" s="16">
        <f t="shared" si="227"/>
        <v>0</v>
      </c>
      <c r="Q508" s="252" t="s">
        <v>6</v>
      </c>
      <c r="R508" s="266">
        <f>25/11</f>
        <v>2.2727272727272729</v>
      </c>
      <c r="S508" s="266"/>
      <c r="T508" s="266"/>
      <c r="U508" s="266"/>
      <c r="V508" s="266"/>
      <c r="W508" s="266"/>
      <c r="X508" s="266"/>
      <c r="Y508" s="266"/>
      <c r="Z508" s="266">
        <f t="shared" si="228"/>
        <v>0</v>
      </c>
    </row>
    <row r="509" spans="1:26" ht="15" thickTop="1" thickBot="1">
      <c r="A509" s="280" t="str">
        <f t="shared" si="226"/>
        <v>4230-00</v>
      </c>
      <c r="B509" s="3"/>
      <c r="C509" s="3"/>
      <c r="D509" s="3"/>
      <c r="E509" s="5" t="s">
        <v>3</v>
      </c>
      <c r="F509" s="269"/>
      <c r="G509" s="6"/>
      <c r="H509" s="8"/>
      <c r="I509" s="8"/>
      <c r="J509" s="8"/>
      <c r="K509" s="8"/>
      <c r="L509" s="8"/>
      <c r="M509" s="8"/>
      <c r="N509" s="15"/>
      <c r="O509" s="16">
        <f t="shared" si="227"/>
        <v>0</v>
      </c>
      <c r="Q509" s="266"/>
      <c r="R509" s="266"/>
      <c r="S509" s="266"/>
      <c r="T509" s="266"/>
      <c r="U509" s="266"/>
      <c r="V509" s="266"/>
      <c r="W509" s="266"/>
      <c r="X509" s="266"/>
      <c r="Y509" s="266"/>
      <c r="Z509" s="266">
        <f t="shared" si="228"/>
        <v>0</v>
      </c>
    </row>
    <row r="510" spans="1:26" ht="15" thickTop="1" thickBot="1">
      <c r="A510" s="283" t="str">
        <f t="shared" si="226"/>
        <v>4230-00</v>
      </c>
      <c r="B510" s="19"/>
      <c r="C510" s="19"/>
      <c r="D510" s="19"/>
      <c r="E510" s="20" t="s">
        <v>3</v>
      </c>
      <c r="F510" s="271"/>
      <c r="G510" s="21"/>
      <c r="H510" s="22"/>
      <c r="I510" s="22"/>
      <c r="J510" s="22"/>
      <c r="K510" s="22"/>
      <c r="L510" s="22"/>
      <c r="M510" s="22"/>
      <c r="N510" s="22"/>
      <c r="O510" s="23">
        <f t="shared" si="227"/>
        <v>0</v>
      </c>
      <c r="Q510" s="252" t="s">
        <v>2</v>
      </c>
      <c r="R510" s="272">
        <f>500/10.2</f>
        <v>49.019607843137258</v>
      </c>
      <c r="S510" s="252">
        <f>49*1.2</f>
        <v>58.8</v>
      </c>
      <c r="T510" s="252">
        <f>49*2.1</f>
        <v>102.9</v>
      </c>
      <c r="U510" s="252">
        <f>49*2.4</f>
        <v>117.6</v>
      </c>
      <c r="V510" s="252">
        <f>49*2.4</f>
        <v>117.6</v>
      </c>
      <c r="W510" s="252">
        <f>49*1.5</f>
        <v>73.5</v>
      </c>
      <c r="X510" s="252">
        <f>49*0.9</f>
        <v>44.1</v>
      </c>
      <c r="Y510" s="266"/>
      <c r="Z510" s="266">
        <f t="shared" si="228"/>
        <v>514.5</v>
      </c>
    </row>
    <row r="511" spans="1:26" ht="15" thickTop="1" thickBot="1">
      <c r="A511" s="284" t="str">
        <f t="shared" si="226"/>
        <v>4230-00</v>
      </c>
      <c r="B511" s="47"/>
      <c r="C511" s="47"/>
      <c r="D511" s="47"/>
      <c r="E511" s="48" t="s">
        <v>23</v>
      </c>
      <c r="F511" s="49" t="str">
        <f>+B504</f>
        <v>Imperio Max</v>
      </c>
      <c r="G511" s="48"/>
      <c r="H511" s="48">
        <f>+H505-H506-H507-H508-H510+H509</f>
        <v>-37</v>
      </c>
      <c r="I511" s="48">
        <f>+I505-I506-I507-I508-I510+I509</f>
        <v>-42</v>
      </c>
      <c r="J511" s="48">
        <f>+J505-J506-J507-J508-J510-J509</f>
        <v>-42</v>
      </c>
      <c r="K511" s="48">
        <f>+K505-K506-K507-K508-K510-K509</f>
        <v>-46</v>
      </c>
      <c r="L511" s="48">
        <f>+L505-L506-L507-L508-L510-L509</f>
        <v>-45</v>
      </c>
      <c r="M511" s="48">
        <f>+M505-M506-M507-M508-M510-M509</f>
        <v>-29</v>
      </c>
      <c r="N511" s="48"/>
      <c r="O511" s="48">
        <f t="shared" si="227"/>
        <v>-241</v>
      </c>
      <c r="Q511" s="266"/>
      <c r="R511" s="266"/>
      <c r="S511" s="252">
        <f t="shared" ref="S511:X511" si="229">SUM(S507:S510)</f>
        <v>58.8</v>
      </c>
      <c r="T511" s="252">
        <f t="shared" si="229"/>
        <v>102.9</v>
      </c>
      <c r="U511" s="252">
        <f t="shared" si="229"/>
        <v>117.6</v>
      </c>
      <c r="V511" s="252">
        <f t="shared" si="229"/>
        <v>117.6</v>
      </c>
      <c r="W511" s="252">
        <f t="shared" si="229"/>
        <v>73.5</v>
      </c>
      <c r="X511" s="252">
        <f t="shared" si="229"/>
        <v>44.1</v>
      </c>
      <c r="Y511" s="252"/>
      <c r="Z511" s="252">
        <f t="shared" si="228"/>
        <v>514.5</v>
      </c>
    </row>
    <row r="512" spans="1:26" ht="15" thickTop="1" thickBot="1">
      <c r="A512" s="274" t="s">
        <v>7</v>
      </c>
      <c r="B512" s="43" t="s">
        <v>8</v>
      </c>
      <c r="C512" s="43"/>
      <c r="D512" s="43"/>
      <c r="E512" s="44" t="s">
        <v>9</v>
      </c>
      <c r="F512" s="45"/>
      <c r="G512" s="45"/>
      <c r="H512" s="44"/>
      <c r="I512" s="44"/>
      <c r="J512" s="44"/>
      <c r="K512" s="44"/>
      <c r="L512" s="44"/>
      <c r="M512" s="44"/>
      <c r="N512" s="44"/>
      <c r="O512" s="44"/>
    </row>
    <row r="513" spans="1:40" ht="15" thickTop="1" thickBot="1">
      <c r="A513" s="278" t="s">
        <v>155</v>
      </c>
      <c r="B513" s="38"/>
      <c r="C513" s="9" t="s">
        <v>12</v>
      </c>
      <c r="D513" s="9"/>
      <c r="E513" s="10"/>
      <c r="F513" s="256" t="s">
        <v>14</v>
      </c>
      <c r="G513" s="257">
        <v>34</v>
      </c>
      <c r="H513" s="257">
        <v>36</v>
      </c>
      <c r="I513" s="257">
        <v>38</v>
      </c>
      <c r="J513" s="257">
        <v>40</v>
      </c>
      <c r="K513" s="257">
        <v>42</v>
      </c>
      <c r="L513" s="257">
        <v>44</v>
      </c>
      <c r="M513" s="257">
        <v>46</v>
      </c>
      <c r="N513" s="257"/>
      <c r="O513" s="258" t="s">
        <v>15</v>
      </c>
      <c r="Q513" s="259" t="s">
        <v>14</v>
      </c>
      <c r="R513" s="259"/>
      <c r="S513" s="259">
        <v>36</v>
      </c>
      <c r="T513" s="259">
        <v>38</v>
      </c>
      <c r="U513" s="259">
        <v>40</v>
      </c>
      <c r="V513" s="259">
        <v>42</v>
      </c>
      <c r="W513" s="259">
        <v>44</v>
      </c>
      <c r="X513" s="259">
        <v>46</v>
      </c>
      <c r="Y513" s="259"/>
      <c r="Z513" s="259" t="s">
        <v>15</v>
      </c>
    </row>
    <row r="514" spans="1:40" ht="15" thickTop="1" thickBot="1">
      <c r="A514" s="280" t="str">
        <f t="shared" ref="A514:A520" si="230">+A513</f>
        <v>4231-00</v>
      </c>
      <c r="B514" s="39" t="s">
        <v>16</v>
      </c>
      <c r="C514" s="39"/>
      <c r="D514" s="39">
        <f>+B513</f>
        <v>0</v>
      </c>
      <c r="E514" s="40"/>
      <c r="F514" s="261" t="s">
        <v>1</v>
      </c>
      <c r="G514" s="261"/>
      <c r="H514" s="262">
        <f>'BASE DATOS'!C60</f>
        <v>0</v>
      </c>
      <c r="I514" s="262">
        <f>'BASE DATOS'!D60</f>
        <v>0</v>
      </c>
      <c r="J514" s="262">
        <f>'BASE DATOS'!E60</f>
        <v>0</v>
      </c>
      <c r="K514" s="262">
        <f>'BASE DATOS'!F60</f>
        <v>0</v>
      </c>
      <c r="L514" s="262">
        <f>'BASE DATOS'!G60</f>
        <v>0</v>
      </c>
      <c r="M514" s="262">
        <f>'BASE DATOS'!H60</f>
        <v>0</v>
      </c>
      <c r="N514" s="262"/>
      <c r="O514" s="263">
        <f t="shared" ref="O514:O520" si="231">SUM(H514:N514)</f>
        <v>0</v>
      </c>
      <c r="Q514" s="264"/>
      <c r="R514" s="264"/>
      <c r="S514" s="264"/>
      <c r="T514" s="264"/>
      <c r="U514" s="264"/>
      <c r="V514" s="264"/>
      <c r="W514" s="264"/>
      <c r="X514" s="264"/>
      <c r="Y514" s="264"/>
      <c r="Z514" s="264">
        <f>SUBTOTAL(9,S514:Y514)</f>
        <v>0</v>
      </c>
    </row>
    <row r="515" spans="1:40" ht="15" thickTop="1" thickBot="1">
      <c r="A515" s="280" t="str">
        <f t="shared" si="230"/>
        <v>4231-00</v>
      </c>
      <c r="B515" s="3"/>
      <c r="C515" s="4" t="s">
        <v>17</v>
      </c>
      <c r="D515" s="4"/>
      <c r="E515" s="5" t="s">
        <v>3</v>
      </c>
      <c r="F515" s="265"/>
      <c r="G515" s="2"/>
      <c r="H515" s="7"/>
      <c r="I515" s="7"/>
      <c r="J515" s="7"/>
      <c r="K515" s="7"/>
      <c r="L515" s="7"/>
      <c r="M515" s="7"/>
      <c r="N515" s="8"/>
      <c r="O515" s="14">
        <f t="shared" si="231"/>
        <v>0</v>
      </c>
      <c r="Q515" s="252" t="s">
        <v>19</v>
      </c>
      <c r="R515" s="266"/>
      <c r="S515" s="266"/>
      <c r="T515" s="266"/>
      <c r="U515" s="266"/>
      <c r="V515" s="266"/>
      <c r="W515" s="266"/>
      <c r="X515" s="266"/>
      <c r="Y515" s="267"/>
      <c r="Z515" s="268">
        <f t="shared" ref="Z515:Z520" si="232">SUM(S515:Y515)</f>
        <v>0</v>
      </c>
    </row>
    <row r="516" spans="1:40" ht="15" thickTop="1" thickBot="1">
      <c r="A516" s="280" t="str">
        <f t="shared" si="230"/>
        <v>4231-00</v>
      </c>
      <c r="B516" s="3"/>
      <c r="C516" s="3"/>
      <c r="D516" s="52"/>
      <c r="E516" s="5" t="s">
        <v>3</v>
      </c>
      <c r="F516" s="269"/>
      <c r="G516" s="6"/>
      <c r="H516" s="7"/>
      <c r="I516" s="7"/>
      <c r="J516" s="7"/>
      <c r="K516" s="7"/>
      <c r="L516" s="7"/>
      <c r="M516" s="7"/>
      <c r="N516" s="15"/>
      <c r="O516" s="14">
        <f t="shared" si="231"/>
        <v>0</v>
      </c>
      <c r="Q516" s="252" t="s">
        <v>4</v>
      </c>
      <c r="R516" s="266">
        <f>78/19</f>
        <v>4.1052631578947372</v>
      </c>
      <c r="S516" s="266"/>
      <c r="T516" s="266"/>
      <c r="U516" s="266"/>
      <c r="V516" s="266"/>
      <c r="W516" s="266"/>
      <c r="X516" s="266"/>
      <c r="Y516" s="266"/>
      <c r="Z516" s="266">
        <f t="shared" si="232"/>
        <v>0</v>
      </c>
    </row>
    <row r="517" spans="1:40" ht="15" thickTop="1" thickBot="1">
      <c r="A517" s="280" t="str">
        <f t="shared" si="230"/>
        <v>4231-00</v>
      </c>
      <c r="B517" s="3"/>
      <c r="C517" s="3"/>
      <c r="D517" s="3"/>
      <c r="E517" s="5" t="s">
        <v>3</v>
      </c>
      <c r="F517" s="269"/>
      <c r="G517" s="6"/>
      <c r="H517" s="15"/>
      <c r="I517" s="15"/>
      <c r="J517" s="15"/>
      <c r="K517" s="15"/>
      <c r="L517" s="15"/>
      <c r="M517" s="15"/>
      <c r="N517" s="15"/>
      <c r="O517" s="16">
        <f t="shared" si="231"/>
        <v>0</v>
      </c>
      <c r="Q517" s="252" t="s">
        <v>6</v>
      </c>
      <c r="R517" s="266">
        <f>25/11</f>
        <v>2.2727272727272729</v>
      </c>
      <c r="S517" s="266"/>
      <c r="T517" s="266"/>
      <c r="U517" s="266"/>
      <c r="V517" s="266"/>
      <c r="W517" s="266"/>
      <c r="X517" s="266"/>
      <c r="Y517" s="266"/>
      <c r="Z517" s="266">
        <f t="shared" si="232"/>
        <v>0</v>
      </c>
    </row>
    <row r="518" spans="1:40" ht="15" thickTop="1" thickBot="1">
      <c r="A518" s="280" t="str">
        <f t="shared" si="230"/>
        <v>4231-00</v>
      </c>
      <c r="B518" s="3"/>
      <c r="C518" s="3"/>
      <c r="D518" s="3"/>
      <c r="E518" s="5" t="s">
        <v>3</v>
      </c>
      <c r="F518" s="269"/>
      <c r="G518" s="6"/>
      <c r="H518" s="8"/>
      <c r="I518" s="8"/>
      <c r="J518" s="8"/>
      <c r="K518" s="8"/>
      <c r="L518" s="8"/>
      <c r="M518" s="8"/>
      <c r="N518" s="15"/>
      <c r="O518" s="16">
        <f t="shared" si="231"/>
        <v>0</v>
      </c>
      <c r="Q518" s="266"/>
      <c r="R518" s="266"/>
      <c r="S518" s="266"/>
      <c r="T518" s="266"/>
      <c r="U518" s="266"/>
      <c r="V518" s="266"/>
      <c r="W518" s="266"/>
      <c r="X518" s="266"/>
      <c r="Y518" s="266"/>
      <c r="Z518" s="266">
        <f t="shared" si="232"/>
        <v>0</v>
      </c>
    </row>
    <row r="519" spans="1:40" ht="15" thickTop="1" thickBot="1">
      <c r="A519" s="283" t="str">
        <f t="shared" si="230"/>
        <v>4231-00</v>
      </c>
      <c r="B519" s="19"/>
      <c r="C519" s="19"/>
      <c r="D519" s="19"/>
      <c r="E519" s="20" t="s">
        <v>3</v>
      </c>
      <c r="F519" s="271"/>
      <c r="G519" s="21"/>
      <c r="H519" s="22"/>
      <c r="I519" s="22"/>
      <c r="J519" s="22"/>
      <c r="K519" s="22"/>
      <c r="L519" s="22"/>
      <c r="M519" s="22"/>
      <c r="N519" s="22"/>
      <c r="O519" s="23">
        <f t="shared" si="231"/>
        <v>0</v>
      </c>
      <c r="Q519" s="252" t="s">
        <v>2</v>
      </c>
      <c r="R519" s="272">
        <f>500/10.2</f>
        <v>49.019607843137258</v>
      </c>
      <c r="S519" s="252">
        <f>49*1.2</f>
        <v>58.8</v>
      </c>
      <c r="T519" s="252">
        <f>49*2.1</f>
        <v>102.9</v>
      </c>
      <c r="U519" s="252">
        <f>49*2.4</f>
        <v>117.6</v>
      </c>
      <c r="V519" s="252">
        <f>49*2.4</f>
        <v>117.6</v>
      </c>
      <c r="W519" s="252">
        <f>49*1.5</f>
        <v>73.5</v>
      </c>
      <c r="X519" s="252">
        <f>49*0.9</f>
        <v>44.1</v>
      </c>
      <c r="Y519" s="266"/>
      <c r="Z519" s="266">
        <f t="shared" si="232"/>
        <v>514.5</v>
      </c>
    </row>
    <row r="520" spans="1:40" ht="15" thickTop="1" thickBot="1">
      <c r="A520" s="284" t="str">
        <f t="shared" si="230"/>
        <v>4231-00</v>
      </c>
      <c r="B520" s="47"/>
      <c r="C520" s="47"/>
      <c r="D520" s="47"/>
      <c r="E520" s="48" t="s">
        <v>23</v>
      </c>
      <c r="F520" s="49">
        <f>+B513</f>
        <v>0</v>
      </c>
      <c r="G520" s="48"/>
      <c r="H520" s="48">
        <f>+H514-H515-H516-H517-H519+H518</f>
        <v>0</v>
      </c>
      <c r="I520" s="48">
        <f>+I514-I515-I516-I517-I519+I518</f>
        <v>0</v>
      </c>
      <c r="J520" s="48">
        <f>+J514-J515-J516-J517-J519-J518</f>
        <v>0</v>
      </c>
      <c r="K520" s="48">
        <f>+K514-K515-K516-K517-K519-K518</f>
        <v>0</v>
      </c>
      <c r="L520" s="48">
        <f>+L514-L515-L516-L517-L519-L518</f>
        <v>0</v>
      </c>
      <c r="M520" s="48">
        <f>+M514-M515-M516-M517-M519-M518</f>
        <v>0</v>
      </c>
      <c r="N520" s="48"/>
      <c r="O520" s="48">
        <f t="shared" si="231"/>
        <v>0</v>
      </c>
      <c r="Q520" s="266"/>
      <c r="R520" s="266"/>
      <c r="S520" s="252">
        <f t="shared" ref="S520:X520" si="233">SUM(S516:S519)</f>
        <v>58.8</v>
      </c>
      <c r="T520" s="252">
        <f t="shared" si="233"/>
        <v>102.9</v>
      </c>
      <c r="U520" s="252">
        <f t="shared" si="233"/>
        <v>117.6</v>
      </c>
      <c r="V520" s="252">
        <f t="shared" si="233"/>
        <v>117.6</v>
      </c>
      <c r="W520" s="252">
        <f t="shared" si="233"/>
        <v>73.5</v>
      </c>
      <c r="X520" s="252">
        <f t="shared" si="233"/>
        <v>44.1</v>
      </c>
      <c r="Y520" s="252"/>
      <c r="Z520" s="252">
        <f t="shared" si="232"/>
        <v>514.5</v>
      </c>
    </row>
    <row r="521" spans="1:40" ht="15" thickTop="1" thickBot="1">
      <c r="A521" s="274" t="s">
        <v>7</v>
      </c>
      <c r="B521" s="43" t="s">
        <v>8</v>
      </c>
      <c r="C521" s="43"/>
      <c r="D521" s="43"/>
      <c r="E521" s="44" t="s">
        <v>9</v>
      </c>
      <c r="F521" s="45"/>
      <c r="G521" s="45"/>
      <c r="H521" s="44"/>
      <c r="I521" s="44"/>
      <c r="J521" s="44"/>
      <c r="K521" s="44"/>
      <c r="L521" s="44"/>
      <c r="M521" s="44"/>
      <c r="N521" s="44"/>
      <c r="O521" s="44"/>
    </row>
    <row r="522" spans="1:40" ht="15" thickTop="1" thickBot="1">
      <c r="A522" s="278" t="s">
        <v>156</v>
      </c>
      <c r="B522" s="38" t="s">
        <v>50</v>
      </c>
      <c r="C522" s="9" t="s">
        <v>12</v>
      </c>
      <c r="D522" s="9" t="s">
        <v>13</v>
      </c>
      <c r="E522" s="10"/>
      <c r="F522" s="256" t="s">
        <v>14</v>
      </c>
      <c r="G522" s="257">
        <v>34</v>
      </c>
      <c r="H522" s="257">
        <v>36</v>
      </c>
      <c r="I522" s="257">
        <v>38</v>
      </c>
      <c r="J522" s="257">
        <v>40</v>
      </c>
      <c r="K522" s="257">
        <v>42</v>
      </c>
      <c r="L522" s="257">
        <v>44</v>
      </c>
      <c r="M522" s="257">
        <v>46</v>
      </c>
      <c r="N522" s="257"/>
      <c r="O522" s="258" t="s">
        <v>15</v>
      </c>
      <c r="Q522" s="259" t="s">
        <v>14</v>
      </c>
      <c r="R522" s="259"/>
      <c r="S522" s="259">
        <v>36</v>
      </c>
      <c r="T522" s="259">
        <v>38</v>
      </c>
      <c r="U522" s="259">
        <v>40</v>
      </c>
      <c r="V522" s="259">
        <v>42</v>
      </c>
      <c r="W522" s="259">
        <v>44</v>
      </c>
      <c r="X522" s="259">
        <v>46</v>
      </c>
      <c r="Y522" s="259"/>
      <c r="Z522" s="259" t="s">
        <v>15</v>
      </c>
    </row>
    <row r="523" spans="1:40" ht="15" thickTop="1" thickBot="1">
      <c r="A523" s="280" t="str">
        <f t="shared" ref="A523:A529" si="234">+A522</f>
        <v>4232-00</v>
      </c>
      <c r="B523" s="39" t="s">
        <v>16</v>
      </c>
      <c r="C523" s="39"/>
      <c r="D523" s="39" t="str">
        <f>+B522</f>
        <v>Ayla</v>
      </c>
      <c r="E523" s="40"/>
      <c r="F523" s="261" t="s">
        <v>1</v>
      </c>
      <c r="G523" s="261"/>
      <c r="H523" s="262">
        <f>'BASE DATOS'!C61</f>
        <v>6</v>
      </c>
      <c r="I523" s="262">
        <f>'BASE DATOS'!D61</f>
        <v>13</v>
      </c>
      <c r="J523" s="262">
        <f>'BASE DATOS'!E61</f>
        <v>15</v>
      </c>
      <c r="K523" s="262">
        <f>'BASE DATOS'!F61</f>
        <v>12</v>
      </c>
      <c r="L523" s="262">
        <f>'BASE DATOS'!G61</f>
        <v>8</v>
      </c>
      <c r="M523" s="262">
        <f>'BASE DATOS'!H61</f>
        <v>6</v>
      </c>
      <c r="N523" s="262"/>
      <c r="O523" s="263">
        <f t="shared" ref="O523:O529" si="235">SUM(H523:N523)</f>
        <v>60</v>
      </c>
      <c r="Q523" s="264"/>
      <c r="R523" s="264"/>
      <c r="S523" s="264"/>
      <c r="T523" s="264"/>
      <c r="U523" s="264"/>
      <c r="V523" s="264"/>
      <c r="W523" s="264"/>
      <c r="X523" s="264"/>
      <c r="Y523" s="264"/>
      <c r="Z523" s="264">
        <f>SUBTOTAL(9,S523:Y523)</f>
        <v>0</v>
      </c>
    </row>
    <row r="524" spans="1:40" ht="15" thickTop="1" thickBot="1">
      <c r="A524" s="280" t="str">
        <f t="shared" si="234"/>
        <v>4232-00</v>
      </c>
      <c r="B524" s="3">
        <v>45980</v>
      </c>
      <c r="C524" s="4" t="s">
        <v>17</v>
      </c>
      <c r="D524" s="4" t="s">
        <v>51</v>
      </c>
      <c r="E524" s="5" t="s">
        <v>3</v>
      </c>
      <c r="F524" s="265" t="s">
        <v>157</v>
      </c>
      <c r="G524" s="2"/>
      <c r="H524" s="7">
        <v>27</v>
      </c>
      <c r="I524" s="7">
        <v>39</v>
      </c>
      <c r="J524" s="7">
        <v>45</v>
      </c>
      <c r="K524" s="7">
        <v>39</v>
      </c>
      <c r="L524" s="7">
        <v>25</v>
      </c>
      <c r="M524" s="7">
        <v>25</v>
      </c>
      <c r="N524" s="8"/>
      <c r="O524" s="14">
        <f t="shared" si="235"/>
        <v>200</v>
      </c>
      <c r="Q524" s="252" t="s">
        <v>19</v>
      </c>
      <c r="R524" s="266"/>
      <c r="S524" s="266"/>
      <c r="T524" s="266"/>
      <c r="U524" s="266"/>
      <c r="V524" s="266"/>
      <c r="W524" s="266"/>
      <c r="X524" s="266"/>
      <c r="Y524" s="267"/>
      <c r="Z524" s="268">
        <f t="shared" ref="Z524:Z529" si="236">SUM(S524:Y524)</f>
        <v>0</v>
      </c>
    </row>
    <row r="525" spans="1:40" ht="15" thickTop="1" thickBot="1">
      <c r="A525" s="280" t="str">
        <f t="shared" si="234"/>
        <v>4232-00</v>
      </c>
      <c r="B525" s="3"/>
      <c r="C525" s="3"/>
      <c r="D525" s="57" t="s">
        <v>158</v>
      </c>
      <c r="E525" s="5" t="s">
        <v>3</v>
      </c>
      <c r="F525" s="269"/>
      <c r="G525" s="6"/>
      <c r="H525" s="7"/>
      <c r="I525" s="7"/>
      <c r="J525" s="7"/>
      <c r="K525" s="7"/>
      <c r="L525" s="7"/>
      <c r="M525" s="7"/>
      <c r="N525" s="15"/>
      <c r="O525" s="14">
        <f t="shared" si="235"/>
        <v>0</v>
      </c>
      <c r="Q525" s="252" t="s">
        <v>4</v>
      </c>
      <c r="R525" s="266">
        <f>78/19</f>
        <v>4.1052631578947372</v>
      </c>
      <c r="S525" s="266"/>
      <c r="T525" s="266"/>
      <c r="U525" s="266"/>
      <c r="V525" s="266"/>
      <c r="W525" s="266"/>
      <c r="X525" s="266"/>
      <c r="Y525" s="266"/>
      <c r="Z525" s="266">
        <f t="shared" si="236"/>
        <v>0</v>
      </c>
    </row>
    <row r="526" spans="1:40" ht="15" thickTop="1" thickBot="1">
      <c r="A526" s="280" t="str">
        <f t="shared" si="234"/>
        <v>4232-00</v>
      </c>
      <c r="B526" s="3"/>
      <c r="C526" s="3"/>
      <c r="D526" s="57" t="s">
        <v>159</v>
      </c>
      <c r="E526" s="5" t="s">
        <v>3</v>
      </c>
      <c r="F526" s="269"/>
      <c r="G526" s="6"/>
      <c r="H526" s="15"/>
      <c r="I526" s="15"/>
      <c r="J526" s="15"/>
      <c r="K526" s="15"/>
      <c r="L526" s="15"/>
      <c r="M526" s="15"/>
      <c r="N526" s="15"/>
      <c r="O526" s="16">
        <f t="shared" si="235"/>
        <v>0</v>
      </c>
      <c r="Q526" s="252" t="s">
        <v>6</v>
      </c>
      <c r="R526" s="266">
        <f>25/11</f>
        <v>2.2727272727272729</v>
      </c>
      <c r="S526" s="266"/>
      <c r="T526" s="266"/>
      <c r="U526" s="266"/>
      <c r="V526" s="266"/>
      <c r="W526" s="266"/>
      <c r="X526" s="266"/>
      <c r="Y526" s="266"/>
      <c r="Z526" s="266">
        <f t="shared" si="236"/>
        <v>0</v>
      </c>
    </row>
    <row r="527" spans="1:40" ht="15" thickTop="1" thickBot="1">
      <c r="A527" s="280" t="str">
        <f t="shared" si="234"/>
        <v>4232-00</v>
      </c>
      <c r="B527" s="3"/>
      <c r="C527" s="3"/>
      <c r="D527" s="3"/>
      <c r="E527" s="5" t="s">
        <v>3</v>
      </c>
      <c r="F527" s="269"/>
      <c r="G527" s="6"/>
      <c r="H527" s="8"/>
      <c r="I527" s="8"/>
      <c r="J527" s="8"/>
      <c r="K527" s="8"/>
      <c r="L527" s="8"/>
      <c r="M527" s="8"/>
      <c r="N527" s="15"/>
      <c r="O527" s="16">
        <f t="shared" si="235"/>
        <v>0</v>
      </c>
      <c r="Q527" s="266"/>
      <c r="R527" s="266"/>
      <c r="S527" s="266"/>
      <c r="T527" s="266"/>
      <c r="U527" s="266"/>
      <c r="V527" s="266"/>
      <c r="W527" s="266"/>
      <c r="X527" s="266"/>
      <c r="Y527" s="266"/>
      <c r="Z527" s="266">
        <f t="shared" si="236"/>
        <v>0</v>
      </c>
    </row>
    <row r="528" spans="1:40" ht="15" thickTop="1" thickBot="1">
      <c r="A528" s="283" t="str">
        <f t="shared" si="234"/>
        <v>4232-00</v>
      </c>
      <c r="B528" s="19"/>
      <c r="C528" s="19"/>
      <c r="D528" s="19"/>
      <c r="E528" s="20" t="s">
        <v>3</v>
      </c>
      <c r="F528" s="271"/>
      <c r="G528" s="21"/>
      <c r="H528" s="22"/>
      <c r="I528" s="22"/>
      <c r="J528" s="22"/>
      <c r="K528" s="22"/>
      <c r="L528" s="22"/>
      <c r="M528" s="22"/>
      <c r="N528" s="22"/>
      <c r="O528" s="23">
        <f t="shared" si="235"/>
        <v>0</v>
      </c>
      <c r="Q528" s="252" t="s">
        <v>2</v>
      </c>
      <c r="R528" s="272">
        <f>500/10.2</f>
        <v>49.019607843137258</v>
      </c>
      <c r="S528" s="252">
        <f>49*1.2</f>
        <v>58.8</v>
      </c>
      <c r="T528" s="252">
        <f>49*2.1</f>
        <v>102.9</v>
      </c>
      <c r="U528" s="252">
        <f>49*2.4</f>
        <v>117.6</v>
      </c>
      <c r="V528" s="252">
        <f>49*2.4</f>
        <v>117.6</v>
      </c>
      <c r="W528" s="252">
        <f>49*1.5</f>
        <v>73.5</v>
      </c>
      <c r="X528" s="252">
        <f>49*0.9</f>
        <v>44.1</v>
      </c>
      <c r="Y528" s="266"/>
      <c r="Z528" s="266">
        <f t="shared" si="236"/>
        <v>514.5</v>
      </c>
      <c r="AN528" s="234">
        <v>400</v>
      </c>
    </row>
    <row r="529" spans="1:43" ht="15" thickTop="1" thickBot="1">
      <c r="A529" s="284" t="str">
        <f t="shared" si="234"/>
        <v>4232-00</v>
      </c>
      <c r="B529" s="47"/>
      <c r="C529" s="47"/>
      <c r="D529" s="47"/>
      <c r="E529" s="48" t="s">
        <v>23</v>
      </c>
      <c r="F529" s="49" t="str">
        <f>+B522</f>
        <v>Ayla</v>
      </c>
      <c r="G529" s="48"/>
      <c r="H529" s="48">
        <f>+H523-H524-H525-H526-H528+H527</f>
        <v>-21</v>
      </c>
      <c r="I529" s="48">
        <f>+I523-I524-I525-I526-I528+I527</f>
        <v>-26</v>
      </c>
      <c r="J529" s="48">
        <f>+J523-J524-J525-J526-J528-J527</f>
        <v>-30</v>
      </c>
      <c r="K529" s="48">
        <f>+K523-K524-K525-K526-K528-K527</f>
        <v>-27</v>
      </c>
      <c r="L529" s="48">
        <f>+L523-L524-L525-L526-L528-L527</f>
        <v>-17</v>
      </c>
      <c r="M529" s="48">
        <f>+M523-M524-M525-M526-M528-M527</f>
        <v>-19</v>
      </c>
      <c r="N529" s="48"/>
      <c r="O529" s="48">
        <f t="shared" si="235"/>
        <v>-140</v>
      </c>
      <c r="Q529" s="266"/>
      <c r="R529" s="266"/>
      <c r="S529" s="252">
        <f t="shared" ref="S529:X529" si="237">SUM(S525:S528)</f>
        <v>58.8</v>
      </c>
      <c r="T529" s="252">
        <f t="shared" si="237"/>
        <v>102.9</v>
      </c>
      <c r="U529" s="252">
        <f t="shared" si="237"/>
        <v>117.6</v>
      </c>
      <c r="V529" s="252">
        <f t="shared" si="237"/>
        <v>117.6</v>
      </c>
      <c r="W529" s="252">
        <f t="shared" si="237"/>
        <v>73.5</v>
      </c>
      <c r="X529" s="252">
        <f t="shared" si="237"/>
        <v>44.1</v>
      </c>
      <c r="Y529" s="252"/>
      <c r="Z529" s="252">
        <f t="shared" si="236"/>
        <v>514.5</v>
      </c>
    </row>
    <row r="530" spans="1:43" ht="15" thickTop="1" thickBot="1">
      <c r="A530" s="369" t="s">
        <v>7</v>
      </c>
      <c r="B530" s="43" t="s">
        <v>8</v>
      </c>
      <c r="C530" s="43"/>
      <c r="D530" s="43"/>
      <c r="E530" s="44" t="s">
        <v>9</v>
      </c>
      <c r="F530" s="45"/>
      <c r="G530" s="45"/>
      <c r="H530" s="44"/>
      <c r="I530" s="44"/>
      <c r="J530" s="44"/>
      <c r="K530" s="44"/>
      <c r="L530" s="44"/>
      <c r="M530" s="44"/>
      <c r="N530" s="44"/>
      <c r="O530" s="44"/>
    </row>
    <row r="531" spans="1:43" ht="15" thickTop="1" thickBot="1">
      <c r="A531" s="370" t="s">
        <v>160</v>
      </c>
      <c r="B531" s="38" t="s">
        <v>161</v>
      </c>
      <c r="C531" s="9" t="s">
        <v>12</v>
      </c>
      <c r="D531" s="9" t="s">
        <v>13</v>
      </c>
      <c r="E531" s="10"/>
      <c r="F531" s="256" t="s">
        <v>14</v>
      </c>
      <c r="G531" s="257">
        <v>34</v>
      </c>
      <c r="H531" s="257">
        <v>36</v>
      </c>
      <c r="I531" s="257">
        <v>38</v>
      </c>
      <c r="J531" s="257">
        <v>40</v>
      </c>
      <c r="K531" s="257">
        <v>42</v>
      </c>
      <c r="L531" s="257">
        <v>44</v>
      </c>
      <c r="M531" s="257">
        <v>46</v>
      </c>
      <c r="N531" s="257"/>
      <c r="O531" s="258" t="s">
        <v>15</v>
      </c>
      <c r="Q531" s="259" t="s">
        <v>14</v>
      </c>
      <c r="R531" s="259"/>
      <c r="S531" s="259">
        <v>36</v>
      </c>
      <c r="T531" s="259">
        <v>38</v>
      </c>
      <c r="U531" s="259">
        <v>40</v>
      </c>
      <c r="V531" s="259">
        <v>42</v>
      </c>
      <c r="W531" s="259">
        <v>44</v>
      </c>
      <c r="X531" s="259">
        <v>46</v>
      </c>
      <c r="Y531" s="259"/>
      <c r="Z531" s="259" t="s">
        <v>15</v>
      </c>
      <c r="AC531" s="275" t="s">
        <v>3</v>
      </c>
      <c r="AD531" s="276">
        <v>46083</v>
      </c>
      <c r="AE531" s="275">
        <v>36</v>
      </c>
      <c r="AF531" s="275">
        <v>38</v>
      </c>
      <c r="AG531" s="275">
        <v>40</v>
      </c>
      <c r="AH531" s="275">
        <v>42</v>
      </c>
      <c r="AI531" s="277">
        <v>44</v>
      </c>
      <c r="AJ531" s="277">
        <v>46</v>
      </c>
      <c r="AK531" s="277" t="s">
        <v>28</v>
      </c>
    </row>
    <row r="532" spans="1:43" ht="15" thickTop="1" thickBot="1">
      <c r="A532" s="371" t="str">
        <f t="shared" ref="A532:A538" si="238">+A531</f>
        <v>4233-00</v>
      </c>
      <c r="B532" s="39" t="s">
        <v>16</v>
      </c>
      <c r="C532" s="39"/>
      <c r="D532" s="39" t="str">
        <f>+B531</f>
        <v>Lavinia</v>
      </c>
      <c r="E532" s="40"/>
      <c r="F532" s="261" t="s">
        <v>1</v>
      </c>
      <c r="G532" s="261"/>
      <c r="H532" s="262">
        <f>'BASE DATOS'!C62</f>
        <v>0</v>
      </c>
      <c r="I532" s="262">
        <f>'BASE DATOS'!D62</f>
        <v>0</v>
      </c>
      <c r="J532" s="262">
        <f>'BASE DATOS'!E62</f>
        <v>0</v>
      </c>
      <c r="K532" s="262">
        <f>'BASE DATOS'!F62</f>
        <v>0</v>
      </c>
      <c r="L532" s="262">
        <f>'BASE DATOS'!G62</f>
        <v>0</v>
      </c>
      <c r="M532" s="262">
        <f>'BASE DATOS'!H62</f>
        <v>0</v>
      </c>
      <c r="N532" s="262"/>
      <c r="O532" s="263">
        <f t="shared" ref="O532:O538" si="239">SUM(H532:N532)</f>
        <v>0</v>
      </c>
      <c r="Q532" s="264"/>
      <c r="R532" s="264"/>
      <c r="S532" s="264"/>
      <c r="T532" s="264"/>
      <c r="U532" s="264"/>
      <c r="V532" s="264"/>
      <c r="W532" s="264"/>
      <c r="X532" s="264"/>
      <c r="Y532" s="264"/>
      <c r="Z532" s="264">
        <f>SUBTOTAL(9,S532:Y532)</f>
        <v>0</v>
      </c>
      <c r="AC532" s="279" t="s">
        <v>29</v>
      </c>
      <c r="AD532" s="275">
        <v>11564</v>
      </c>
      <c r="AE532" s="279">
        <v>47</v>
      </c>
      <c r="AF532" s="279">
        <v>92</v>
      </c>
      <c r="AG532" s="279">
        <v>92</v>
      </c>
      <c r="AH532" s="279">
        <v>81</v>
      </c>
      <c r="AI532" s="279">
        <v>59</v>
      </c>
      <c r="AJ532" s="279">
        <v>36</v>
      </c>
      <c r="AK532" s="275">
        <f>SUM(AE532:AJ532)</f>
        <v>407</v>
      </c>
      <c r="AN532" s="234">
        <v>82</v>
      </c>
      <c r="AO532" s="234">
        <f>+AN532/$AK$532</f>
        <v>0.20147420147420148</v>
      </c>
      <c r="AP532" s="234">
        <f>+AN532*24%</f>
        <v>19.68</v>
      </c>
      <c r="AQ532" s="234">
        <f>+AP532+AN532</f>
        <v>101.68</v>
      </c>
    </row>
    <row r="533" spans="1:43" ht="15" thickTop="1" thickBot="1">
      <c r="A533" s="371" t="str">
        <f t="shared" si="238"/>
        <v>4233-00</v>
      </c>
      <c r="B533" s="3"/>
      <c r="C533" s="4" t="s">
        <v>17</v>
      </c>
      <c r="D533" s="4" t="s">
        <v>18</v>
      </c>
      <c r="E533" s="5" t="s">
        <v>3</v>
      </c>
      <c r="F533" s="265"/>
      <c r="G533" s="2"/>
      <c r="H533" s="7"/>
      <c r="I533" s="7"/>
      <c r="J533" s="7"/>
      <c r="K533" s="7"/>
      <c r="L533" s="7"/>
      <c r="M533" s="7"/>
      <c r="N533" s="8"/>
      <c r="O533" s="14">
        <f t="shared" si="239"/>
        <v>0</v>
      </c>
      <c r="Q533" s="252" t="s">
        <v>19</v>
      </c>
      <c r="R533" s="266"/>
      <c r="S533" s="266"/>
      <c r="T533" s="266"/>
      <c r="U533" s="266"/>
      <c r="V533" s="266"/>
      <c r="W533" s="266"/>
      <c r="X533" s="266"/>
      <c r="Y533" s="267"/>
      <c r="Z533" s="268">
        <f t="shared" ref="Z533:Z538" si="240">SUM(S533:Y533)</f>
        <v>0</v>
      </c>
      <c r="AC533" s="281" t="s">
        <v>30</v>
      </c>
      <c r="AD533" s="282">
        <v>4233</v>
      </c>
      <c r="AN533" s="234">
        <v>76</v>
      </c>
      <c r="AO533" s="234">
        <f t="shared" ref="AO533:AO536" si="241">+AN533/$AK$532</f>
        <v>0.18673218673218672</v>
      </c>
      <c r="AP533" s="234">
        <f>+AN533*23%</f>
        <v>17.48</v>
      </c>
      <c r="AQ533" s="234">
        <f t="shared" ref="AQ533:AQ536" si="242">+AP533+AN533</f>
        <v>93.48</v>
      </c>
    </row>
    <row r="534" spans="1:43" ht="15" thickTop="1" thickBot="1">
      <c r="A534" s="371" t="str">
        <f t="shared" si="238"/>
        <v>4233-00</v>
      </c>
      <c r="B534" s="3"/>
      <c r="C534" s="3"/>
      <c r="D534" s="52" t="s">
        <v>162</v>
      </c>
      <c r="E534" s="5" t="s">
        <v>3</v>
      </c>
      <c r="F534" s="269"/>
      <c r="G534" s="6"/>
      <c r="H534" s="7"/>
      <c r="I534" s="7"/>
      <c r="J534" s="7"/>
      <c r="K534" s="7"/>
      <c r="L534" s="7"/>
      <c r="M534" s="7"/>
      <c r="N534" s="15"/>
      <c r="O534" s="14">
        <f t="shared" si="239"/>
        <v>0</v>
      </c>
      <c r="Q534" s="252" t="s">
        <v>4</v>
      </c>
      <c r="R534" s="266">
        <f>78/19</f>
        <v>4.1052631578947372</v>
      </c>
      <c r="S534" s="266"/>
      <c r="T534" s="266"/>
      <c r="U534" s="266"/>
      <c r="V534" s="266"/>
      <c r="W534" s="266"/>
      <c r="X534" s="266"/>
      <c r="Y534" s="266"/>
      <c r="Z534" s="266">
        <f t="shared" si="240"/>
        <v>0</v>
      </c>
      <c r="AC534" s="279" t="s">
        <v>32</v>
      </c>
      <c r="AD534" s="275" t="s">
        <v>161</v>
      </c>
      <c r="AN534" s="234">
        <v>32</v>
      </c>
      <c r="AO534" s="234">
        <f t="shared" si="241"/>
        <v>7.8624078624078622E-2</v>
      </c>
      <c r="AP534" s="234">
        <f>+AN534*9%</f>
        <v>2.88</v>
      </c>
      <c r="AQ534" s="234">
        <f t="shared" si="242"/>
        <v>34.880000000000003</v>
      </c>
    </row>
    <row r="535" spans="1:43" ht="15" thickTop="1" thickBot="1">
      <c r="A535" s="371" t="str">
        <f t="shared" si="238"/>
        <v>4233-00</v>
      </c>
      <c r="B535" s="3"/>
      <c r="C535" s="3"/>
      <c r="D535" s="3"/>
      <c r="E535" s="5" t="s">
        <v>3</v>
      </c>
      <c r="F535" s="269"/>
      <c r="G535" s="6"/>
      <c r="H535" s="15"/>
      <c r="I535" s="15"/>
      <c r="J535" s="15"/>
      <c r="K535" s="15"/>
      <c r="L535" s="15"/>
      <c r="M535" s="15"/>
      <c r="N535" s="15"/>
      <c r="O535" s="16">
        <f t="shared" si="239"/>
        <v>0</v>
      </c>
      <c r="Q535" s="252" t="s">
        <v>6</v>
      </c>
      <c r="R535" s="266">
        <f>25/11</f>
        <v>2.2727272727272729</v>
      </c>
      <c r="S535" s="266"/>
      <c r="T535" s="266"/>
      <c r="U535" s="266"/>
      <c r="V535" s="266"/>
      <c r="W535" s="266"/>
      <c r="X535" s="266"/>
      <c r="Y535" s="266"/>
      <c r="Z535" s="266">
        <f t="shared" si="240"/>
        <v>0</v>
      </c>
      <c r="AC535" s="279" t="s">
        <v>12</v>
      </c>
      <c r="AD535" s="275" t="s">
        <v>13</v>
      </c>
      <c r="AN535" s="234">
        <v>73</v>
      </c>
      <c r="AO535" s="234">
        <f t="shared" si="241"/>
        <v>0.17936117936117937</v>
      </c>
      <c r="AP535" s="234">
        <f>+AN535*22%</f>
        <v>16.059999999999999</v>
      </c>
      <c r="AQ535" s="234">
        <f t="shared" si="242"/>
        <v>89.06</v>
      </c>
    </row>
    <row r="536" spans="1:43" ht="15" thickTop="1" thickBot="1">
      <c r="A536" s="371" t="str">
        <f t="shared" si="238"/>
        <v>4233-00</v>
      </c>
      <c r="B536" s="3"/>
      <c r="C536" s="3"/>
      <c r="D536" s="3"/>
      <c r="E536" s="5" t="s">
        <v>3</v>
      </c>
      <c r="F536" s="269"/>
      <c r="G536" s="6"/>
      <c r="H536" s="8"/>
      <c r="I536" s="8"/>
      <c r="J536" s="8"/>
      <c r="K536" s="8"/>
      <c r="L536" s="8"/>
      <c r="M536" s="8"/>
      <c r="N536" s="15"/>
      <c r="O536" s="16">
        <f t="shared" si="239"/>
        <v>0</v>
      </c>
      <c r="Q536" s="266"/>
      <c r="R536" s="266"/>
      <c r="S536" s="266"/>
      <c r="T536" s="266"/>
      <c r="U536" s="266"/>
      <c r="V536" s="266"/>
      <c r="W536" s="266"/>
      <c r="X536" s="266"/>
      <c r="Y536" s="266"/>
      <c r="Z536" s="266">
        <f t="shared" si="240"/>
        <v>0</v>
      </c>
      <c r="AC536" s="279" t="s">
        <v>17</v>
      </c>
      <c r="AD536" s="275" t="s">
        <v>18</v>
      </c>
      <c r="AN536" s="234">
        <v>68</v>
      </c>
      <c r="AO536" s="234">
        <f t="shared" si="241"/>
        <v>0.16707616707616707</v>
      </c>
      <c r="AP536" s="234">
        <f>+AN536*20%</f>
        <v>13.600000000000001</v>
      </c>
      <c r="AQ536" s="234">
        <f t="shared" si="242"/>
        <v>81.599999999999994</v>
      </c>
    </row>
    <row r="537" spans="1:43" ht="15" thickTop="1" thickBot="1">
      <c r="A537" s="372" t="str">
        <f t="shared" si="238"/>
        <v>4233-00</v>
      </c>
      <c r="B537" s="19"/>
      <c r="C537" s="19"/>
      <c r="D537" s="19"/>
      <c r="E537" s="20" t="s">
        <v>3</v>
      </c>
      <c r="F537" s="271"/>
      <c r="G537" s="21"/>
      <c r="H537" s="22"/>
      <c r="I537" s="22"/>
      <c r="J537" s="22"/>
      <c r="K537" s="22"/>
      <c r="L537" s="22"/>
      <c r="M537" s="22"/>
      <c r="N537" s="22"/>
      <c r="O537" s="23">
        <f t="shared" si="239"/>
        <v>0</v>
      </c>
      <c r="Q537" s="252" t="s">
        <v>2</v>
      </c>
      <c r="R537" s="272">
        <f>500/10.2</f>
        <v>49.019607843137258</v>
      </c>
      <c r="S537" s="252">
        <f>49*1.2</f>
        <v>58.8</v>
      </c>
      <c r="T537" s="252">
        <f>49*2.1</f>
        <v>102.9</v>
      </c>
      <c r="U537" s="252">
        <f>49*2.4</f>
        <v>117.6</v>
      </c>
      <c r="V537" s="252">
        <f>49*2.4</f>
        <v>117.6</v>
      </c>
      <c r="W537" s="252">
        <f>49*1.5</f>
        <v>73.5</v>
      </c>
      <c r="X537" s="252">
        <f>49*0.9</f>
        <v>44.1</v>
      </c>
      <c r="Y537" s="266"/>
      <c r="Z537" s="266">
        <f t="shared" si="240"/>
        <v>514.5</v>
      </c>
      <c r="AQ537" s="234">
        <f>SUM(AQ532:AQ536)</f>
        <v>400.70000000000005</v>
      </c>
    </row>
    <row r="538" spans="1:43" ht="15" thickTop="1" thickBot="1">
      <c r="A538" s="373" t="str">
        <f t="shared" si="238"/>
        <v>4233-00</v>
      </c>
      <c r="B538" s="47"/>
      <c r="C538" s="47"/>
      <c r="D538" s="47"/>
      <c r="E538" s="48" t="s">
        <v>23</v>
      </c>
      <c r="F538" s="49" t="str">
        <f>+B531</f>
        <v>Lavinia</v>
      </c>
      <c r="G538" s="48"/>
      <c r="H538" s="48">
        <f>+H532-H533-H534-H535-H537+H536</f>
        <v>0</v>
      </c>
      <c r="I538" s="48">
        <f>+I532-I533-I534-I535-I537+I536</f>
        <v>0</v>
      </c>
      <c r="J538" s="48">
        <f>+J532-J533-J534-J535-J537-J536</f>
        <v>0</v>
      </c>
      <c r="K538" s="48">
        <f>+K532-K533-K534-K535-K537-K536</f>
        <v>0</v>
      </c>
      <c r="L538" s="48">
        <f>+L532-L533-L534-L535-L537-L536</f>
        <v>0</v>
      </c>
      <c r="M538" s="48">
        <f>+M532-M533-M534-M535-M537-M536</f>
        <v>0</v>
      </c>
      <c r="N538" s="48"/>
      <c r="O538" s="48">
        <f t="shared" si="239"/>
        <v>0</v>
      </c>
      <c r="Q538" s="266"/>
      <c r="R538" s="266"/>
      <c r="S538" s="252">
        <f t="shared" ref="S538:X538" si="243">SUM(S534:S537)</f>
        <v>58.8</v>
      </c>
      <c r="T538" s="252">
        <f t="shared" si="243"/>
        <v>102.9</v>
      </c>
      <c r="U538" s="252">
        <f t="shared" si="243"/>
        <v>117.6</v>
      </c>
      <c r="V538" s="252">
        <f t="shared" si="243"/>
        <v>117.6</v>
      </c>
      <c r="W538" s="252">
        <f t="shared" si="243"/>
        <v>73.5</v>
      </c>
      <c r="X538" s="252">
        <f t="shared" si="243"/>
        <v>44.1</v>
      </c>
      <c r="Y538" s="252"/>
      <c r="Z538" s="252">
        <f t="shared" si="240"/>
        <v>514.5</v>
      </c>
    </row>
    <row r="539" spans="1:43" ht="15" thickTop="1" thickBot="1">
      <c r="A539" s="369" t="s">
        <v>7</v>
      </c>
      <c r="B539" s="43" t="s">
        <v>8</v>
      </c>
      <c r="C539" s="43"/>
      <c r="D539" s="43"/>
      <c r="E539" s="44" t="s">
        <v>9</v>
      </c>
      <c r="F539" s="45"/>
      <c r="G539" s="45"/>
      <c r="H539" s="44"/>
      <c r="I539" s="44"/>
      <c r="J539" s="44"/>
      <c r="K539" s="44"/>
      <c r="L539" s="44"/>
      <c r="M539" s="44"/>
      <c r="N539" s="44"/>
      <c r="O539" s="44"/>
    </row>
    <row r="540" spans="1:43" ht="15" thickTop="1" thickBot="1">
      <c r="A540" s="370" t="s">
        <v>163</v>
      </c>
      <c r="B540" s="38" t="s">
        <v>161</v>
      </c>
      <c r="C540" s="9" t="s">
        <v>12</v>
      </c>
      <c r="D540" s="9" t="s">
        <v>13</v>
      </c>
      <c r="E540" s="10"/>
      <c r="F540" s="256" t="s">
        <v>14</v>
      </c>
      <c r="G540" s="257">
        <v>34</v>
      </c>
      <c r="H540" s="257">
        <v>36</v>
      </c>
      <c r="I540" s="257">
        <v>38</v>
      </c>
      <c r="J540" s="257">
        <v>40</v>
      </c>
      <c r="K540" s="257">
        <v>42</v>
      </c>
      <c r="L540" s="257">
        <v>44</v>
      </c>
      <c r="M540" s="257">
        <v>46</v>
      </c>
      <c r="N540" s="257"/>
      <c r="O540" s="258" t="s">
        <v>15</v>
      </c>
      <c r="Q540" s="259" t="s">
        <v>14</v>
      </c>
      <c r="R540" s="259"/>
      <c r="S540" s="259">
        <v>36</v>
      </c>
      <c r="T540" s="259">
        <v>38</v>
      </c>
      <c r="U540" s="259">
        <v>40</v>
      </c>
      <c r="V540" s="259">
        <v>42</v>
      </c>
      <c r="W540" s="259">
        <v>44</v>
      </c>
      <c r="X540" s="259">
        <v>46</v>
      </c>
      <c r="Y540" s="259"/>
      <c r="Z540" s="259" t="s">
        <v>15</v>
      </c>
      <c r="AI540" s="250"/>
      <c r="AJ540" s="250"/>
      <c r="AK540" s="250"/>
    </row>
    <row r="541" spans="1:43" ht="15" thickTop="1" thickBot="1">
      <c r="A541" s="371" t="str">
        <f t="shared" ref="A541:A547" si="244">+A540</f>
        <v>4233-04</v>
      </c>
      <c r="B541" s="39" t="s">
        <v>16</v>
      </c>
      <c r="C541" s="39"/>
      <c r="D541" s="39" t="str">
        <f>+B540</f>
        <v>Lavinia</v>
      </c>
      <c r="E541" s="40"/>
      <c r="F541" s="261" t="s">
        <v>1</v>
      </c>
      <c r="G541" s="261"/>
      <c r="H541" s="262">
        <f>'BASE DATOS'!C63</f>
        <v>6</v>
      </c>
      <c r="I541" s="262">
        <f>'BASE DATOS'!D63</f>
        <v>15</v>
      </c>
      <c r="J541" s="262">
        <f>'BASE DATOS'!E63</f>
        <v>17</v>
      </c>
      <c r="K541" s="262">
        <f>'BASE DATOS'!F63</f>
        <v>14</v>
      </c>
      <c r="L541" s="262">
        <f>'BASE DATOS'!G63</f>
        <v>10</v>
      </c>
      <c r="M541" s="262">
        <f>'BASE DATOS'!H63</f>
        <v>7</v>
      </c>
      <c r="N541" s="262"/>
      <c r="O541" s="263">
        <f t="shared" ref="O541:O547" si="245">SUM(H541:N541)</f>
        <v>69</v>
      </c>
      <c r="Q541" s="264"/>
      <c r="R541" s="264"/>
      <c r="S541" s="264"/>
      <c r="T541" s="264"/>
      <c r="U541" s="264"/>
      <c r="V541" s="264"/>
      <c r="W541" s="264"/>
      <c r="X541" s="264"/>
      <c r="Y541" s="264"/>
      <c r="Z541" s="264">
        <f>SUBTOTAL(9,S541:Y541)</f>
        <v>0</v>
      </c>
    </row>
    <row r="542" spans="1:43" ht="15" thickTop="1" thickBot="1">
      <c r="A542" s="371" t="str">
        <f t="shared" si="244"/>
        <v>4233-04</v>
      </c>
      <c r="B542" s="3">
        <v>46083</v>
      </c>
      <c r="C542" s="4" t="s">
        <v>17</v>
      </c>
      <c r="D542" s="4" t="s">
        <v>18</v>
      </c>
      <c r="E542" s="5" t="s">
        <v>3</v>
      </c>
      <c r="F542" s="265">
        <v>11564</v>
      </c>
      <c r="G542" s="2"/>
      <c r="H542" s="7">
        <v>16</v>
      </c>
      <c r="I542" s="7">
        <v>32</v>
      </c>
      <c r="J542" s="7">
        <v>34</v>
      </c>
      <c r="K542" s="7">
        <v>27</v>
      </c>
      <c r="L542" s="7">
        <v>23</v>
      </c>
      <c r="M542" s="7">
        <v>14</v>
      </c>
      <c r="N542" s="8"/>
      <c r="O542" s="14">
        <f t="shared" si="245"/>
        <v>146</v>
      </c>
      <c r="Q542" s="252" t="s">
        <v>19</v>
      </c>
      <c r="R542" s="266"/>
      <c r="S542" s="266"/>
      <c r="T542" s="266"/>
      <c r="U542" s="266"/>
      <c r="V542" s="266"/>
      <c r="W542" s="266"/>
      <c r="X542" s="266"/>
      <c r="Y542" s="267"/>
      <c r="Z542" s="268">
        <f t="shared" ref="Z542:Z547" si="246">SUM(S542:Y542)</f>
        <v>0</v>
      </c>
    </row>
    <row r="543" spans="1:43" ht="15" thickTop="1" thickBot="1">
      <c r="A543" s="371" t="str">
        <f t="shared" si="244"/>
        <v>4233-04</v>
      </c>
      <c r="B543" s="3"/>
      <c r="C543" s="3"/>
      <c r="D543" s="52" t="s">
        <v>164</v>
      </c>
      <c r="E543" s="5" t="s">
        <v>3</v>
      </c>
      <c r="F543" s="269"/>
      <c r="G543" s="6"/>
      <c r="H543" s="7"/>
      <c r="I543" s="7"/>
      <c r="J543" s="7"/>
      <c r="K543" s="7"/>
      <c r="L543" s="7"/>
      <c r="M543" s="7"/>
      <c r="N543" s="15"/>
      <c r="O543" s="14">
        <f t="shared" si="245"/>
        <v>0</v>
      </c>
      <c r="Q543" s="252" t="s">
        <v>4</v>
      </c>
      <c r="R543" s="266">
        <f>78/19</f>
        <v>4.1052631578947372</v>
      </c>
      <c r="S543" s="266"/>
      <c r="T543" s="266"/>
      <c r="U543" s="266"/>
      <c r="V543" s="266"/>
      <c r="W543" s="266"/>
      <c r="X543" s="266"/>
      <c r="Y543" s="266"/>
      <c r="Z543" s="266">
        <f t="shared" si="246"/>
        <v>0</v>
      </c>
    </row>
    <row r="544" spans="1:43" ht="15" thickTop="1" thickBot="1">
      <c r="A544" s="371" t="str">
        <f t="shared" si="244"/>
        <v>4233-04</v>
      </c>
      <c r="B544" s="3"/>
      <c r="C544" s="3"/>
      <c r="D544" s="3"/>
      <c r="E544" s="5" t="s">
        <v>3</v>
      </c>
      <c r="F544" s="269"/>
      <c r="G544" s="6"/>
      <c r="H544" s="15"/>
      <c r="I544" s="15"/>
      <c r="J544" s="15"/>
      <c r="K544" s="15"/>
      <c r="L544" s="15"/>
      <c r="M544" s="15"/>
      <c r="N544" s="15"/>
      <c r="O544" s="16">
        <f t="shared" si="245"/>
        <v>0</v>
      </c>
      <c r="Q544" s="252" t="s">
        <v>6</v>
      </c>
      <c r="R544" s="266">
        <f>25/11</f>
        <v>2.2727272727272729</v>
      </c>
      <c r="S544" s="266"/>
      <c r="T544" s="266"/>
      <c r="U544" s="266"/>
      <c r="V544" s="266"/>
      <c r="W544" s="266"/>
      <c r="X544" s="266"/>
      <c r="Y544" s="266"/>
      <c r="Z544" s="266">
        <f t="shared" si="246"/>
        <v>0</v>
      </c>
    </row>
    <row r="545" spans="1:26" ht="15" thickTop="1" thickBot="1">
      <c r="A545" s="371" t="str">
        <f t="shared" si="244"/>
        <v>4233-04</v>
      </c>
      <c r="B545" s="3"/>
      <c r="C545" s="3"/>
      <c r="D545" s="3"/>
      <c r="E545" s="5" t="s">
        <v>3</v>
      </c>
      <c r="F545" s="269"/>
      <c r="G545" s="6"/>
      <c r="H545" s="8"/>
      <c r="I545" s="8"/>
      <c r="J545" s="8"/>
      <c r="K545" s="8"/>
      <c r="L545" s="8"/>
      <c r="M545" s="8"/>
      <c r="N545" s="15"/>
      <c r="O545" s="16">
        <f t="shared" si="245"/>
        <v>0</v>
      </c>
      <c r="Q545" s="266"/>
      <c r="R545" s="266"/>
      <c r="S545" s="266"/>
      <c r="T545" s="266"/>
      <c r="U545" s="266"/>
      <c r="V545" s="266"/>
      <c r="W545" s="266"/>
      <c r="X545" s="266"/>
      <c r="Y545" s="266"/>
      <c r="Z545" s="266">
        <f t="shared" si="246"/>
        <v>0</v>
      </c>
    </row>
    <row r="546" spans="1:26" ht="15" thickTop="1" thickBot="1">
      <c r="A546" s="372" t="str">
        <f t="shared" si="244"/>
        <v>4233-04</v>
      </c>
      <c r="B546" s="19"/>
      <c r="C546" s="19"/>
      <c r="D546" s="19"/>
      <c r="E546" s="20" t="s">
        <v>3</v>
      </c>
      <c r="F546" s="271"/>
      <c r="G546" s="21"/>
      <c r="H546" s="22"/>
      <c r="I546" s="22"/>
      <c r="J546" s="22"/>
      <c r="K546" s="22"/>
      <c r="L546" s="22"/>
      <c r="M546" s="22"/>
      <c r="N546" s="22"/>
      <c r="O546" s="23">
        <f t="shared" si="245"/>
        <v>0</v>
      </c>
      <c r="Q546" s="252" t="s">
        <v>2</v>
      </c>
      <c r="R546" s="272">
        <f>500/10.2</f>
        <v>49.019607843137258</v>
      </c>
      <c r="S546" s="252">
        <f>49*1.2</f>
        <v>58.8</v>
      </c>
      <c r="T546" s="252">
        <f>49*2.1</f>
        <v>102.9</v>
      </c>
      <c r="U546" s="252">
        <f>49*2.4</f>
        <v>117.6</v>
      </c>
      <c r="V546" s="252">
        <f>49*2.4</f>
        <v>117.6</v>
      </c>
      <c r="W546" s="252">
        <f>49*1.5</f>
        <v>73.5</v>
      </c>
      <c r="X546" s="252">
        <f>49*0.9</f>
        <v>44.1</v>
      </c>
      <c r="Y546" s="266"/>
      <c r="Z546" s="266">
        <f t="shared" si="246"/>
        <v>514.5</v>
      </c>
    </row>
    <row r="547" spans="1:26" ht="15" thickTop="1" thickBot="1">
      <c r="A547" s="373" t="str">
        <f t="shared" si="244"/>
        <v>4233-04</v>
      </c>
      <c r="B547" s="47"/>
      <c r="C547" s="47"/>
      <c r="D547" s="47"/>
      <c r="E547" s="48" t="s">
        <v>23</v>
      </c>
      <c r="F547" s="49" t="str">
        <f>+B540</f>
        <v>Lavinia</v>
      </c>
      <c r="G547" s="48"/>
      <c r="H547" s="48">
        <f>+H541-H542-H543-H544-H546+H545</f>
        <v>-10</v>
      </c>
      <c r="I547" s="48">
        <f>+I541-I542-I543-I544-I546+I545</f>
        <v>-17</v>
      </c>
      <c r="J547" s="48">
        <f>+J541-J542-J543-J544-J546-J545</f>
        <v>-17</v>
      </c>
      <c r="K547" s="48">
        <f>+K541-K542-K543-K544-K546-K545</f>
        <v>-13</v>
      </c>
      <c r="L547" s="48">
        <f>+L541-L542-L543-L544-L546-L545</f>
        <v>-13</v>
      </c>
      <c r="M547" s="48">
        <f>+M541-M542-M543-M544-M546-M545</f>
        <v>-7</v>
      </c>
      <c r="N547" s="48"/>
      <c r="O547" s="48">
        <f t="shared" si="245"/>
        <v>-77</v>
      </c>
      <c r="Q547" s="266"/>
      <c r="R547" s="266"/>
      <c r="S547" s="252">
        <f t="shared" ref="S547:X547" si="247">SUM(S543:S546)</f>
        <v>58.8</v>
      </c>
      <c r="T547" s="252">
        <f t="shared" si="247"/>
        <v>102.9</v>
      </c>
      <c r="U547" s="252">
        <f t="shared" si="247"/>
        <v>117.6</v>
      </c>
      <c r="V547" s="252">
        <f t="shared" si="247"/>
        <v>117.6</v>
      </c>
      <c r="W547" s="252">
        <f t="shared" si="247"/>
        <v>73.5</v>
      </c>
      <c r="X547" s="252">
        <f t="shared" si="247"/>
        <v>44.1</v>
      </c>
      <c r="Y547" s="252"/>
      <c r="Z547" s="252">
        <f t="shared" si="246"/>
        <v>514.5</v>
      </c>
    </row>
    <row r="548" spans="1:26" ht="15" thickTop="1" thickBot="1">
      <c r="A548" s="369" t="s">
        <v>7</v>
      </c>
      <c r="B548" s="43" t="s">
        <v>8</v>
      </c>
      <c r="C548" s="43"/>
      <c r="D548" s="43"/>
      <c r="E548" s="44" t="s">
        <v>9</v>
      </c>
      <c r="F548" s="45"/>
      <c r="G548" s="45"/>
      <c r="H548" s="44"/>
      <c r="I548" s="44"/>
      <c r="J548" s="44"/>
      <c r="K548" s="44"/>
      <c r="L548" s="44"/>
      <c r="M548" s="44"/>
      <c r="N548" s="44"/>
      <c r="O548" s="44"/>
    </row>
    <row r="549" spans="1:26" ht="15" thickTop="1" thickBot="1">
      <c r="A549" s="370" t="s">
        <v>165</v>
      </c>
      <c r="B549" s="38" t="s">
        <v>161</v>
      </c>
      <c r="C549" s="9" t="s">
        <v>12</v>
      </c>
      <c r="D549" s="9" t="s">
        <v>13</v>
      </c>
      <c r="E549" s="10"/>
      <c r="F549" s="256" t="s">
        <v>14</v>
      </c>
      <c r="G549" s="257">
        <v>34</v>
      </c>
      <c r="H549" s="257">
        <v>36</v>
      </c>
      <c r="I549" s="257">
        <v>38</v>
      </c>
      <c r="J549" s="257">
        <v>40</v>
      </c>
      <c r="K549" s="257">
        <v>42</v>
      </c>
      <c r="L549" s="257">
        <v>44</v>
      </c>
      <c r="M549" s="257">
        <v>46</v>
      </c>
      <c r="N549" s="257"/>
      <c r="O549" s="258" t="s">
        <v>15</v>
      </c>
      <c r="Q549" s="259" t="s">
        <v>14</v>
      </c>
      <c r="R549" s="259"/>
      <c r="S549" s="259">
        <v>36</v>
      </c>
      <c r="T549" s="259">
        <v>38</v>
      </c>
      <c r="U549" s="259">
        <v>40</v>
      </c>
      <c r="V549" s="259">
        <v>42</v>
      </c>
      <c r="W549" s="259">
        <v>44</v>
      </c>
      <c r="X549" s="259">
        <v>46</v>
      </c>
      <c r="Y549" s="259"/>
      <c r="Z549" s="259" t="s">
        <v>15</v>
      </c>
    </row>
    <row r="550" spans="1:26" ht="15" thickTop="1" thickBot="1">
      <c r="A550" s="371" t="str">
        <f t="shared" ref="A550:A556" si="248">+A549</f>
        <v>4233-08</v>
      </c>
      <c r="B550" s="39" t="s">
        <v>16</v>
      </c>
      <c r="C550" s="39"/>
      <c r="D550" s="39" t="str">
        <f>+B549</f>
        <v>Lavinia</v>
      </c>
      <c r="E550" s="40"/>
      <c r="F550" s="261" t="s">
        <v>1</v>
      </c>
      <c r="G550" s="261"/>
      <c r="H550" s="262">
        <f>'BASE DATOS'!C64</f>
        <v>8</v>
      </c>
      <c r="I550" s="262">
        <f>'BASE DATOS'!D64</f>
        <v>17</v>
      </c>
      <c r="J550" s="262">
        <f>'BASE DATOS'!E64</f>
        <v>17</v>
      </c>
      <c r="K550" s="262">
        <f>'BASE DATOS'!F64</f>
        <v>15</v>
      </c>
      <c r="L550" s="262">
        <f>'BASE DATOS'!G64</f>
        <v>12</v>
      </c>
      <c r="M550" s="262">
        <f>'BASE DATOS'!H64</f>
        <v>7</v>
      </c>
      <c r="N550" s="262"/>
      <c r="O550" s="263">
        <f t="shared" ref="O550:O556" si="249">SUM(H550:N550)</f>
        <v>76</v>
      </c>
      <c r="Q550" s="264"/>
      <c r="R550" s="264"/>
      <c r="S550" s="264"/>
      <c r="T550" s="264"/>
      <c r="U550" s="264"/>
      <c r="V550" s="264"/>
      <c r="W550" s="264"/>
      <c r="X550" s="264"/>
      <c r="Y550" s="264"/>
      <c r="Z550" s="264">
        <f>SUBTOTAL(9,S550:Y550)</f>
        <v>0</v>
      </c>
    </row>
    <row r="551" spans="1:26" ht="15" thickTop="1" thickBot="1">
      <c r="A551" s="371" t="str">
        <f t="shared" si="248"/>
        <v>4233-08</v>
      </c>
      <c r="B551" s="3">
        <v>46083</v>
      </c>
      <c r="C551" s="4" t="s">
        <v>17</v>
      </c>
      <c r="D551" s="4" t="s">
        <v>18</v>
      </c>
      <c r="E551" s="5" t="s">
        <v>3</v>
      </c>
      <c r="F551" s="265">
        <v>11564</v>
      </c>
      <c r="G551" s="2"/>
      <c r="H551" s="7">
        <v>13</v>
      </c>
      <c r="I551" s="7">
        <v>30</v>
      </c>
      <c r="J551" s="7">
        <v>30</v>
      </c>
      <c r="K551" s="7">
        <v>26</v>
      </c>
      <c r="L551" s="7">
        <v>24</v>
      </c>
      <c r="M551" s="7">
        <v>10</v>
      </c>
      <c r="N551" s="8"/>
      <c r="O551" s="14">
        <f t="shared" si="249"/>
        <v>133</v>
      </c>
      <c r="Q551" s="252" t="s">
        <v>19</v>
      </c>
      <c r="R551" s="266"/>
      <c r="S551" s="266"/>
      <c r="T551" s="266"/>
      <c r="U551" s="266"/>
      <c r="V551" s="266"/>
      <c r="W551" s="266"/>
      <c r="X551" s="266"/>
      <c r="Y551" s="267"/>
      <c r="Z551" s="268">
        <f t="shared" ref="Z551:Z556" si="250">SUM(S551:Y551)</f>
        <v>0</v>
      </c>
    </row>
    <row r="552" spans="1:26" ht="15" thickTop="1" thickBot="1">
      <c r="A552" s="371" t="str">
        <f t="shared" si="248"/>
        <v>4233-08</v>
      </c>
      <c r="B552" s="3"/>
      <c r="C552" s="3"/>
      <c r="D552" s="52" t="s">
        <v>166</v>
      </c>
      <c r="E552" s="5" t="s">
        <v>3</v>
      </c>
      <c r="F552" s="269"/>
      <c r="G552" s="6"/>
      <c r="H552" s="7"/>
      <c r="I552" s="7"/>
      <c r="J552" s="7"/>
      <c r="K552" s="7"/>
      <c r="L552" s="7"/>
      <c r="M552" s="7"/>
      <c r="N552" s="15"/>
      <c r="O552" s="14">
        <f t="shared" si="249"/>
        <v>0</v>
      </c>
      <c r="Q552" s="252" t="s">
        <v>4</v>
      </c>
      <c r="R552" s="266">
        <f>78/19</f>
        <v>4.1052631578947372</v>
      </c>
      <c r="S552" s="266"/>
      <c r="T552" s="266"/>
      <c r="U552" s="266"/>
      <c r="V552" s="266"/>
      <c r="W552" s="266"/>
      <c r="X552" s="266"/>
      <c r="Y552" s="266"/>
      <c r="Z552" s="266">
        <f t="shared" si="250"/>
        <v>0</v>
      </c>
    </row>
    <row r="553" spans="1:26" ht="15" thickTop="1" thickBot="1">
      <c r="A553" s="371" t="str">
        <f t="shared" si="248"/>
        <v>4233-08</v>
      </c>
      <c r="B553" s="3"/>
      <c r="C553" s="3"/>
      <c r="D553" s="3"/>
      <c r="E553" s="5" t="s">
        <v>3</v>
      </c>
      <c r="F553" s="269"/>
      <c r="G553" s="6"/>
      <c r="H553" s="15"/>
      <c r="I553" s="15"/>
      <c r="J553" s="15"/>
      <c r="K553" s="15"/>
      <c r="L553" s="15"/>
      <c r="M553" s="15"/>
      <c r="N553" s="15"/>
      <c r="O553" s="16">
        <f t="shared" si="249"/>
        <v>0</v>
      </c>
      <c r="Q553" s="252" t="s">
        <v>6</v>
      </c>
      <c r="R553" s="266">
        <f>25/11</f>
        <v>2.2727272727272729</v>
      </c>
      <c r="S553" s="266"/>
      <c r="T553" s="266"/>
      <c r="U553" s="266"/>
      <c r="V553" s="266"/>
      <c r="W553" s="266"/>
      <c r="X553" s="266"/>
      <c r="Y553" s="266"/>
      <c r="Z553" s="266">
        <f t="shared" si="250"/>
        <v>0</v>
      </c>
    </row>
    <row r="554" spans="1:26" ht="15" thickTop="1" thickBot="1">
      <c r="A554" s="371" t="str">
        <f t="shared" si="248"/>
        <v>4233-08</v>
      </c>
      <c r="B554" s="3"/>
      <c r="C554" s="3"/>
      <c r="D554" s="3"/>
      <c r="E554" s="5" t="s">
        <v>3</v>
      </c>
      <c r="F554" s="269"/>
      <c r="G554" s="6"/>
      <c r="H554" s="8"/>
      <c r="I554" s="8"/>
      <c r="J554" s="8"/>
      <c r="K554" s="8"/>
      <c r="L554" s="8"/>
      <c r="M554" s="8"/>
      <c r="N554" s="15"/>
      <c r="O554" s="16">
        <f t="shared" si="249"/>
        <v>0</v>
      </c>
      <c r="Q554" s="266"/>
      <c r="R554" s="266"/>
      <c r="S554" s="266"/>
      <c r="T554" s="266"/>
      <c r="U554" s="266"/>
      <c r="V554" s="266"/>
      <c r="W554" s="266"/>
      <c r="X554" s="266"/>
      <c r="Y554" s="266"/>
      <c r="Z554" s="266">
        <f t="shared" si="250"/>
        <v>0</v>
      </c>
    </row>
    <row r="555" spans="1:26" ht="15" thickTop="1" thickBot="1">
      <c r="A555" s="372" t="str">
        <f t="shared" si="248"/>
        <v>4233-08</v>
      </c>
      <c r="B555" s="19"/>
      <c r="C555" s="19"/>
      <c r="D555" s="19"/>
      <c r="E555" s="20" t="s">
        <v>3</v>
      </c>
      <c r="F555" s="271"/>
      <c r="G555" s="21"/>
      <c r="H555" s="22"/>
      <c r="I555" s="22"/>
      <c r="J555" s="22"/>
      <c r="K555" s="22"/>
      <c r="L555" s="22"/>
      <c r="M555" s="22"/>
      <c r="N555" s="22"/>
      <c r="O555" s="23">
        <f t="shared" si="249"/>
        <v>0</v>
      </c>
      <c r="Q555" s="252" t="s">
        <v>2</v>
      </c>
      <c r="R555" s="272">
        <f>500/10.2</f>
        <v>49.019607843137258</v>
      </c>
      <c r="S555" s="252">
        <f>49*1.2</f>
        <v>58.8</v>
      </c>
      <c r="T555" s="252">
        <f>49*2.1</f>
        <v>102.9</v>
      </c>
      <c r="U555" s="252">
        <f>49*2.4</f>
        <v>117.6</v>
      </c>
      <c r="V555" s="252">
        <f>49*2.4</f>
        <v>117.6</v>
      </c>
      <c r="W555" s="252">
        <f>49*1.5</f>
        <v>73.5</v>
      </c>
      <c r="X555" s="252">
        <f>49*0.9</f>
        <v>44.1</v>
      </c>
      <c r="Y555" s="266"/>
      <c r="Z555" s="266">
        <f t="shared" si="250"/>
        <v>514.5</v>
      </c>
    </row>
    <row r="556" spans="1:26" ht="15" thickTop="1" thickBot="1">
      <c r="A556" s="373" t="str">
        <f t="shared" si="248"/>
        <v>4233-08</v>
      </c>
      <c r="B556" s="47"/>
      <c r="C556" s="47"/>
      <c r="D556" s="47"/>
      <c r="E556" s="48" t="s">
        <v>23</v>
      </c>
      <c r="F556" s="49" t="str">
        <f>+B549</f>
        <v>Lavinia</v>
      </c>
      <c r="G556" s="48"/>
      <c r="H556" s="48">
        <f>+H550-H551-H552-H553-H555+H554</f>
        <v>-5</v>
      </c>
      <c r="I556" s="48">
        <f>+I550-I551-I552-I553-I555+I554</f>
        <v>-13</v>
      </c>
      <c r="J556" s="48">
        <f>+J550-J551-J552-J553-J555-J554</f>
        <v>-13</v>
      </c>
      <c r="K556" s="48">
        <f>+K550-K551-K552-K553-K555-K554</f>
        <v>-11</v>
      </c>
      <c r="L556" s="48">
        <f>+L550-L551-L552-L553-L555-L554</f>
        <v>-12</v>
      </c>
      <c r="M556" s="48">
        <f>+M550-M551-M552-M553-M555-M554</f>
        <v>-3</v>
      </c>
      <c r="N556" s="48"/>
      <c r="O556" s="48">
        <f t="shared" si="249"/>
        <v>-57</v>
      </c>
      <c r="Q556" s="266"/>
      <c r="R556" s="266"/>
      <c r="S556" s="252">
        <f t="shared" ref="S556:X556" si="251">SUM(S552:S555)</f>
        <v>58.8</v>
      </c>
      <c r="T556" s="252">
        <f t="shared" si="251"/>
        <v>102.9</v>
      </c>
      <c r="U556" s="252">
        <f t="shared" si="251"/>
        <v>117.6</v>
      </c>
      <c r="V556" s="252">
        <f t="shared" si="251"/>
        <v>117.6</v>
      </c>
      <c r="W556" s="252">
        <f t="shared" si="251"/>
        <v>73.5</v>
      </c>
      <c r="X556" s="252">
        <f t="shared" si="251"/>
        <v>44.1</v>
      </c>
      <c r="Y556" s="252"/>
      <c r="Z556" s="252">
        <f t="shared" si="250"/>
        <v>514.5</v>
      </c>
    </row>
    <row r="557" spans="1:26" ht="15" thickTop="1" thickBot="1">
      <c r="A557" s="369" t="s">
        <v>7</v>
      </c>
      <c r="B557" s="43" t="s">
        <v>8</v>
      </c>
      <c r="C557" s="43"/>
      <c r="D557" s="43"/>
      <c r="E557" s="44" t="s">
        <v>9</v>
      </c>
      <c r="F557" s="45"/>
      <c r="G557" s="45"/>
      <c r="H557" s="44"/>
      <c r="I557" s="44"/>
      <c r="J557" s="44"/>
      <c r="K557" s="44"/>
      <c r="L557" s="44"/>
      <c r="M557" s="44"/>
      <c r="N557" s="44"/>
      <c r="O557" s="44"/>
    </row>
    <row r="558" spans="1:26" ht="15" thickTop="1" thickBot="1">
      <c r="A558" s="370" t="s">
        <v>167</v>
      </c>
      <c r="B558" s="38" t="s">
        <v>161</v>
      </c>
      <c r="C558" s="9" t="s">
        <v>12</v>
      </c>
      <c r="D558" s="9" t="s">
        <v>13</v>
      </c>
      <c r="E558" s="10"/>
      <c r="F558" s="256" t="s">
        <v>14</v>
      </c>
      <c r="G558" s="257">
        <v>34</v>
      </c>
      <c r="H558" s="257">
        <v>36</v>
      </c>
      <c r="I558" s="257">
        <v>38</v>
      </c>
      <c r="J558" s="257">
        <v>40</v>
      </c>
      <c r="K558" s="257">
        <v>42</v>
      </c>
      <c r="L558" s="257">
        <v>44</v>
      </c>
      <c r="M558" s="257">
        <v>46</v>
      </c>
      <c r="N558" s="257"/>
      <c r="O558" s="258" t="s">
        <v>15</v>
      </c>
      <c r="Q558" s="259" t="s">
        <v>14</v>
      </c>
      <c r="R558" s="259"/>
      <c r="S558" s="259">
        <v>36</v>
      </c>
      <c r="T558" s="259">
        <v>38</v>
      </c>
      <c r="U558" s="259">
        <v>40</v>
      </c>
      <c r="V558" s="259">
        <v>42</v>
      </c>
      <c r="W558" s="259">
        <v>44</v>
      </c>
      <c r="X558" s="259">
        <v>46</v>
      </c>
      <c r="Y558" s="259"/>
      <c r="Z558" s="259" t="s">
        <v>15</v>
      </c>
    </row>
    <row r="559" spans="1:26" ht="15" thickTop="1" thickBot="1">
      <c r="A559" s="371" t="str">
        <f t="shared" ref="A559:A565" si="252">+A558</f>
        <v>4233-09</v>
      </c>
      <c r="B559" s="39" t="s">
        <v>16</v>
      </c>
      <c r="C559" s="39"/>
      <c r="D559" s="39" t="str">
        <f>+B558</f>
        <v>Lavinia</v>
      </c>
      <c r="E559" s="40"/>
      <c r="F559" s="261" t="s">
        <v>1</v>
      </c>
      <c r="G559" s="261"/>
      <c r="H559" s="262">
        <f>'BASE DATOS'!C65</f>
        <v>6</v>
      </c>
      <c r="I559" s="262">
        <f>'BASE DATOS'!D65</f>
        <v>8</v>
      </c>
      <c r="J559" s="262">
        <f>'BASE DATOS'!E65</f>
        <v>6</v>
      </c>
      <c r="K559" s="262">
        <f>'BASE DATOS'!F65</f>
        <v>6</v>
      </c>
      <c r="L559" s="262">
        <f>'BASE DATOS'!G65</f>
        <v>4</v>
      </c>
      <c r="M559" s="262">
        <f>'BASE DATOS'!H65</f>
        <v>2</v>
      </c>
      <c r="N559" s="262"/>
      <c r="O559" s="263">
        <f t="shared" ref="O559:O565" si="253">SUM(H559:N559)</f>
        <v>32</v>
      </c>
      <c r="Q559" s="264"/>
      <c r="R559" s="264"/>
      <c r="S559" s="264"/>
      <c r="T559" s="264"/>
      <c r="U559" s="264"/>
      <c r="V559" s="264"/>
      <c r="W559" s="264"/>
      <c r="X559" s="264"/>
      <c r="Y559" s="264"/>
      <c r="Z559" s="264">
        <f>SUBTOTAL(9,S559:Y559)</f>
        <v>0</v>
      </c>
    </row>
    <row r="560" spans="1:26" ht="15" thickTop="1" thickBot="1">
      <c r="A560" s="371" t="str">
        <f t="shared" si="252"/>
        <v>4233-09</v>
      </c>
      <c r="B560" s="3">
        <v>46083</v>
      </c>
      <c r="C560" s="4" t="s">
        <v>17</v>
      </c>
      <c r="D560" s="4" t="s">
        <v>18</v>
      </c>
      <c r="E560" s="5" t="s">
        <v>3</v>
      </c>
      <c r="F560" s="265">
        <v>11564</v>
      </c>
      <c r="G560" s="2"/>
      <c r="H560" s="7">
        <v>6</v>
      </c>
      <c r="I560" s="7">
        <v>9</v>
      </c>
      <c r="J560" s="7">
        <v>7</v>
      </c>
      <c r="K560" s="7">
        <v>7</v>
      </c>
      <c r="L560" s="7">
        <v>5</v>
      </c>
      <c r="M560" s="7">
        <v>2</v>
      </c>
      <c r="N560" s="8"/>
      <c r="O560" s="14">
        <f t="shared" si="253"/>
        <v>36</v>
      </c>
      <c r="Q560" s="252" t="s">
        <v>19</v>
      </c>
      <c r="R560" s="266"/>
      <c r="S560" s="266"/>
      <c r="T560" s="266"/>
      <c r="U560" s="266"/>
      <c r="V560" s="266"/>
      <c r="W560" s="266"/>
      <c r="X560" s="266"/>
      <c r="Y560" s="267"/>
      <c r="Z560" s="268">
        <f t="shared" ref="Z560:Z565" si="254">SUM(S560:Y560)</f>
        <v>0</v>
      </c>
    </row>
    <row r="561" spans="1:26" ht="15" thickTop="1" thickBot="1">
      <c r="A561" s="371" t="str">
        <f t="shared" si="252"/>
        <v>4233-09</v>
      </c>
      <c r="B561" s="3"/>
      <c r="C561" s="3"/>
      <c r="D561" s="52" t="s">
        <v>168</v>
      </c>
      <c r="E561" s="5" t="s">
        <v>3</v>
      </c>
      <c r="F561" s="269"/>
      <c r="G561" s="6"/>
      <c r="H561" s="7"/>
      <c r="I561" s="7"/>
      <c r="J561" s="7"/>
      <c r="K561" s="7"/>
      <c r="L561" s="7"/>
      <c r="M561" s="7"/>
      <c r="N561" s="15"/>
      <c r="O561" s="14">
        <f t="shared" si="253"/>
        <v>0</v>
      </c>
      <c r="Q561" s="252" t="s">
        <v>4</v>
      </c>
      <c r="R561" s="266">
        <f>78/19</f>
        <v>4.1052631578947372</v>
      </c>
      <c r="S561" s="266"/>
      <c r="T561" s="266"/>
      <c r="U561" s="266"/>
      <c r="V561" s="266"/>
      <c r="W561" s="266"/>
      <c r="X561" s="266"/>
      <c r="Y561" s="266"/>
      <c r="Z561" s="266">
        <f t="shared" si="254"/>
        <v>0</v>
      </c>
    </row>
    <row r="562" spans="1:26" ht="15" thickTop="1" thickBot="1">
      <c r="A562" s="371" t="str">
        <f t="shared" si="252"/>
        <v>4233-09</v>
      </c>
      <c r="B562" s="3"/>
      <c r="C562" s="3"/>
      <c r="D562" s="3"/>
      <c r="E562" s="5" t="s">
        <v>3</v>
      </c>
      <c r="F562" s="269"/>
      <c r="G562" s="6"/>
      <c r="H562" s="15"/>
      <c r="I562" s="15"/>
      <c r="J562" s="15"/>
      <c r="K562" s="15"/>
      <c r="L562" s="15"/>
      <c r="M562" s="15"/>
      <c r="N562" s="15"/>
      <c r="O562" s="16">
        <f t="shared" si="253"/>
        <v>0</v>
      </c>
      <c r="Q562" s="252" t="s">
        <v>6</v>
      </c>
      <c r="R562" s="266">
        <f>25/11</f>
        <v>2.2727272727272729</v>
      </c>
      <c r="S562" s="266"/>
      <c r="T562" s="266"/>
      <c r="U562" s="266"/>
      <c r="V562" s="266"/>
      <c r="W562" s="266"/>
      <c r="X562" s="266"/>
      <c r="Y562" s="266"/>
      <c r="Z562" s="266">
        <f t="shared" si="254"/>
        <v>0</v>
      </c>
    </row>
    <row r="563" spans="1:26" ht="15" thickTop="1" thickBot="1">
      <c r="A563" s="371" t="str">
        <f t="shared" si="252"/>
        <v>4233-09</v>
      </c>
      <c r="B563" s="3"/>
      <c r="C563" s="3"/>
      <c r="D563" s="3"/>
      <c r="E563" s="5" t="s">
        <v>3</v>
      </c>
      <c r="F563" s="269"/>
      <c r="G563" s="6"/>
      <c r="H563" s="8"/>
      <c r="I563" s="8"/>
      <c r="J563" s="8"/>
      <c r="K563" s="8"/>
      <c r="L563" s="8"/>
      <c r="M563" s="8"/>
      <c r="N563" s="15"/>
      <c r="O563" s="16">
        <f t="shared" si="253"/>
        <v>0</v>
      </c>
      <c r="Q563" s="266"/>
      <c r="R563" s="266"/>
      <c r="S563" s="266"/>
      <c r="T563" s="266"/>
      <c r="U563" s="266"/>
      <c r="V563" s="266"/>
      <c r="W563" s="266"/>
      <c r="X563" s="266"/>
      <c r="Y563" s="266"/>
      <c r="Z563" s="266">
        <f t="shared" si="254"/>
        <v>0</v>
      </c>
    </row>
    <row r="564" spans="1:26" ht="15" thickTop="1" thickBot="1">
      <c r="A564" s="372" t="str">
        <f t="shared" si="252"/>
        <v>4233-09</v>
      </c>
      <c r="B564" s="19"/>
      <c r="C564" s="19"/>
      <c r="D564" s="19"/>
      <c r="E564" s="20" t="s">
        <v>3</v>
      </c>
      <c r="F564" s="271"/>
      <c r="G564" s="21"/>
      <c r="H564" s="22"/>
      <c r="I564" s="22"/>
      <c r="J564" s="22"/>
      <c r="K564" s="22"/>
      <c r="L564" s="22"/>
      <c r="M564" s="22"/>
      <c r="N564" s="22"/>
      <c r="O564" s="23">
        <f t="shared" si="253"/>
        <v>0</v>
      </c>
      <c r="Q564" s="252" t="s">
        <v>2</v>
      </c>
      <c r="R564" s="272">
        <f>500/10.2</f>
        <v>49.019607843137258</v>
      </c>
      <c r="S564" s="252">
        <f>49*1.2</f>
        <v>58.8</v>
      </c>
      <c r="T564" s="252">
        <f>49*2.1</f>
        <v>102.9</v>
      </c>
      <c r="U564" s="252">
        <f>49*2.4</f>
        <v>117.6</v>
      </c>
      <c r="V564" s="252">
        <f>49*2.4</f>
        <v>117.6</v>
      </c>
      <c r="W564" s="252">
        <f>49*1.5</f>
        <v>73.5</v>
      </c>
      <c r="X564" s="252">
        <f>49*0.9</f>
        <v>44.1</v>
      </c>
      <c r="Y564" s="266"/>
      <c r="Z564" s="266">
        <f t="shared" si="254"/>
        <v>514.5</v>
      </c>
    </row>
    <row r="565" spans="1:26" ht="15" thickTop="1" thickBot="1">
      <c r="A565" s="373" t="str">
        <f t="shared" si="252"/>
        <v>4233-09</v>
      </c>
      <c r="B565" s="47"/>
      <c r="C565" s="47"/>
      <c r="D565" s="47"/>
      <c r="E565" s="48" t="s">
        <v>23</v>
      </c>
      <c r="F565" s="49" t="str">
        <f>+B558</f>
        <v>Lavinia</v>
      </c>
      <c r="G565" s="48"/>
      <c r="H565" s="48">
        <f>+H559-H560-H561-H562-H564+H563</f>
        <v>0</v>
      </c>
      <c r="I565" s="48">
        <f>+I559-I560-I561-I562-I564+I563</f>
        <v>-1</v>
      </c>
      <c r="J565" s="48">
        <f>+J559-J560-J561-J562-J564-J563</f>
        <v>-1</v>
      </c>
      <c r="K565" s="48">
        <f>+K559-K560-K561-K562-K564-K563</f>
        <v>-1</v>
      </c>
      <c r="L565" s="48">
        <f>+L559-L560-L561-L562-L564-L563</f>
        <v>-1</v>
      </c>
      <c r="M565" s="48">
        <f>+M559-M560-M561-M562-M564-M563</f>
        <v>0</v>
      </c>
      <c r="N565" s="48"/>
      <c r="O565" s="48">
        <f t="shared" si="253"/>
        <v>-4</v>
      </c>
      <c r="Q565" s="266"/>
      <c r="R565" s="266"/>
      <c r="S565" s="252">
        <f t="shared" ref="S565:X565" si="255">SUM(S561:S564)</f>
        <v>58.8</v>
      </c>
      <c r="T565" s="252">
        <f t="shared" si="255"/>
        <v>102.9</v>
      </c>
      <c r="U565" s="252">
        <f t="shared" si="255"/>
        <v>117.6</v>
      </c>
      <c r="V565" s="252">
        <f t="shared" si="255"/>
        <v>117.6</v>
      </c>
      <c r="W565" s="252">
        <f t="shared" si="255"/>
        <v>73.5</v>
      </c>
      <c r="X565" s="252">
        <f t="shared" si="255"/>
        <v>44.1</v>
      </c>
      <c r="Y565" s="252"/>
      <c r="Z565" s="252">
        <f t="shared" si="254"/>
        <v>514.5</v>
      </c>
    </row>
    <row r="566" spans="1:26" ht="15" thickTop="1" thickBot="1">
      <c r="A566" s="369" t="s">
        <v>7</v>
      </c>
      <c r="B566" s="43" t="s">
        <v>8</v>
      </c>
      <c r="C566" s="43"/>
      <c r="D566" s="43"/>
      <c r="E566" s="44" t="s">
        <v>9</v>
      </c>
      <c r="F566" s="45"/>
      <c r="G566" s="45"/>
      <c r="H566" s="44"/>
      <c r="I566" s="44"/>
      <c r="J566" s="44"/>
      <c r="K566" s="44"/>
      <c r="L566" s="44"/>
      <c r="M566" s="44"/>
      <c r="N566" s="44"/>
      <c r="O566" s="44"/>
    </row>
    <row r="567" spans="1:26" ht="15" thickTop="1" thickBot="1">
      <c r="A567" s="370" t="s">
        <v>169</v>
      </c>
      <c r="B567" s="38" t="s">
        <v>161</v>
      </c>
      <c r="C567" s="9" t="s">
        <v>12</v>
      </c>
      <c r="D567" s="9" t="s">
        <v>13</v>
      </c>
      <c r="E567" s="10"/>
      <c r="F567" s="256" t="s">
        <v>14</v>
      </c>
      <c r="G567" s="257">
        <v>34</v>
      </c>
      <c r="H567" s="257">
        <v>36</v>
      </c>
      <c r="I567" s="257">
        <v>38</v>
      </c>
      <c r="J567" s="257">
        <v>40</v>
      </c>
      <c r="K567" s="257">
        <v>42</v>
      </c>
      <c r="L567" s="257">
        <v>44</v>
      </c>
      <c r="M567" s="257">
        <v>46</v>
      </c>
      <c r="N567" s="257"/>
      <c r="O567" s="258" t="s">
        <v>15</v>
      </c>
      <c r="Q567" s="259" t="s">
        <v>14</v>
      </c>
      <c r="R567" s="259"/>
      <c r="S567" s="259">
        <v>36</v>
      </c>
      <c r="T567" s="259">
        <v>38</v>
      </c>
      <c r="U567" s="259">
        <v>40</v>
      </c>
      <c r="V567" s="259">
        <v>42</v>
      </c>
      <c r="W567" s="259">
        <v>44</v>
      </c>
      <c r="X567" s="259">
        <v>46</v>
      </c>
      <c r="Y567" s="259"/>
      <c r="Z567" s="259" t="s">
        <v>15</v>
      </c>
    </row>
    <row r="568" spans="1:26" ht="15" thickTop="1" thickBot="1">
      <c r="A568" s="371" t="str">
        <f t="shared" ref="A568:A574" si="256">+A567</f>
        <v>4233-16</v>
      </c>
      <c r="B568" s="39" t="s">
        <v>16</v>
      </c>
      <c r="C568" s="39"/>
      <c r="D568" s="39" t="str">
        <f>+B567</f>
        <v>Lavinia</v>
      </c>
      <c r="E568" s="40"/>
      <c r="F568" s="261" t="s">
        <v>1</v>
      </c>
      <c r="G568" s="261"/>
      <c r="H568" s="262">
        <f>'BASE DATOS'!C66</f>
        <v>8</v>
      </c>
      <c r="I568" s="262">
        <f>'BASE DATOS'!D66</f>
        <v>17</v>
      </c>
      <c r="J568" s="262">
        <f>'BASE DATOS'!E66</f>
        <v>17</v>
      </c>
      <c r="K568" s="262">
        <f>'BASE DATOS'!F66</f>
        <v>16</v>
      </c>
      <c r="L568" s="262">
        <f>'BASE DATOS'!G66</f>
        <v>10</v>
      </c>
      <c r="M568" s="262">
        <f>'BASE DATOS'!H66</f>
        <v>5</v>
      </c>
      <c r="N568" s="262"/>
      <c r="O568" s="263">
        <f t="shared" ref="O568:O574" si="257">SUM(H568:N568)</f>
        <v>73</v>
      </c>
      <c r="Q568" s="264"/>
      <c r="R568" s="264"/>
      <c r="S568" s="264"/>
      <c r="T568" s="264"/>
      <c r="U568" s="264"/>
      <c r="V568" s="264"/>
      <c r="W568" s="264"/>
      <c r="X568" s="264"/>
      <c r="Y568" s="264"/>
      <c r="Z568" s="264">
        <f>SUBTOTAL(9,S568:Y568)</f>
        <v>0</v>
      </c>
    </row>
    <row r="569" spans="1:26" ht="15" thickTop="1" thickBot="1">
      <c r="A569" s="371" t="str">
        <f t="shared" si="256"/>
        <v>4233-16</v>
      </c>
      <c r="B569" s="3">
        <v>46083</v>
      </c>
      <c r="C569" s="4" t="s">
        <v>17</v>
      </c>
      <c r="D569" s="4" t="s">
        <v>18</v>
      </c>
      <c r="E569" s="5" t="s">
        <v>3</v>
      </c>
      <c r="F569" s="265">
        <v>11564</v>
      </c>
      <c r="G569" s="2"/>
      <c r="H569" s="7">
        <v>10</v>
      </c>
      <c r="I569" s="7">
        <v>21</v>
      </c>
      <c r="J569" s="7">
        <v>21</v>
      </c>
      <c r="K569" s="7">
        <v>19</v>
      </c>
      <c r="L569" s="7">
        <v>12</v>
      </c>
      <c r="M569" s="7">
        <v>6</v>
      </c>
      <c r="N569" s="8"/>
      <c r="O569" s="14">
        <f t="shared" si="257"/>
        <v>89</v>
      </c>
      <c r="Q569" s="252" t="s">
        <v>19</v>
      </c>
      <c r="R569" s="266"/>
      <c r="S569" s="266"/>
      <c r="T569" s="266"/>
      <c r="U569" s="266"/>
      <c r="V569" s="266"/>
      <c r="W569" s="266"/>
      <c r="X569" s="266"/>
      <c r="Y569" s="267"/>
      <c r="Z569" s="268">
        <f t="shared" ref="Z569:Z574" si="258">SUM(S569:Y569)</f>
        <v>0</v>
      </c>
    </row>
    <row r="570" spans="1:26" ht="15" thickTop="1" thickBot="1">
      <c r="A570" s="371" t="str">
        <f t="shared" si="256"/>
        <v>4233-16</v>
      </c>
      <c r="B570" s="3"/>
      <c r="C570" s="3"/>
      <c r="D570" s="52" t="s">
        <v>170</v>
      </c>
      <c r="E570" s="5" t="s">
        <v>3</v>
      </c>
      <c r="F570" s="269"/>
      <c r="G570" s="6"/>
      <c r="H570" s="7"/>
      <c r="I570" s="7"/>
      <c r="J570" s="7"/>
      <c r="K570" s="7"/>
      <c r="L570" s="7"/>
      <c r="M570" s="7"/>
      <c r="N570" s="15"/>
      <c r="O570" s="14">
        <f t="shared" si="257"/>
        <v>0</v>
      </c>
      <c r="Q570" s="252" t="s">
        <v>4</v>
      </c>
      <c r="R570" s="266">
        <f>78/19</f>
        <v>4.1052631578947372</v>
      </c>
      <c r="S570" s="266"/>
      <c r="T570" s="266"/>
      <c r="U570" s="266"/>
      <c r="V570" s="266"/>
      <c r="W570" s="266"/>
      <c r="X570" s="266"/>
      <c r="Y570" s="266"/>
      <c r="Z570" s="266">
        <f t="shared" si="258"/>
        <v>0</v>
      </c>
    </row>
    <row r="571" spans="1:26" ht="15" thickTop="1" thickBot="1">
      <c r="A571" s="371" t="str">
        <f t="shared" si="256"/>
        <v>4233-16</v>
      </c>
      <c r="B571" s="3"/>
      <c r="C571" s="3"/>
      <c r="D571" s="3"/>
      <c r="E571" s="5" t="s">
        <v>3</v>
      </c>
      <c r="F571" s="269"/>
      <c r="G571" s="6"/>
      <c r="H571" s="15"/>
      <c r="I571" s="15"/>
      <c r="J571" s="15"/>
      <c r="K571" s="15"/>
      <c r="L571" s="15"/>
      <c r="M571" s="15"/>
      <c r="N571" s="15"/>
      <c r="O571" s="16">
        <f t="shared" si="257"/>
        <v>0</v>
      </c>
      <c r="Q571" s="252" t="s">
        <v>6</v>
      </c>
      <c r="R571" s="266">
        <f>25/11</f>
        <v>2.2727272727272729</v>
      </c>
      <c r="S571" s="266"/>
      <c r="T571" s="266"/>
      <c r="U571" s="266"/>
      <c r="V571" s="266"/>
      <c r="W571" s="266"/>
      <c r="X571" s="266"/>
      <c r="Y571" s="266"/>
      <c r="Z571" s="266">
        <f t="shared" si="258"/>
        <v>0</v>
      </c>
    </row>
    <row r="572" spans="1:26" ht="15" thickTop="1" thickBot="1">
      <c r="A572" s="371" t="str">
        <f t="shared" si="256"/>
        <v>4233-16</v>
      </c>
      <c r="B572" s="3"/>
      <c r="C572" s="3"/>
      <c r="D572" s="3"/>
      <c r="E572" s="5" t="s">
        <v>3</v>
      </c>
      <c r="F572" s="269"/>
      <c r="G572" s="6"/>
      <c r="H572" s="8"/>
      <c r="I572" s="8"/>
      <c r="J572" s="8"/>
      <c r="K572" s="8"/>
      <c r="L572" s="8"/>
      <c r="M572" s="8"/>
      <c r="N572" s="15"/>
      <c r="O572" s="16">
        <f t="shared" si="257"/>
        <v>0</v>
      </c>
      <c r="Q572" s="266"/>
      <c r="R572" s="266"/>
      <c r="S572" s="266"/>
      <c r="T572" s="266"/>
      <c r="U572" s="266"/>
      <c r="V572" s="266"/>
      <c r="W572" s="266"/>
      <c r="X572" s="266"/>
      <c r="Y572" s="266"/>
      <c r="Z572" s="266">
        <f t="shared" si="258"/>
        <v>0</v>
      </c>
    </row>
    <row r="573" spans="1:26" ht="15" thickTop="1" thickBot="1">
      <c r="A573" s="372" t="str">
        <f t="shared" si="256"/>
        <v>4233-16</v>
      </c>
      <c r="B573" s="19"/>
      <c r="C573" s="19"/>
      <c r="D573" s="19"/>
      <c r="E573" s="20" t="s">
        <v>3</v>
      </c>
      <c r="F573" s="271"/>
      <c r="G573" s="21"/>
      <c r="H573" s="22"/>
      <c r="I573" s="22"/>
      <c r="J573" s="22"/>
      <c r="K573" s="22"/>
      <c r="L573" s="22"/>
      <c r="M573" s="22"/>
      <c r="N573" s="22"/>
      <c r="O573" s="23">
        <f t="shared" si="257"/>
        <v>0</v>
      </c>
      <c r="Q573" s="252" t="s">
        <v>2</v>
      </c>
      <c r="R573" s="272">
        <f>500/10.2</f>
        <v>49.019607843137258</v>
      </c>
      <c r="S573" s="252">
        <f>49*1.2</f>
        <v>58.8</v>
      </c>
      <c r="T573" s="252">
        <f>49*2.1</f>
        <v>102.9</v>
      </c>
      <c r="U573" s="252">
        <f>49*2.4</f>
        <v>117.6</v>
      </c>
      <c r="V573" s="252">
        <f>49*2.4</f>
        <v>117.6</v>
      </c>
      <c r="W573" s="252">
        <f>49*1.5</f>
        <v>73.5</v>
      </c>
      <c r="X573" s="252">
        <f>49*0.9</f>
        <v>44.1</v>
      </c>
      <c r="Y573" s="266"/>
      <c r="Z573" s="266">
        <f t="shared" si="258"/>
        <v>514.5</v>
      </c>
    </row>
    <row r="574" spans="1:26" ht="15" thickTop="1" thickBot="1">
      <c r="A574" s="373" t="str">
        <f t="shared" si="256"/>
        <v>4233-16</v>
      </c>
      <c r="B574" s="47"/>
      <c r="C574" s="47"/>
      <c r="D574" s="47"/>
      <c r="E574" s="48" t="s">
        <v>23</v>
      </c>
      <c r="F574" s="49" t="str">
        <f>+B567</f>
        <v>Lavinia</v>
      </c>
      <c r="G574" s="48"/>
      <c r="H574" s="48">
        <f>+H568-H569-H570-H571-H573+H572</f>
        <v>-2</v>
      </c>
      <c r="I574" s="48">
        <f>+I568-I569-I570-I571-I573+I572</f>
        <v>-4</v>
      </c>
      <c r="J574" s="48">
        <f>+J568-J569-J570-J571-J573-J572</f>
        <v>-4</v>
      </c>
      <c r="K574" s="48">
        <f>+K568-K569-K570-K571-K573-K572</f>
        <v>-3</v>
      </c>
      <c r="L574" s="48">
        <f>+L568-L569-L570-L571-L573-L572</f>
        <v>-2</v>
      </c>
      <c r="M574" s="48">
        <f>+M568-M569-M570-M571-M573-M572</f>
        <v>-1</v>
      </c>
      <c r="N574" s="48"/>
      <c r="O574" s="48">
        <f t="shared" si="257"/>
        <v>-16</v>
      </c>
      <c r="Q574" s="266"/>
      <c r="R574" s="266"/>
      <c r="S574" s="252">
        <f t="shared" ref="S574:X574" si="259">SUM(S570:S573)</f>
        <v>58.8</v>
      </c>
      <c r="T574" s="252">
        <f t="shared" si="259"/>
        <v>102.9</v>
      </c>
      <c r="U574" s="252">
        <f t="shared" si="259"/>
        <v>117.6</v>
      </c>
      <c r="V574" s="252">
        <f t="shared" si="259"/>
        <v>117.6</v>
      </c>
      <c r="W574" s="252">
        <f t="shared" si="259"/>
        <v>73.5</v>
      </c>
      <c r="X574" s="252">
        <f t="shared" si="259"/>
        <v>44.1</v>
      </c>
      <c r="Y574" s="252"/>
      <c r="Z574" s="252">
        <f t="shared" si="258"/>
        <v>514.5</v>
      </c>
    </row>
    <row r="575" spans="1:26" ht="15" thickTop="1" thickBot="1">
      <c r="A575" s="369" t="s">
        <v>7</v>
      </c>
      <c r="B575" s="43" t="s">
        <v>8</v>
      </c>
      <c r="C575" s="43"/>
      <c r="D575" s="43"/>
      <c r="E575" s="44" t="s">
        <v>9</v>
      </c>
      <c r="F575" s="45"/>
      <c r="G575" s="45"/>
      <c r="H575" s="44"/>
      <c r="I575" s="44"/>
      <c r="J575" s="44"/>
      <c r="K575" s="44"/>
      <c r="L575" s="44"/>
      <c r="M575" s="44"/>
      <c r="N575" s="44"/>
      <c r="O575" s="44"/>
      <c r="Z575" s="375"/>
    </row>
    <row r="576" spans="1:26" ht="15" thickTop="1" thickBot="1">
      <c r="A576" s="370" t="s">
        <v>171</v>
      </c>
      <c r="B576" s="38" t="s">
        <v>161</v>
      </c>
      <c r="C576" s="9" t="s">
        <v>12</v>
      </c>
      <c r="D576" s="9" t="s">
        <v>13</v>
      </c>
      <c r="E576" s="10"/>
      <c r="F576" s="256" t="s">
        <v>14</v>
      </c>
      <c r="G576" s="257">
        <v>34</v>
      </c>
      <c r="H576" s="257">
        <v>36</v>
      </c>
      <c r="I576" s="257">
        <v>38</v>
      </c>
      <c r="J576" s="257">
        <v>40</v>
      </c>
      <c r="K576" s="257">
        <v>42</v>
      </c>
      <c r="L576" s="257">
        <v>44</v>
      </c>
      <c r="M576" s="257">
        <v>46</v>
      </c>
      <c r="N576" s="257"/>
      <c r="O576" s="258" t="s">
        <v>15</v>
      </c>
      <c r="Q576" s="259" t="s">
        <v>14</v>
      </c>
      <c r="R576" s="259"/>
      <c r="S576" s="259">
        <v>36</v>
      </c>
      <c r="T576" s="259">
        <v>38</v>
      </c>
      <c r="U576" s="259">
        <v>40</v>
      </c>
      <c r="V576" s="259">
        <v>42</v>
      </c>
      <c r="W576" s="259">
        <v>44</v>
      </c>
      <c r="X576" s="259">
        <v>46</v>
      </c>
      <c r="Y576" s="259"/>
      <c r="Z576" s="375"/>
    </row>
    <row r="577" spans="1:44" ht="15" thickTop="1" thickBot="1">
      <c r="A577" s="371" t="str">
        <f t="shared" ref="A577:A583" si="260">+A576</f>
        <v>4233-48</v>
      </c>
      <c r="B577" s="39" t="s">
        <v>16</v>
      </c>
      <c r="C577" s="39"/>
      <c r="D577" s="39" t="str">
        <f>+B576</f>
        <v>Lavinia</v>
      </c>
      <c r="E577" s="40"/>
      <c r="F577" s="261" t="s">
        <v>1</v>
      </c>
      <c r="G577" s="261"/>
      <c r="H577" s="262">
        <f>'BASE DATOS'!C67</f>
        <v>8</v>
      </c>
      <c r="I577" s="262">
        <f>'BASE DATOS'!D67</f>
        <v>14</v>
      </c>
      <c r="J577" s="262">
        <f>'BASE DATOS'!E67</f>
        <v>14</v>
      </c>
      <c r="K577" s="262">
        <f>'BASE DATOS'!F67</f>
        <v>14</v>
      </c>
      <c r="L577" s="262">
        <f>'BASE DATOS'!G67</f>
        <v>10</v>
      </c>
      <c r="M577" s="262">
        <f>'BASE DATOS'!H67</f>
        <v>8</v>
      </c>
      <c r="N577" s="262"/>
      <c r="O577" s="263">
        <f t="shared" ref="O577:O583" si="261">SUM(H577:N577)</f>
        <v>68</v>
      </c>
      <c r="Q577" s="264"/>
      <c r="R577" s="264"/>
      <c r="S577" s="264"/>
      <c r="T577" s="264"/>
      <c r="U577" s="264"/>
      <c r="V577" s="264"/>
      <c r="W577" s="264"/>
      <c r="X577" s="264"/>
      <c r="Y577" s="264"/>
      <c r="Z577" s="375"/>
    </row>
    <row r="578" spans="1:44" ht="15" thickTop="1" thickBot="1">
      <c r="A578" s="371" t="str">
        <f t="shared" si="260"/>
        <v>4233-48</v>
      </c>
      <c r="B578" s="3">
        <v>46083</v>
      </c>
      <c r="C578" s="4" t="s">
        <v>17</v>
      </c>
      <c r="D578" s="4" t="s">
        <v>18</v>
      </c>
      <c r="E578" s="5" t="s">
        <v>3</v>
      </c>
      <c r="F578" s="265">
        <v>11564</v>
      </c>
      <c r="G578" s="2"/>
      <c r="H578" s="7">
        <v>10</v>
      </c>
      <c r="I578" s="7">
        <v>18</v>
      </c>
      <c r="J578" s="7">
        <v>18</v>
      </c>
      <c r="K578" s="7">
        <v>17</v>
      </c>
      <c r="L578" s="7">
        <v>13</v>
      </c>
      <c r="M578" s="7">
        <v>9</v>
      </c>
      <c r="N578" s="8"/>
      <c r="O578" s="14">
        <f t="shared" si="261"/>
        <v>85</v>
      </c>
      <c r="Q578" s="252" t="s">
        <v>19</v>
      </c>
      <c r="R578" s="266"/>
      <c r="S578" s="266"/>
      <c r="T578" s="266"/>
      <c r="U578" s="266"/>
      <c r="V578" s="266"/>
      <c r="W578" s="266"/>
      <c r="X578" s="266"/>
      <c r="Y578" s="267"/>
      <c r="Z578" s="375"/>
    </row>
    <row r="579" spans="1:44" ht="15" thickTop="1" thickBot="1">
      <c r="A579" s="371" t="str">
        <f t="shared" si="260"/>
        <v>4233-48</v>
      </c>
      <c r="B579" s="3"/>
      <c r="C579" s="3"/>
      <c r="D579" s="52" t="s">
        <v>172</v>
      </c>
      <c r="E579" s="5" t="s">
        <v>3</v>
      </c>
      <c r="F579" s="269"/>
      <c r="G579" s="6"/>
      <c r="H579" s="7"/>
      <c r="I579" s="7"/>
      <c r="J579" s="7"/>
      <c r="K579" s="7"/>
      <c r="L579" s="7"/>
      <c r="M579" s="7"/>
      <c r="N579" s="15"/>
      <c r="O579" s="14">
        <f t="shared" si="261"/>
        <v>0</v>
      </c>
      <c r="Q579" s="252" t="s">
        <v>4</v>
      </c>
      <c r="R579" s="266">
        <f>78/19</f>
        <v>4.1052631578947372</v>
      </c>
      <c r="S579" s="266"/>
      <c r="T579" s="266"/>
      <c r="U579" s="266"/>
      <c r="V579" s="266"/>
      <c r="W579" s="266"/>
      <c r="X579" s="266"/>
      <c r="Y579" s="266"/>
      <c r="Z579" s="375"/>
    </row>
    <row r="580" spans="1:44" ht="15" thickTop="1" thickBot="1">
      <c r="A580" s="371" t="str">
        <f t="shared" si="260"/>
        <v>4233-48</v>
      </c>
      <c r="B580" s="3"/>
      <c r="C580" s="3"/>
      <c r="D580" s="3"/>
      <c r="E580" s="5" t="s">
        <v>3</v>
      </c>
      <c r="F580" s="269"/>
      <c r="G580" s="6"/>
      <c r="H580" s="15"/>
      <c r="I580" s="15"/>
      <c r="J580" s="15"/>
      <c r="K580" s="15"/>
      <c r="L580" s="15"/>
      <c r="M580" s="15"/>
      <c r="N580" s="15"/>
      <c r="O580" s="16">
        <f t="shared" si="261"/>
        <v>0</v>
      </c>
      <c r="Q580" s="252" t="s">
        <v>6</v>
      </c>
      <c r="R580" s="266">
        <f>25/11</f>
        <v>2.2727272727272729</v>
      </c>
      <c r="S580" s="266"/>
      <c r="T580" s="266"/>
      <c r="U580" s="266"/>
      <c r="V580" s="266"/>
      <c r="W580" s="266"/>
      <c r="X580" s="266"/>
      <c r="Y580" s="266"/>
      <c r="Z580" s="375"/>
    </row>
    <row r="581" spans="1:44" ht="15" thickTop="1" thickBot="1">
      <c r="A581" s="371" t="str">
        <f t="shared" si="260"/>
        <v>4233-48</v>
      </c>
      <c r="B581" s="3"/>
      <c r="C581" s="3"/>
      <c r="D581" s="3"/>
      <c r="E581" s="5" t="s">
        <v>3</v>
      </c>
      <c r="F581" s="269"/>
      <c r="G581" s="6"/>
      <c r="H581" s="8"/>
      <c r="I581" s="8"/>
      <c r="J581" s="8"/>
      <c r="K581" s="8"/>
      <c r="L581" s="8"/>
      <c r="M581" s="8"/>
      <c r="N581" s="15"/>
      <c r="O581" s="16">
        <f t="shared" si="261"/>
        <v>0</v>
      </c>
      <c r="Q581" s="266"/>
      <c r="R581" s="266"/>
      <c r="S581" s="266"/>
      <c r="T581" s="266"/>
      <c r="U581" s="266"/>
      <c r="V581" s="266"/>
      <c r="W581" s="266"/>
      <c r="X581" s="266"/>
      <c r="Y581" s="266"/>
      <c r="Z581" s="375"/>
    </row>
    <row r="582" spans="1:44" ht="15" thickTop="1" thickBot="1">
      <c r="A582" s="372" t="str">
        <f t="shared" si="260"/>
        <v>4233-48</v>
      </c>
      <c r="B582" s="19"/>
      <c r="C582" s="19"/>
      <c r="D582" s="19"/>
      <c r="E582" s="20" t="s">
        <v>3</v>
      </c>
      <c r="F582" s="271"/>
      <c r="G582" s="21"/>
      <c r="H582" s="22"/>
      <c r="I582" s="22"/>
      <c r="J582" s="22"/>
      <c r="K582" s="22"/>
      <c r="L582" s="22"/>
      <c r="M582" s="22"/>
      <c r="N582" s="22"/>
      <c r="O582" s="23">
        <f t="shared" si="261"/>
        <v>0</v>
      </c>
      <c r="Q582" s="252" t="s">
        <v>2</v>
      </c>
      <c r="R582" s="272">
        <f>500/10.2</f>
        <v>49.019607843137258</v>
      </c>
      <c r="S582" s="252">
        <f>49*1.2</f>
        <v>58.8</v>
      </c>
      <c r="T582" s="252">
        <f>49*2.1</f>
        <v>102.9</v>
      </c>
      <c r="U582" s="252">
        <f>49*2.4</f>
        <v>117.6</v>
      </c>
      <c r="V582" s="252">
        <f>49*2.4</f>
        <v>117.6</v>
      </c>
      <c r="W582" s="252">
        <f>49*1.5</f>
        <v>73.5</v>
      </c>
      <c r="X582" s="252">
        <f>49*0.9</f>
        <v>44.1</v>
      </c>
      <c r="Y582" s="266"/>
      <c r="Z582" s="375"/>
      <c r="AL582" s="234">
        <v>1200</v>
      </c>
      <c r="AP582" s="234">
        <v>300</v>
      </c>
    </row>
    <row r="583" spans="1:44" ht="15" thickTop="1" thickBot="1">
      <c r="A583" s="373" t="str">
        <f t="shared" si="260"/>
        <v>4233-48</v>
      </c>
      <c r="B583" s="47"/>
      <c r="C583" s="47"/>
      <c r="D583" s="47"/>
      <c r="E583" s="48" t="s">
        <v>23</v>
      </c>
      <c r="F583" s="49" t="str">
        <f>+B576</f>
        <v>Lavinia</v>
      </c>
      <c r="G583" s="48"/>
      <c r="H583" s="48">
        <f>+H577-H578-H579-H580-H582+H581</f>
        <v>-2</v>
      </c>
      <c r="I583" s="48">
        <f>+I577-I578-I579-I580-I582+I581</f>
        <v>-4</v>
      </c>
      <c r="J583" s="48">
        <f>+J577-J578-J579-J580-J582-J581</f>
        <v>-4</v>
      </c>
      <c r="K583" s="48">
        <f>+K577-K578-K579-K580-K582-K581</f>
        <v>-3</v>
      </c>
      <c r="L583" s="48">
        <f>+L577-L578-L579-L580-L582-L581</f>
        <v>-3</v>
      </c>
      <c r="M583" s="48">
        <f>+M577-M578-M579-M580-M582-M581</f>
        <v>-1</v>
      </c>
      <c r="N583" s="48"/>
      <c r="O583" s="48">
        <f t="shared" si="261"/>
        <v>-17</v>
      </c>
      <c r="Q583" s="266"/>
      <c r="R583" s="266"/>
      <c r="S583" s="252">
        <f t="shared" ref="S583:X583" si="262">SUM(S579:S582)</f>
        <v>58.8</v>
      </c>
      <c r="T583" s="252">
        <f t="shared" si="262"/>
        <v>102.9</v>
      </c>
      <c r="U583" s="252">
        <f t="shared" si="262"/>
        <v>117.6</v>
      </c>
      <c r="V583" s="252">
        <f t="shared" si="262"/>
        <v>117.6</v>
      </c>
      <c r="W583" s="252">
        <f t="shared" si="262"/>
        <v>73.5</v>
      </c>
      <c r="X583" s="252">
        <f t="shared" si="262"/>
        <v>44.1</v>
      </c>
      <c r="Y583" s="252"/>
      <c r="Z583" s="375"/>
      <c r="AE583" s="250">
        <f t="shared" ref="AE583:AK583" si="263">+H595+H604+H613+H622+H631</f>
        <v>111</v>
      </c>
      <c r="AF583" s="250">
        <f t="shared" si="263"/>
        <v>201</v>
      </c>
      <c r="AG583" s="250">
        <f t="shared" si="263"/>
        <v>213</v>
      </c>
      <c r="AH583" s="250">
        <f t="shared" si="263"/>
        <v>201</v>
      </c>
      <c r="AI583" s="250">
        <f t="shared" si="263"/>
        <v>124</v>
      </c>
      <c r="AJ583" s="250">
        <f t="shared" si="263"/>
        <v>71</v>
      </c>
      <c r="AK583" s="250">
        <f t="shared" si="263"/>
        <v>0</v>
      </c>
      <c r="AL583" s="250">
        <f>SUM(AE583:AK583)</f>
        <v>921</v>
      </c>
      <c r="AM583" s="234">
        <v>279</v>
      </c>
      <c r="AN583" s="234">
        <f>+AM583/AL583</f>
        <v>0.30293159609120524</v>
      </c>
      <c r="AP583" s="234">
        <f>+AP582*31%</f>
        <v>93</v>
      </c>
      <c r="AR583" s="234">
        <f>+AP583+AM583</f>
        <v>372</v>
      </c>
    </row>
    <row r="584" spans="1:44" ht="15" thickTop="1" thickBot="1">
      <c r="A584" s="376" t="s">
        <v>7</v>
      </c>
      <c r="B584" s="43" t="s">
        <v>8</v>
      </c>
      <c r="C584" s="43"/>
      <c r="D584" s="43"/>
      <c r="E584" s="44" t="s">
        <v>9</v>
      </c>
      <c r="F584" s="45"/>
      <c r="G584" s="45"/>
      <c r="H584" s="44"/>
      <c r="I584" s="44"/>
      <c r="J584" s="44"/>
      <c r="K584" s="44"/>
      <c r="L584" s="44"/>
      <c r="M584" s="44"/>
      <c r="N584" s="44"/>
      <c r="O584" s="44"/>
      <c r="AM584" s="234">
        <v>329</v>
      </c>
      <c r="AN584" s="234">
        <f>+AM584/AL583</f>
        <v>0.35722041259500542</v>
      </c>
      <c r="AP584" s="234">
        <f>+AP582*36.4%</f>
        <v>109.2</v>
      </c>
      <c r="AR584" s="234">
        <f t="shared" ref="AR584:AR587" si="264">+AP584+AM584</f>
        <v>438.2</v>
      </c>
    </row>
    <row r="585" spans="1:44" ht="15" thickTop="1" thickBot="1">
      <c r="A585" s="377" t="s">
        <v>173</v>
      </c>
      <c r="B585" s="38" t="s">
        <v>161</v>
      </c>
      <c r="C585" s="9" t="s">
        <v>12</v>
      </c>
      <c r="D585" s="9" t="s">
        <v>13</v>
      </c>
      <c r="E585" s="10"/>
      <c r="F585" s="256" t="s">
        <v>14</v>
      </c>
      <c r="G585" s="257">
        <v>34</v>
      </c>
      <c r="H585" s="257">
        <v>36</v>
      </c>
      <c r="I585" s="257">
        <v>38</v>
      </c>
      <c r="J585" s="257">
        <v>40</v>
      </c>
      <c r="K585" s="257">
        <v>42</v>
      </c>
      <c r="L585" s="257">
        <v>44</v>
      </c>
      <c r="M585" s="257">
        <v>46</v>
      </c>
      <c r="N585" s="257"/>
      <c r="O585" s="258" t="s">
        <v>15</v>
      </c>
      <c r="Q585" s="259" t="s">
        <v>14</v>
      </c>
      <c r="R585" s="259"/>
      <c r="S585" s="259">
        <v>36</v>
      </c>
      <c r="T585" s="259">
        <v>38</v>
      </c>
      <c r="U585" s="259">
        <v>40</v>
      </c>
      <c r="V585" s="259">
        <v>42</v>
      </c>
      <c r="W585" s="259">
        <v>44</v>
      </c>
      <c r="X585" s="259">
        <v>46</v>
      </c>
      <c r="Y585" s="259"/>
      <c r="Z585" s="259" t="s">
        <v>15</v>
      </c>
      <c r="AC585" s="275" t="s">
        <v>3</v>
      </c>
      <c r="AD585" s="276">
        <v>46076</v>
      </c>
      <c r="AE585" s="275">
        <v>36</v>
      </c>
      <c r="AF585" s="275">
        <v>38</v>
      </c>
      <c r="AG585" s="275">
        <v>40</v>
      </c>
      <c r="AH585" s="275">
        <v>42</v>
      </c>
      <c r="AI585" s="277">
        <v>44</v>
      </c>
      <c r="AJ585" s="277">
        <v>46</v>
      </c>
      <c r="AK585" s="277" t="s">
        <v>28</v>
      </c>
      <c r="AM585" s="234">
        <v>51</v>
      </c>
      <c r="AN585" s="234">
        <f>+AM585/AL583</f>
        <v>5.5374592833876218E-2</v>
      </c>
      <c r="AP585" s="234">
        <f>+AP582*5.6%</f>
        <v>16.799999999999997</v>
      </c>
      <c r="AR585" s="234">
        <f t="shared" si="264"/>
        <v>67.8</v>
      </c>
    </row>
    <row r="586" spans="1:44" ht="15" thickTop="1" thickBot="1">
      <c r="A586" s="378" t="str">
        <f t="shared" ref="A586:A592" si="265">+A585</f>
        <v>4234-00</v>
      </c>
      <c r="B586" s="39" t="s">
        <v>16</v>
      </c>
      <c r="C586" s="39"/>
      <c r="D586" s="39" t="str">
        <f>+B585</f>
        <v>Lavinia</v>
      </c>
      <c r="E586" s="40"/>
      <c r="F586" s="261" t="s">
        <v>1</v>
      </c>
      <c r="G586" s="261"/>
      <c r="H586" s="262">
        <f>'BASE DATOS'!C68</f>
        <v>3</v>
      </c>
      <c r="I586" s="262">
        <f>'BASE DATOS'!D68</f>
        <v>4</v>
      </c>
      <c r="J586" s="262">
        <f>'BASE DATOS'!E68</f>
        <v>2</v>
      </c>
      <c r="K586" s="262">
        <f>'BASE DATOS'!F68</f>
        <v>2</v>
      </c>
      <c r="L586" s="262">
        <f>'BASE DATOS'!G68</f>
        <v>1</v>
      </c>
      <c r="M586" s="262">
        <f>'BASE DATOS'!H68</f>
        <v>0</v>
      </c>
      <c r="N586" s="262"/>
      <c r="O586" s="263">
        <f t="shared" ref="O586:O592" si="266">SUM(H586:N586)</f>
        <v>12</v>
      </c>
      <c r="Q586" s="264"/>
      <c r="R586" s="264"/>
      <c r="S586" s="264"/>
      <c r="T586" s="264"/>
      <c r="U586" s="264"/>
      <c r="V586" s="264"/>
      <c r="W586" s="264"/>
      <c r="X586" s="264"/>
      <c r="Y586" s="264"/>
      <c r="Z586" s="264">
        <f>SUBTOTAL(9,S586:Y586)</f>
        <v>0</v>
      </c>
      <c r="AC586" s="279" t="s">
        <v>29</v>
      </c>
      <c r="AD586" s="275">
        <v>11563</v>
      </c>
      <c r="AE586" s="279">
        <f t="shared" ref="AE586:AJ586" si="267">+H596+H605+H614+H623+H632</f>
        <v>154</v>
      </c>
      <c r="AF586" s="279">
        <f t="shared" si="267"/>
        <v>259</v>
      </c>
      <c r="AG586" s="279">
        <f t="shared" si="267"/>
        <v>280</v>
      </c>
      <c r="AH586" s="279">
        <f t="shared" si="267"/>
        <v>250</v>
      </c>
      <c r="AI586" s="279">
        <f t="shared" si="267"/>
        <v>166</v>
      </c>
      <c r="AJ586" s="279">
        <f t="shared" si="267"/>
        <v>75</v>
      </c>
      <c r="AK586" s="275">
        <f>SUM(AE586:AJ586)</f>
        <v>1184</v>
      </c>
      <c r="AM586" s="234">
        <v>142</v>
      </c>
      <c r="AN586" s="234">
        <f>+AM586/AL583</f>
        <v>0.15418023887079263</v>
      </c>
      <c r="AP586" s="234">
        <f>+AP582*15.7%</f>
        <v>47.1</v>
      </c>
      <c r="AR586" s="234">
        <f t="shared" si="264"/>
        <v>189.1</v>
      </c>
    </row>
    <row r="587" spans="1:44" ht="15" thickTop="1" thickBot="1">
      <c r="A587" s="378" t="str">
        <f t="shared" si="265"/>
        <v>4234-00</v>
      </c>
      <c r="B587" s="3"/>
      <c r="C587" s="4" t="s">
        <v>17</v>
      </c>
      <c r="D587" s="4" t="s">
        <v>42</v>
      </c>
      <c r="E587" s="5" t="s">
        <v>3</v>
      </c>
      <c r="F587" s="265"/>
      <c r="G587" s="2"/>
      <c r="H587" s="7"/>
      <c r="I587" s="7"/>
      <c r="J587" s="7"/>
      <c r="K587" s="7"/>
      <c r="L587" s="7"/>
      <c r="M587" s="7"/>
      <c r="N587" s="8"/>
      <c r="O587" s="14">
        <f t="shared" si="266"/>
        <v>0</v>
      </c>
      <c r="Q587" s="252" t="s">
        <v>19</v>
      </c>
      <c r="R587" s="266"/>
      <c r="S587" s="266"/>
      <c r="T587" s="266"/>
      <c r="U587" s="266"/>
      <c r="V587" s="266"/>
      <c r="W587" s="266"/>
      <c r="X587" s="266"/>
      <c r="Y587" s="267"/>
      <c r="Z587" s="268">
        <f t="shared" ref="Z587:Z592" si="268">SUM(S587:Y587)</f>
        <v>0</v>
      </c>
      <c r="AC587" s="281" t="s">
        <v>30</v>
      </c>
      <c r="AD587" s="282">
        <v>4234</v>
      </c>
      <c r="AM587" s="234">
        <v>101</v>
      </c>
      <c r="AN587" s="234">
        <f>+AM587/AL583</f>
        <v>0.10966340933767643</v>
      </c>
      <c r="AP587" s="234">
        <f>300*11%</f>
        <v>33</v>
      </c>
      <c r="AR587" s="234">
        <f t="shared" si="264"/>
        <v>134</v>
      </c>
    </row>
    <row r="588" spans="1:44" ht="15" thickTop="1" thickBot="1">
      <c r="A588" s="378" t="str">
        <f t="shared" si="265"/>
        <v>4234-00</v>
      </c>
      <c r="B588" s="3"/>
      <c r="C588" s="3"/>
      <c r="D588" s="52" t="s">
        <v>162</v>
      </c>
      <c r="E588" s="5" t="s">
        <v>3</v>
      </c>
      <c r="F588" s="269"/>
      <c r="G588" s="6"/>
      <c r="H588" s="7"/>
      <c r="I588" s="7"/>
      <c r="J588" s="7"/>
      <c r="K588" s="7"/>
      <c r="L588" s="7"/>
      <c r="M588" s="7"/>
      <c r="N588" s="15"/>
      <c r="O588" s="14">
        <f t="shared" si="266"/>
        <v>0</v>
      </c>
      <c r="Q588" s="252" t="s">
        <v>4</v>
      </c>
      <c r="R588" s="266">
        <f>78/19</f>
        <v>4.1052631578947372</v>
      </c>
      <c r="S588" s="266"/>
      <c r="T588" s="266"/>
      <c r="U588" s="266"/>
      <c r="V588" s="266"/>
      <c r="W588" s="266"/>
      <c r="X588" s="266"/>
      <c r="Y588" s="266"/>
      <c r="Z588" s="266">
        <f t="shared" si="268"/>
        <v>0</v>
      </c>
      <c r="AC588" s="279" t="s">
        <v>32</v>
      </c>
      <c r="AD588" s="275" t="s">
        <v>161</v>
      </c>
    </row>
    <row r="589" spans="1:44" ht="15" thickTop="1" thickBot="1">
      <c r="A589" s="378" t="str">
        <f t="shared" si="265"/>
        <v>4234-00</v>
      </c>
      <c r="B589" s="3"/>
      <c r="C589" s="3"/>
      <c r="D589" s="3"/>
      <c r="E589" s="5" t="s">
        <v>3</v>
      </c>
      <c r="F589" s="269"/>
      <c r="G589" s="6"/>
      <c r="H589" s="15"/>
      <c r="I589" s="15"/>
      <c r="J589" s="15"/>
      <c r="K589" s="15"/>
      <c r="L589" s="15"/>
      <c r="M589" s="15"/>
      <c r="N589" s="15"/>
      <c r="O589" s="16">
        <f t="shared" si="266"/>
        <v>0</v>
      </c>
      <c r="Q589" s="252" t="s">
        <v>6</v>
      </c>
      <c r="R589" s="266">
        <f>25/11</f>
        <v>2.2727272727272729</v>
      </c>
      <c r="S589" s="266"/>
      <c r="T589" s="266"/>
      <c r="U589" s="266"/>
      <c r="V589" s="266"/>
      <c r="W589" s="266"/>
      <c r="X589" s="266"/>
      <c r="Y589" s="266"/>
      <c r="Z589" s="266">
        <f t="shared" si="268"/>
        <v>0</v>
      </c>
      <c r="AC589" s="279" t="s">
        <v>12</v>
      </c>
      <c r="AD589" s="275" t="s">
        <v>13</v>
      </c>
    </row>
    <row r="590" spans="1:44" ht="15" thickTop="1" thickBot="1">
      <c r="A590" s="378" t="str">
        <f t="shared" si="265"/>
        <v>4234-00</v>
      </c>
      <c r="B590" s="3"/>
      <c r="C590" s="3"/>
      <c r="D590" s="3"/>
      <c r="E590" s="5" t="s">
        <v>3</v>
      </c>
      <c r="F590" s="269"/>
      <c r="G590" s="6"/>
      <c r="H590" s="8"/>
      <c r="I590" s="8"/>
      <c r="J590" s="8"/>
      <c r="K590" s="8"/>
      <c r="L590" s="8"/>
      <c r="M590" s="8"/>
      <c r="N590" s="15"/>
      <c r="O590" s="16">
        <f t="shared" si="266"/>
        <v>0</v>
      </c>
      <c r="Q590" s="266"/>
      <c r="R590" s="266"/>
      <c r="S590" s="266"/>
      <c r="T590" s="266"/>
      <c r="U590" s="266"/>
      <c r="V590" s="266"/>
      <c r="W590" s="266"/>
      <c r="X590" s="266"/>
      <c r="Y590" s="266"/>
      <c r="Z590" s="266">
        <f t="shared" si="268"/>
        <v>0</v>
      </c>
      <c r="AC590" s="279" t="s">
        <v>17</v>
      </c>
      <c r="AD590" s="275" t="s">
        <v>42</v>
      </c>
    </row>
    <row r="591" spans="1:44" ht="15" thickTop="1" thickBot="1">
      <c r="A591" s="379" t="str">
        <f t="shared" si="265"/>
        <v>4234-00</v>
      </c>
      <c r="B591" s="19"/>
      <c r="C591" s="19"/>
      <c r="D591" s="19"/>
      <c r="E591" s="20" t="s">
        <v>3</v>
      </c>
      <c r="F591" s="271"/>
      <c r="G591" s="21"/>
      <c r="H591" s="22"/>
      <c r="I591" s="22"/>
      <c r="J591" s="22"/>
      <c r="K591" s="22"/>
      <c r="L591" s="22"/>
      <c r="M591" s="22"/>
      <c r="N591" s="22"/>
      <c r="O591" s="23">
        <f t="shared" si="266"/>
        <v>0</v>
      </c>
      <c r="Q591" s="252" t="s">
        <v>2</v>
      </c>
      <c r="R591" s="272">
        <f>500/10.2</f>
        <v>49.019607843137258</v>
      </c>
      <c r="S591" s="252">
        <f>49*1.2</f>
        <v>58.8</v>
      </c>
      <c r="T591" s="252">
        <f>49*2.1</f>
        <v>102.9</v>
      </c>
      <c r="U591" s="252">
        <f>49*2.4</f>
        <v>117.6</v>
      </c>
      <c r="V591" s="252">
        <f>49*2.4</f>
        <v>117.6</v>
      </c>
      <c r="W591" s="252">
        <f>49*1.5</f>
        <v>73.5</v>
      </c>
      <c r="X591" s="252">
        <f>49*0.9</f>
        <v>44.1</v>
      </c>
      <c r="Y591" s="266"/>
      <c r="Z591" s="266">
        <f t="shared" si="268"/>
        <v>514.5</v>
      </c>
    </row>
    <row r="592" spans="1:44" ht="15" thickTop="1" thickBot="1">
      <c r="A592" s="380" t="str">
        <f t="shared" si="265"/>
        <v>4234-00</v>
      </c>
      <c r="B592" s="47"/>
      <c r="C592" s="47"/>
      <c r="D592" s="47"/>
      <c r="E592" s="48" t="s">
        <v>23</v>
      </c>
      <c r="F592" s="49" t="str">
        <f>+B585</f>
        <v>Lavinia</v>
      </c>
      <c r="G592" s="48"/>
      <c r="H592" s="48">
        <f>+H586-H587-H588-H589-H591+H590</f>
        <v>3</v>
      </c>
      <c r="I592" s="48">
        <f>+I586-I587-I588-I589-I591+I590</f>
        <v>4</v>
      </c>
      <c r="J592" s="48">
        <f>+J586-J587-J588-J589-J591-J590</f>
        <v>2</v>
      </c>
      <c r="K592" s="48">
        <f>+K586-K587-K588-K589-K591-K590</f>
        <v>2</v>
      </c>
      <c r="L592" s="48">
        <f>+L586-L587-L588-L589-L591-L590</f>
        <v>1</v>
      </c>
      <c r="M592" s="48">
        <f>+M586-M587-M588-M589-M591-M590</f>
        <v>0</v>
      </c>
      <c r="N592" s="48"/>
      <c r="O592" s="48">
        <f t="shared" si="266"/>
        <v>12</v>
      </c>
      <c r="Q592" s="266"/>
      <c r="R592" s="266"/>
      <c r="S592" s="252">
        <f t="shared" ref="S592:X592" si="269">SUM(S588:S591)</f>
        <v>58.8</v>
      </c>
      <c r="T592" s="252">
        <f t="shared" si="269"/>
        <v>102.9</v>
      </c>
      <c r="U592" s="252">
        <f t="shared" si="269"/>
        <v>117.6</v>
      </c>
      <c r="V592" s="252">
        <f t="shared" si="269"/>
        <v>117.6</v>
      </c>
      <c r="W592" s="252">
        <f t="shared" si="269"/>
        <v>73.5</v>
      </c>
      <c r="X592" s="252">
        <f t="shared" si="269"/>
        <v>44.1</v>
      </c>
      <c r="Y592" s="252"/>
      <c r="Z592" s="252">
        <f t="shared" si="268"/>
        <v>514.5</v>
      </c>
    </row>
    <row r="593" spans="1:40" ht="15" thickTop="1" thickBot="1">
      <c r="A593" s="376" t="s">
        <v>7</v>
      </c>
      <c r="B593" s="43" t="s">
        <v>8</v>
      </c>
      <c r="C593" s="43"/>
      <c r="D593" s="43"/>
      <c r="E593" s="44" t="s">
        <v>9</v>
      </c>
      <c r="F593" s="45"/>
      <c r="G593" s="45"/>
      <c r="H593" s="44"/>
      <c r="I593" s="44"/>
      <c r="J593" s="44"/>
      <c r="K593" s="44"/>
      <c r="L593" s="44"/>
      <c r="M593" s="44"/>
      <c r="N593" s="44"/>
      <c r="O593" s="44"/>
    </row>
    <row r="594" spans="1:40" ht="15" thickTop="1" thickBot="1">
      <c r="A594" s="377" t="s">
        <v>174</v>
      </c>
      <c r="B594" s="38" t="s">
        <v>161</v>
      </c>
      <c r="C594" s="9" t="s">
        <v>12</v>
      </c>
      <c r="D594" s="9" t="s">
        <v>13</v>
      </c>
      <c r="E594" s="10"/>
      <c r="F594" s="256" t="s">
        <v>14</v>
      </c>
      <c r="G594" s="257">
        <v>34</v>
      </c>
      <c r="H594" s="257">
        <v>36</v>
      </c>
      <c r="I594" s="257">
        <v>38</v>
      </c>
      <c r="J594" s="257">
        <v>40</v>
      </c>
      <c r="K594" s="257">
        <v>42</v>
      </c>
      <c r="L594" s="257">
        <v>44</v>
      </c>
      <c r="M594" s="257">
        <v>46</v>
      </c>
      <c r="N594" s="257"/>
      <c r="O594" s="258" t="s">
        <v>15</v>
      </c>
      <c r="Q594" s="259" t="s">
        <v>14</v>
      </c>
      <c r="R594" s="259"/>
      <c r="S594" s="259">
        <v>36</v>
      </c>
      <c r="T594" s="259">
        <v>38</v>
      </c>
      <c r="U594" s="259">
        <v>40</v>
      </c>
      <c r="V594" s="259">
        <v>42</v>
      </c>
      <c r="W594" s="259">
        <v>44</v>
      </c>
      <c r="X594" s="259">
        <v>46</v>
      </c>
      <c r="Y594" s="259"/>
      <c r="Z594" s="259" t="s">
        <v>15</v>
      </c>
    </row>
    <row r="595" spans="1:40" ht="15" thickTop="1" thickBot="1">
      <c r="A595" s="378" t="str">
        <f t="shared" ref="A595:A601" si="270">+A594</f>
        <v>4234-04</v>
      </c>
      <c r="B595" s="39" t="s">
        <v>16</v>
      </c>
      <c r="C595" s="39"/>
      <c r="D595" s="39" t="str">
        <f>+B594</f>
        <v>Lavinia</v>
      </c>
      <c r="E595" s="40"/>
      <c r="F595" s="261" t="s">
        <v>1</v>
      </c>
      <c r="G595" s="261"/>
      <c r="H595" s="262">
        <f>'BASE DATOS'!C69</f>
        <v>30</v>
      </c>
      <c r="I595" s="262">
        <f>'BASE DATOS'!D69</f>
        <v>64</v>
      </c>
      <c r="J595" s="262">
        <f>'BASE DATOS'!E69</f>
        <v>70</v>
      </c>
      <c r="K595" s="262">
        <f>'BASE DATOS'!F69</f>
        <v>68</v>
      </c>
      <c r="L595" s="262">
        <f>'BASE DATOS'!G69</f>
        <v>42</v>
      </c>
      <c r="M595" s="262">
        <f>'BASE DATOS'!H69</f>
        <v>31</v>
      </c>
      <c r="N595" s="262"/>
      <c r="O595" s="263">
        <f t="shared" ref="O595:O601" si="271">SUM(H595:N595)</f>
        <v>305</v>
      </c>
      <c r="Q595" s="264"/>
      <c r="R595" s="264"/>
      <c r="S595" s="264"/>
      <c r="T595" s="264"/>
      <c r="U595" s="264"/>
      <c r="V595" s="264"/>
      <c r="W595" s="264"/>
      <c r="X595" s="264"/>
      <c r="Y595" s="264"/>
      <c r="Z595" s="264">
        <f>SUBTOTAL(9,S595:Y595)</f>
        <v>0</v>
      </c>
      <c r="AE595" s="250">
        <f>+H586+H595+H604+H613+H622+H631</f>
        <v>114</v>
      </c>
      <c r="AF595" s="250">
        <f t="shared" ref="AF595:AK595" si="272">+I586+I595+I604+I613+I622+I631</f>
        <v>205</v>
      </c>
      <c r="AG595" s="250">
        <f t="shared" si="272"/>
        <v>215</v>
      </c>
      <c r="AH595" s="250">
        <f t="shared" si="272"/>
        <v>203</v>
      </c>
      <c r="AI595" s="250">
        <f t="shared" si="272"/>
        <v>125</v>
      </c>
      <c r="AJ595" s="250">
        <f t="shared" si="272"/>
        <v>71</v>
      </c>
      <c r="AK595" s="250">
        <f t="shared" si="272"/>
        <v>0</v>
      </c>
      <c r="AL595" s="250">
        <f>SUM(AE595:AK595)</f>
        <v>933</v>
      </c>
      <c r="AN595" s="234">
        <v>1200</v>
      </c>
    </row>
    <row r="596" spans="1:40" ht="15" thickTop="1" thickBot="1">
      <c r="A596" s="378" t="str">
        <f t="shared" si="270"/>
        <v>4234-04</v>
      </c>
      <c r="B596" s="3"/>
      <c r="C596" s="4" t="s">
        <v>17</v>
      </c>
      <c r="D596" s="4" t="s">
        <v>42</v>
      </c>
      <c r="E596" s="5" t="s">
        <v>3</v>
      </c>
      <c r="F596" s="265">
        <v>11563</v>
      </c>
      <c r="G596" s="2"/>
      <c r="H596" s="7">
        <v>39</v>
      </c>
      <c r="I596" s="7">
        <v>74</v>
      </c>
      <c r="J596" s="7">
        <v>88</v>
      </c>
      <c r="K596" s="7">
        <v>77</v>
      </c>
      <c r="L596" s="7">
        <v>51</v>
      </c>
      <c r="M596" s="7">
        <v>40</v>
      </c>
      <c r="N596" s="8"/>
      <c r="O596" s="14">
        <f t="shared" si="271"/>
        <v>369</v>
      </c>
      <c r="Q596" s="252" t="s">
        <v>19</v>
      </c>
      <c r="R596" s="266"/>
      <c r="S596" s="266"/>
      <c r="T596" s="266"/>
      <c r="U596" s="266"/>
      <c r="V596" s="266"/>
      <c r="W596" s="266"/>
      <c r="X596" s="266"/>
      <c r="Y596" s="267"/>
      <c r="Z596" s="268">
        <f t="shared" ref="Z596:Z601" si="273">SUM(S596:Y596)</f>
        <v>0</v>
      </c>
    </row>
    <row r="597" spans="1:40" ht="15" thickTop="1" thickBot="1">
      <c r="A597" s="378" t="str">
        <f t="shared" si="270"/>
        <v>4234-04</v>
      </c>
      <c r="B597" s="3"/>
      <c r="C597" s="3"/>
      <c r="D597" s="52" t="s">
        <v>164</v>
      </c>
      <c r="E597" s="5" t="s">
        <v>3</v>
      </c>
      <c r="F597" s="269"/>
      <c r="G597" s="6"/>
      <c r="H597" s="7"/>
      <c r="I597" s="7"/>
      <c r="J597" s="7"/>
      <c r="K597" s="7"/>
      <c r="L597" s="7"/>
      <c r="M597" s="7"/>
      <c r="N597" s="15"/>
      <c r="O597" s="14">
        <f t="shared" si="271"/>
        <v>0</v>
      </c>
      <c r="Q597" s="252" t="s">
        <v>4</v>
      </c>
      <c r="R597" s="266">
        <f>78/19</f>
        <v>4.1052631578947372</v>
      </c>
      <c r="S597" s="266"/>
      <c r="T597" s="266"/>
      <c r="U597" s="266"/>
      <c r="V597" s="266"/>
      <c r="W597" s="266"/>
      <c r="X597" s="266"/>
      <c r="Y597" s="266"/>
      <c r="Z597" s="266">
        <f t="shared" si="273"/>
        <v>0</v>
      </c>
    </row>
    <row r="598" spans="1:40" ht="15" thickTop="1" thickBot="1">
      <c r="A598" s="378" t="str">
        <f t="shared" si="270"/>
        <v>4234-04</v>
      </c>
      <c r="B598" s="3"/>
      <c r="C598" s="3"/>
      <c r="D598" s="3"/>
      <c r="E598" s="5" t="s">
        <v>3</v>
      </c>
      <c r="F598" s="269"/>
      <c r="G598" s="6"/>
      <c r="H598" s="15"/>
      <c r="I598" s="15"/>
      <c r="J598" s="15"/>
      <c r="K598" s="15"/>
      <c r="L598" s="15"/>
      <c r="M598" s="15"/>
      <c r="N598" s="15"/>
      <c r="O598" s="16">
        <f t="shared" si="271"/>
        <v>0</v>
      </c>
      <c r="Q598" s="252" t="s">
        <v>6</v>
      </c>
      <c r="R598" s="266">
        <f>25/11</f>
        <v>2.2727272727272729</v>
      </c>
      <c r="S598" s="266"/>
      <c r="T598" s="266"/>
      <c r="U598" s="266"/>
      <c r="V598" s="266"/>
      <c r="W598" s="266"/>
      <c r="X598" s="266"/>
      <c r="Y598" s="266"/>
      <c r="Z598" s="266">
        <f t="shared" si="273"/>
        <v>0</v>
      </c>
    </row>
    <row r="599" spans="1:40" ht="15" thickTop="1" thickBot="1">
      <c r="A599" s="378" t="str">
        <f t="shared" si="270"/>
        <v>4234-04</v>
      </c>
      <c r="B599" s="3"/>
      <c r="C599" s="3"/>
      <c r="D599" s="3"/>
      <c r="E599" s="5" t="s">
        <v>3</v>
      </c>
      <c r="F599" s="269"/>
      <c r="G599" s="6"/>
      <c r="H599" s="8"/>
      <c r="I599" s="8"/>
      <c r="J599" s="8"/>
      <c r="K599" s="8"/>
      <c r="L599" s="8"/>
      <c r="M599" s="8"/>
      <c r="N599" s="15"/>
      <c r="O599" s="16">
        <f t="shared" si="271"/>
        <v>0</v>
      </c>
      <c r="Q599" s="266"/>
      <c r="R599" s="266"/>
      <c r="S599" s="266"/>
      <c r="T599" s="266"/>
      <c r="U599" s="266"/>
      <c r="V599" s="266"/>
      <c r="W599" s="266"/>
      <c r="X599" s="266"/>
      <c r="Y599" s="266"/>
      <c r="Z599" s="266">
        <f t="shared" si="273"/>
        <v>0</v>
      </c>
    </row>
    <row r="600" spans="1:40" ht="15" thickTop="1" thickBot="1">
      <c r="A600" s="379" t="str">
        <f t="shared" si="270"/>
        <v>4234-04</v>
      </c>
      <c r="B600" s="19"/>
      <c r="C600" s="19"/>
      <c r="D600" s="19"/>
      <c r="E600" s="20" t="s">
        <v>3</v>
      </c>
      <c r="F600" s="271"/>
      <c r="G600" s="21"/>
      <c r="H600" s="22"/>
      <c r="I600" s="22"/>
      <c r="J600" s="22"/>
      <c r="K600" s="22"/>
      <c r="L600" s="22"/>
      <c r="M600" s="22"/>
      <c r="N600" s="22"/>
      <c r="O600" s="23">
        <f t="shared" si="271"/>
        <v>0</v>
      </c>
      <c r="Q600" s="252" t="s">
        <v>2</v>
      </c>
      <c r="R600" s="272">
        <f>500/10.2</f>
        <v>49.019607843137258</v>
      </c>
      <c r="S600" s="252">
        <f>49*1.2</f>
        <v>58.8</v>
      </c>
      <c r="T600" s="252">
        <f>49*2.1</f>
        <v>102.9</v>
      </c>
      <c r="U600" s="252">
        <f>49*2.4</f>
        <v>117.6</v>
      </c>
      <c r="V600" s="252">
        <f>49*2.4</f>
        <v>117.6</v>
      </c>
      <c r="W600" s="252">
        <f>49*1.5</f>
        <v>73.5</v>
      </c>
      <c r="X600" s="252">
        <f>49*0.9</f>
        <v>44.1</v>
      </c>
      <c r="Y600" s="266"/>
      <c r="Z600" s="266">
        <f t="shared" si="273"/>
        <v>514.5</v>
      </c>
    </row>
    <row r="601" spans="1:40" ht="15" thickTop="1" thickBot="1">
      <c r="A601" s="380" t="str">
        <f t="shared" si="270"/>
        <v>4234-04</v>
      </c>
      <c r="B601" s="47"/>
      <c r="C601" s="47"/>
      <c r="D601" s="47"/>
      <c r="E601" s="48" t="s">
        <v>23</v>
      </c>
      <c r="F601" s="49" t="str">
        <f>+B594</f>
        <v>Lavinia</v>
      </c>
      <c r="G601" s="48"/>
      <c r="H601" s="48">
        <f>+H595-H596-H597-H598-H600+H599</f>
        <v>-9</v>
      </c>
      <c r="I601" s="48">
        <f>+I595-I596-I597-I598-I600+I599</f>
        <v>-10</v>
      </c>
      <c r="J601" s="48">
        <f>+J595-J596-J597-J598-J600-J599</f>
        <v>-18</v>
      </c>
      <c r="K601" s="48">
        <f>+K595-K596-K597-K598-K600-K599</f>
        <v>-9</v>
      </c>
      <c r="L601" s="48">
        <f>+L595-L596-L597-L598-L600-L599</f>
        <v>-9</v>
      </c>
      <c r="M601" s="48">
        <f>+M595-M596-M597-M598-M600-M599</f>
        <v>-9</v>
      </c>
      <c r="N601" s="48"/>
      <c r="O601" s="48">
        <f t="shared" si="271"/>
        <v>-64</v>
      </c>
      <c r="Q601" s="266"/>
      <c r="R601" s="266"/>
      <c r="S601" s="252">
        <f t="shared" ref="S601:X601" si="274">SUM(S597:S600)</f>
        <v>58.8</v>
      </c>
      <c r="T601" s="252">
        <f t="shared" si="274"/>
        <v>102.9</v>
      </c>
      <c r="U601" s="252">
        <f t="shared" si="274"/>
        <v>117.6</v>
      </c>
      <c r="V601" s="252">
        <f t="shared" si="274"/>
        <v>117.6</v>
      </c>
      <c r="W601" s="252">
        <f t="shared" si="274"/>
        <v>73.5</v>
      </c>
      <c r="X601" s="252">
        <f t="shared" si="274"/>
        <v>44.1</v>
      </c>
      <c r="Y601" s="252"/>
      <c r="Z601" s="252">
        <f t="shared" si="273"/>
        <v>514.5</v>
      </c>
    </row>
    <row r="602" spans="1:40" ht="15" thickTop="1" thickBot="1">
      <c r="A602" s="376" t="s">
        <v>7</v>
      </c>
      <c r="B602" s="43" t="s">
        <v>8</v>
      </c>
      <c r="C602" s="43"/>
      <c r="D602" s="43"/>
      <c r="E602" s="44" t="s">
        <v>9</v>
      </c>
      <c r="F602" s="45"/>
      <c r="G602" s="45"/>
      <c r="H602" s="44"/>
      <c r="I602" s="44"/>
      <c r="J602" s="44"/>
      <c r="K602" s="44"/>
      <c r="L602" s="44"/>
      <c r="M602" s="44"/>
      <c r="N602" s="44"/>
      <c r="O602" s="44"/>
    </row>
    <row r="603" spans="1:40" ht="15" thickTop="1" thickBot="1">
      <c r="A603" s="377" t="s">
        <v>175</v>
      </c>
      <c r="B603" s="38" t="s">
        <v>161</v>
      </c>
      <c r="C603" s="9" t="s">
        <v>12</v>
      </c>
      <c r="D603" s="9" t="s">
        <v>13</v>
      </c>
      <c r="E603" s="10"/>
      <c r="F603" s="256" t="s">
        <v>14</v>
      </c>
      <c r="G603" s="257">
        <v>34</v>
      </c>
      <c r="H603" s="257">
        <v>36</v>
      </c>
      <c r="I603" s="257">
        <v>38</v>
      </c>
      <c r="J603" s="257">
        <v>40</v>
      </c>
      <c r="K603" s="257">
        <v>42</v>
      </c>
      <c r="L603" s="257">
        <v>44</v>
      </c>
      <c r="M603" s="257">
        <v>46</v>
      </c>
      <c r="N603" s="257"/>
      <c r="O603" s="258" t="s">
        <v>15</v>
      </c>
      <c r="Q603" s="259" t="s">
        <v>14</v>
      </c>
      <c r="R603" s="259"/>
      <c r="S603" s="259">
        <v>36</v>
      </c>
      <c r="T603" s="259">
        <v>38</v>
      </c>
      <c r="U603" s="259">
        <v>40</v>
      </c>
      <c r="V603" s="259">
        <v>42</v>
      </c>
      <c r="W603" s="259">
        <v>44</v>
      </c>
      <c r="X603" s="259">
        <v>46</v>
      </c>
      <c r="Y603" s="259"/>
      <c r="Z603" s="259" t="s">
        <v>15</v>
      </c>
    </row>
    <row r="604" spans="1:40" ht="15" thickTop="1" thickBot="1">
      <c r="A604" s="378" t="str">
        <f t="shared" ref="A604:A610" si="275">+A603</f>
        <v>4234-08</v>
      </c>
      <c r="B604" s="39" t="s">
        <v>16</v>
      </c>
      <c r="C604" s="39"/>
      <c r="D604" s="39" t="str">
        <f>+B603</f>
        <v>Lavinia</v>
      </c>
      <c r="E604" s="40"/>
      <c r="F604" s="261" t="s">
        <v>1</v>
      </c>
      <c r="G604" s="261"/>
      <c r="H604" s="262">
        <f>'BASE DATOS'!C70</f>
        <v>43</v>
      </c>
      <c r="I604" s="262">
        <f>'BASE DATOS'!D70</f>
        <v>70</v>
      </c>
      <c r="J604" s="262">
        <f>'BASE DATOS'!E70</f>
        <v>72</v>
      </c>
      <c r="K604" s="262">
        <f>'BASE DATOS'!F70</f>
        <v>67</v>
      </c>
      <c r="L604" s="262">
        <f>'BASE DATOS'!G70</f>
        <v>41</v>
      </c>
      <c r="M604" s="262">
        <f>'BASE DATOS'!H70</f>
        <v>23</v>
      </c>
      <c r="N604" s="262"/>
      <c r="O604" s="263">
        <f t="shared" ref="O604:O610" si="276">SUM(H604:N604)</f>
        <v>316</v>
      </c>
      <c r="Q604" s="264"/>
      <c r="R604" s="264"/>
      <c r="S604" s="264"/>
      <c r="T604" s="264"/>
      <c r="U604" s="264"/>
      <c r="V604" s="264"/>
      <c r="W604" s="264"/>
      <c r="X604" s="264"/>
      <c r="Y604" s="264"/>
      <c r="Z604" s="264">
        <f>SUBTOTAL(9,S604:Y604)</f>
        <v>0</v>
      </c>
    </row>
    <row r="605" spans="1:40" ht="15" thickTop="1" thickBot="1">
      <c r="A605" s="378" t="str">
        <f t="shared" si="275"/>
        <v>4234-08</v>
      </c>
      <c r="B605" s="3"/>
      <c r="C605" s="4" t="s">
        <v>17</v>
      </c>
      <c r="D605" s="4" t="s">
        <v>42</v>
      </c>
      <c r="E605" s="5" t="s">
        <v>3</v>
      </c>
      <c r="F605" s="265">
        <v>11563</v>
      </c>
      <c r="G605" s="2"/>
      <c r="H605" s="7">
        <v>59</v>
      </c>
      <c r="I605" s="7">
        <v>97</v>
      </c>
      <c r="J605" s="7">
        <v>100</v>
      </c>
      <c r="K605" s="7">
        <v>92</v>
      </c>
      <c r="L605" s="7">
        <v>58</v>
      </c>
      <c r="M605" s="7">
        <v>13</v>
      </c>
      <c r="N605" s="8"/>
      <c r="O605" s="14">
        <f t="shared" si="276"/>
        <v>419</v>
      </c>
      <c r="Q605" s="252" t="s">
        <v>19</v>
      </c>
      <c r="R605" s="266"/>
      <c r="S605" s="266"/>
      <c r="T605" s="266"/>
      <c r="U605" s="266"/>
      <c r="V605" s="266"/>
      <c r="W605" s="266"/>
      <c r="X605" s="266"/>
      <c r="Y605" s="267"/>
      <c r="Z605" s="268">
        <f t="shared" ref="Z605:Z610" si="277">SUM(S605:Y605)</f>
        <v>0</v>
      </c>
    </row>
    <row r="606" spans="1:40" ht="15" thickTop="1" thickBot="1">
      <c r="A606" s="378" t="str">
        <f t="shared" si="275"/>
        <v>4234-08</v>
      </c>
      <c r="B606" s="3"/>
      <c r="C606" s="3"/>
      <c r="D606" s="52" t="s">
        <v>166</v>
      </c>
      <c r="E606" s="5" t="s">
        <v>3</v>
      </c>
      <c r="F606" s="269"/>
      <c r="G606" s="6"/>
      <c r="H606" s="7"/>
      <c r="I606" s="7"/>
      <c r="J606" s="7"/>
      <c r="K606" s="7"/>
      <c r="L606" s="7"/>
      <c r="M606" s="7"/>
      <c r="N606" s="15"/>
      <c r="O606" s="14">
        <f t="shared" si="276"/>
        <v>0</v>
      </c>
      <c r="Q606" s="252" t="s">
        <v>4</v>
      </c>
      <c r="R606" s="266">
        <f>78/19</f>
        <v>4.1052631578947372</v>
      </c>
      <c r="S606" s="266"/>
      <c r="T606" s="266"/>
      <c r="U606" s="266"/>
      <c r="V606" s="266"/>
      <c r="W606" s="266"/>
      <c r="X606" s="266"/>
      <c r="Y606" s="266"/>
      <c r="Z606" s="266">
        <f t="shared" si="277"/>
        <v>0</v>
      </c>
    </row>
    <row r="607" spans="1:40" ht="15" thickTop="1" thickBot="1">
      <c r="A607" s="378" t="str">
        <f t="shared" si="275"/>
        <v>4234-08</v>
      </c>
      <c r="B607" s="3"/>
      <c r="C607" s="3"/>
      <c r="D607" s="3"/>
      <c r="E607" s="5" t="s">
        <v>3</v>
      </c>
      <c r="F607" s="269"/>
      <c r="G607" s="6"/>
      <c r="H607" s="15"/>
      <c r="I607" s="15"/>
      <c r="J607" s="15"/>
      <c r="K607" s="15"/>
      <c r="L607" s="15"/>
      <c r="M607" s="15"/>
      <c r="N607" s="15"/>
      <c r="O607" s="16">
        <f t="shared" si="276"/>
        <v>0</v>
      </c>
      <c r="Q607" s="252" t="s">
        <v>6</v>
      </c>
      <c r="R607" s="266">
        <f>25/11</f>
        <v>2.2727272727272729</v>
      </c>
      <c r="S607" s="266"/>
      <c r="T607" s="266"/>
      <c r="U607" s="266"/>
      <c r="V607" s="266"/>
      <c r="W607" s="266"/>
      <c r="X607" s="266"/>
      <c r="Y607" s="266"/>
      <c r="Z607" s="266">
        <f t="shared" si="277"/>
        <v>0</v>
      </c>
    </row>
    <row r="608" spans="1:40" ht="15" thickTop="1" thickBot="1">
      <c r="A608" s="378" t="str">
        <f t="shared" si="275"/>
        <v>4234-08</v>
      </c>
      <c r="B608" s="3"/>
      <c r="C608" s="3"/>
      <c r="D608" s="3"/>
      <c r="E608" s="5" t="s">
        <v>3</v>
      </c>
      <c r="F608" s="269"/>
      <c r="G608" s="6"/>
      <c r="H608" s="8"/>
      <c r="I608" s="8"/>
      <c r="J608" s="8"/>
      <c r="K608" s="8"/>
      <c r="L608" s="8"/>
      <c r="M608" s="8"/>
      <c r="N608" s="15"/>
      <c r="O608" s="16">
        <f t="shared" si="276"/>
        <v>0</v>
      </c>
      <c r="Q608" s="266"/>
      <c r="R608" s="266"/>
      <c r="S608" s="266"/>
      <c r="T608" s="266"/>
      <c r="U608" s="266"/>
      <c r="V608" s="266"/>
      <c r="W608" s="266"/>
      <c r="X608" s="266"/>
      <c r="Y608" s="266"/>
      <c r="Z608" s="266">
        <f t="shared" si="277"/>
        <v>0</v>
      </c>
    </row>
    <row r="609" spans="1:26" ht="15" thickTop="1" thickBot="1">
      <c r="A609" s="379" t="str">
        <f t="shared" si="275"/>
        <v>4234-08</v>
      </c>
      <c r="B609" s="19"/>
      <c r="C609" s="19"/>
      <c r="D609" s="19"/>
      <c r="E609" s="20" t="s">
        <v>3</v>
      </c>
      <c r="F609" s="271"/>
      <c r="G609" s="21"/>
      <c r="H609" s="22"/>
      <c r="I609" s="22"/>
      <c r="J609" s="22"/>
      <c r="K609" s="22"/>
      <c r="L609" s="22"/>
      <c r="M609" s="22"/>
      <c r="N609" s="22"/>
      <c r="O609" s="23">
        <f t="shared" si="276"/>
        <v>0</v>
      </c>
      <c r="Q609" s="252" t="s">
        <v>2</v>
      </c>
      <c r="R609" s="272">
        <f>500/10.2</f>
        <v>49.019607843137258</v>
      </c>
      <c r="S609" s="252">
        <f>49*1.2</f>
        <v>58.8</v>
      </c>
      <c r="T609" s="252">
        <f>49*2.1</f>
        <v>102.9</v>
      </c>
      <c r="U609" s="252">
        <f>49*2.4</f>
        <v>117.6</v>
      </c>
      <c r="V609" s="252">
        <f>49*2.4</f>
        <v>117.6</v>
      </c>
      <c r="W609" s="252">
        <f>49*1.5</f>
        <v>73.5</v>
      </c>
      <c r="X609" s="252">
        <f>49*0.9</f>
        <v>44.1</v>
      </c>
      <c r="Y609" s="266"/>
      <c r="Z609" s="266">
        <f t="shared" si="277"/>
        <v>514.5</v>
      </c>
    </row>
    <row r="610" spans="1:26" ht="15" thickTop="1" thickBot="1">
      <c r="A610" s="380" t="str">
        <f t="shared" si="275"/>
        <v>4234-08</v>
      </c>
      <c r="B610" s="47"/>
      <c r="C610" s="47"/>
      <c r="D610" s="47"/>
      <c r="E610" s="48" t="s">
        <v>23</v>
      </c>
      <c r="F610" s="49" t="str">
        <f>+B603</f>
        <v>Lavinia</v>
      </c>
      <c r="G610" s="48"/>
      <c r="H610" s="48">
        <f>+H604-H605-H606-H607-H609+H608</f>
        <v>-16</v>
      </c>
      <c r="I610" s="48">
        <f>+I604-I605-I606-I607-I609+I608</f>
        <v>-27</v>
      </c>
      <c r="J610" s="48">
        <f>+J604-J605-J606-J607-J609-J608</f>
        <v>-28</v>
      </c>
      <c r="K610" s="48">
        <f>+K604-K605-K606-K607-K609-K608</f>
        <v>-25</v>
      </c>
      <c r="L610" s="48">
        <f>+L604-L605-L606-L607-L609-L608</f>
        <v>-17</v>
      </c>
      <c r="M610" s="48">
        <f>+M604-M605-M606-M607-M609-M608</f>
        <v>10</v>
      </c>
      <c r="N610" s="48"/>
      <c r="O610" s="48">
        <f t="shared" si="276"/>
        <v>-103</v>
      </c>
      <c r="Q610" s="266"/>
      <c r="R610" s="266"/>
      <c r="S610" s="252">
        <f t="shared" ref="S610:X610" si="278">SUM(S606:S609)</f>
        <v>58.8</v>
      </c>
      <c r="T610" s="252">
        <f t="shared" si="278"/>
        <v>102.9</v>
      </c>
      <c r="U610" s="252">
        <f t="shared" si="278"/>
        <v>117.6</v>
      </c>
      <c r="V610" s="252">
        <f t="shared" si="278"/>
        <v>117.6</v>
      </c>
      <c r="W610" s="252">
        <f t="shared" si="278"/>
        <v>73.5</v>
      </c>
      <c r="X610" s="252">
        <f t="shared" si="278"/>
        <v>44.1</v>
      </c>
      <c r="Y610" s="252"/>
      <c r="Z610" s="252">
        <f t="shared" si="277"/>
        <v>514.5</v>
      </c>
    </row>
    <row r="611" spans="1:26" ht="15" thickTop="1" thickBot="1">
      <c r="A611" s="376" t="s">
        <v>7</v>
      </c>
      <c r="B611" s="43" t="s">
        <v>8</v>
      </c>
      <c r="C611" s="43"/>
      <c r="D611" s="43"/>
      <c r="E611" s="44" t="s">
        <v>9</v>
      </c>
      <c r="F611" s="45"/>
      <c r="G611" s="45"/>
      <c r="H611" s="44"/>
      <c r="I611" s="44"/>
      <c r="J611" s="44"/>
      <c r="K611" s="44"/>
      <c r="L611" s="44"/>
      <c r="M611" s="44"/>
      <c r="N611" s="44"/>
      <c r="O611" s="44"/>
    </row>
    <row r="612" spans="1:26" ht="15" thickTop="1" thickBot="1">
      <c r="A612" s="377" t="s">
        <v>176</v>
      </c>
      <c r="B612" s="38" t="s">
        <v>161</v>
      </c>
      <c r="C612" s="9" t="s">
        <v>12</v>
      </c>
      <c r="D612" s="9" t="s">
        <v>13</v>
      </c>
      <c r="E612" s="10"/>
      <c r="F612" s="256" t="s">
        <v>14</v>
      </c>
      <c r="G612" s="257">
        <v>34</v>
      </c>
      <c r="H612" s="257">
        <v>36</v>
      </c>
      <c r="I612" s="257">
        <v>38</v>
      </c>
      <c r="J612" s="257">
        <v>40</v>
      </c>
      <c r="K612" s="257">
        <v>42</v>
      </c>
      <c r="L612" s="257">
        <v>44</v>
      </c>
      <c r="M612" s="257">
        <v>46</v>
      </c>
      <c r="N612" s="257"/>
      <c r="O612" s="258" t="s">
        <v>15</v>
      </c>
      <c r="Q612" s="259" t="s">
        <v>14</v>
      </c>
      <c r="R612" s="259"/>
      <c r="S612" s="259">
        <v>36</v>
      </c>
      <c r="T612" s="259">
        <v>38</v>
      </c>
      <c r="U612" s="259">
        <v>40</v>
      </c>
      <c r="V612" s="259">
        <v>42</v>
      </c>
      <c r="W612" s="259">
        <v>44</v>
      </c>
      <c r="X612" s="259">
        <v>46</v>
      </c>
      <c r="Y612" s="259"/>
      <c r="Z612" s="259" t="s">
        <v>15</v>
      </c>
    </row>
    <row r="613" spans="1:26" ht="15" thickTop="1" thickBot="1">
      <c r="A613" s="378" t="str">
        <f t="shared" ref="A613:A619" si="279">+A612</f>
        <v>4234-09</v>
      </c>
      <c r="B613" s="39" t="s">
        <v>16</v>
      </c>
      <c r="C613" s="39"/>
      <c r="D613" s="39" t="str">
        <f>+B612</f>
        <v>Lavinia</v>
      </c>
      <c r="E613" s="40"/>
      <c r="F613" s="261" t="s">
        <v>1</v>
      </c>
      <c r="G613" s="261"/>
      <c r="H613" s="262">
        <f>'BASE DATOS'!C71</f>
        <v>5</v>
      </c>
      <c r="I613" s="262">
        <f>'BASE DATOS'!D71</f>
        <v>11</v>
      </c>
      <c r="J613" s="262">
        <f>'BASE DATOS'!E71</f>
        <v>11</v>
      </c>
      <c r="K613" s="262">
        <f>'BASE DATOS'!F71</f>
        <v>12</v>
      </c>
      <c r="L613" s="262">
        <f>'BASE DATOS'!G71</f>
        <v>8</v>
      </c>
      <c r="M613" s="262">
        <f>'BASE DATOS'!H71</f>
        <v>4</v>
      </c>
      <c r="N613" s="262"/>
      <c r="O613" s="263">
        <f t="shared" ref="O613:O619" si="280">SUM(H613:N613)</f>
        <v>51</v>
      </c>
      <c r="Q613" s="264"/>
      <c r="R613" s="264"/>
      <c r="S613" s="264"/>
      <c r="T613" s="264"/>
      <c r="U613" s="264"/>
      <c r="V613" s="264"/>
      <c r="W613" s="264"/>
      <c r="X613" s="264"/>
      <c r="Y613" s="264"/>
      <c r="Z613" s="264">
        <f>SUBTOTAL(9,S613:Y613)</f>
        <v>0</v>
      </c>
    </row>
    <row r="614" spans="1:26" ht="15" thickTop="1" thickBot="1">
      <c r="A614" s="378" t="str">
        <f t="shared" si="279"/>
        <v>4234-09</v>
      </c>
      <c r="B614" s="3"/>
      <c r="C614" s="4" t="s">
        <v>17</v>
      </c>
      <c r="D614" s="4" t="s">
        <v>42</v>
      </c>
      <c r="E614" s="5" t="s">
        <v>3</v>
      </c>
      <c r="F614" s="265">
        <v>11563</v>
      </c>
      <c r="G614" s="2"/>
      <c r="H614" s="7">
        <v>8</v>
      </c>
      <c r="I614" s="7">
        <v>15</v>
      </c>
      <c r="J614" s="7">
        <v>15</v>
      </c>
      <c r="K614" s="7">
        <v>15</v>
      </c>
      <c r="L614" s="7">
        <v>11</v>
      </c>
      <c r="M614" s="7">
        <v>5</v>
      </c>
      <c r="N614" s="8"/>
      <c r="O614" s="14">
        <f t="shared" si="280"/>
        <v>69</v>
      </c>
      <c r="Q614" s="252" t="s">
        <v>19</v>
      </c>
      <c r="R614" s="266"/>
      <c r="S614" s="266"/>
      <c r="T614" s="266"/>
      <c r="U614" s="266"/>
      <c r="V614" s="266"/>
      <c r="W614" s="266"/>
      <c r="X614" s="266"/>
      <c r="Y614" s="267"/>
      <c r="Z614" s="268">
        <f t="shared" ref="Z614:Z619" si="281">SUM(S614:Y614)</f>
        <v>0</v>
      </c>
    </row>
    <row r="615" spans="1:26" ht="15" thickTop="1" thickBot="1">
      <c r="A615" s="378" t="str">
        <f t="shared" si="279"/>
        <v>4234-09</v>
      </c>
      <c r="B615" s="3"/>
      <c r="C615" s="3"/>
      <c r="D615" s="52" t="s">
        <v>168</v>
      </c>
      <c r="E615" s="5" t="s">
        <v>3</v>
      </c>
      <c r="F615" s="269"/>
      <c r="G615" s="6"/>
      <c r="H615" s="7"/>
      <c r="I615" s="7"/>
      <c r="J615" s="7"/>
      <c r="K615" s="7"/>
      <c r="L615" s="7"/>
      <c r="M615" s="7"/>
      <c r="N615" s="15"/>
      <c r="O615" s="14">
        <f t="shared" si="280"/>
        <v>0</v>
      </c>
      <c r="Q615" s="252" t="s">
        <v>4</v>
      </c>
      <c r="R615" s="266">
        <f>78/19</f>
        <v>4.1052631578947372</v>
      </c>
      <c r="S615" s="266"/>
      <c r="T615" s="266"/>
      <c r="U615" s="266"/>
      <c r="V615" s="266"/>
      <c r="W615" s="266"/>
      <c r="X615" s="266"/>
      <c r="Y615" s="266"/>
      <c r="Z615" s="266">
        <f t="shared" si="281"/>
        <v>0</v>
      </c>
    </row>
    <row r="616" spans="1:26" ht="15" thickTop="1" thickBot="1">
      <c r="A616" s="378" t="str">
        <f t="shared" si="279"/>
        <v>4234-09</v>
      </c>
      <c r="B616" s="3"/>
      <c r="C616" s="3"/>
      <c r="D616" s="3"/>
      <c r="E616" s="5" t="s">
        <v>3</v>
      </c>
      <c r="F616" s="269"/>
      <c r="G616" s="6"/>
      <c r="H616" s="15"/>
      <c r="I616" s="15"/>
      <c r="J616" s="15"/>
      <c r="K616" s="15"/>
      <c r="L616" s="15"/>
      <c r="M616" s="15"/>
      <c r="N616" s="15"/>
      <c r="O616" s="16">
        <f t="shared" si="280"/>
        <v>0</v>
      </c>
      <c r="Q616" s="252" t="s">
        <v>6</v>
      </c>
      <c r="R616" s="266">
        <f>25/11</f>
        <v>2.2727272727272729</v>
      </c>
      <c r="S616" s="266"/>
      <c r="T616" s="266"/>
      <c r="U616" s="266"/>
      <c r="V616" s="266"/>
      <c r="W616" s="266"/>
      <c r="X616" s="266"/>
      <c r="Y616" s="266"/>
      <c r="Z616" s="266">
        <f t="shared" si="281"/>
        <v>0</v>
      </c>
    </row>
    <row r="617" spans="1:26" ht="15" thickTop="1" thickBot="1">
      <c r="A617" s="378" t="str">
        <f t="shared" si="279"/>
        <v>4234-09</v>
      </c>
      <c r="B617" s="3"/>
      <c r="C617" s="3"/>
      <c r="D617" s="3"/>
      <c r="E617" s="5" t="s">
        <v>3</v>
      </c>
      <c r="F617" s="269"/>
      <c r="G617" s="6"/>
      <c r="H617" s="8"/>
      <c r="I617" s="8"/>
      <c r="J617" s="8"/>
      <c r="K617" s="8"/>
      <c r="L617" s="8"/>
      <c r="M617" s="8"/>
      <c r="N617" s="15"/>
      <c r="O617" s="16">
        <f t="shared" si="280"/>
        <v>0</v>
      </c>
      <c r="Q617" s="266"/>
      <c r="R617" s="266"/>
      <c r="S617" s="266"/>
      <c r="T617" s="266"/>
      <c r="U617" s="266"/>
      <c r="V617" s="266"/>
      <c r="W617" s="266"/>
      <c r="X617" s="266"/>
      <c r="Y617" s="266"/>
      <c r="Z617" s="266">
        <f t="shared" si="281"/>
        <v>0</v>
      </c>
    </row>
    <row r="618" spans="1:26" ht="15" thickTop="1" thickBot="1">
      <c r="A618" s="379" t="str">
        <f t="shared" si="279"/>
        <v>4234-09</v>
      </c>
      <c r="B618" s="19"/>
      <c r="C618" s="19"/>
      <c r="D618" s="19"/>
      <c r="E618" s="20" t="s">
        <v>3</v>
      </c>
      <c r="F618" s="271"/>
      <c r="G618" s="21"/>
      <c r="H618" s="22"/>
      <c r="I618" s="22"/>
      <c r="J618" s="22"/>
      <c r="K618" s="22"/>
      <c r="L618" s="22"/>
      <c r="M618" s="22"/>
      <c r="N618" s="22"/>
      <c r="O618" s="23">
        <f t="shared" si="280"/>
        <v>0</v>
      </c>
      <c r="Q618" s="252" t="s">
        <v>2</v>
      </c>
      <c r="R618" s="272">
        <f>500/10.2</f>
        <v>49.019607843137258</v>
      </c>
      <c r="S618" s="252">
        <f>49*1.2</f>
        <v>58.8</v>
      </c>
      <c r="T618" s="252">
        <f>49*2.1</f>
        <v>102.9</v>
      </c>
      <c r="U618" s="252">
        <f>49*2.4</f>
        <v>117.6</v>
      </c>
      <c r="V618" s="252">
        <f>49*2.4</f>
        <v>117.6</v>
      </c>
      <c r="W618" s="252">
        <f>49*1.5</f>
        <v>73.5</v>
      </c>
      <c r="X618" s="252">
        <f>49*0.9</f>
        <v>44.1</v>
      </c>
      <c r="Y618" s="266"/>
      <c r="Z618" s="266">
        <f t="shared" si="281"/>
        <v>514.5</v>
      </c>
    </row>
    <row r="619" spans="1:26" ht="15" thickTop="1" thickBot="1">
      <c r="A619" s="380" t="str">
        <f t="shared" si="279"/>
        <v>4234-09</v>
      </c>
      <c r="B619" s="47"/>
      <c r="C619" s="47"/>
      <c r="D619" s="47"/>
      <c r="E619" s="48" t="s">
        <v>23</v>
      </c>
      <c r="F619" s="49" t="str">
        <f>+B612</f>
        <v>Lavinia</v>
      </c>
      <c r="G619" s="48"/>
      <c r="H619" s="48">
        <f>+H613-H614-H615-H616-H618+H617</f>
        <v>-3</v>
      </c>
      <c r="I619" s="48">
        <f>+I613-I614-I615-I616-I618+I617</f>
        <v>-4</v>
      </c>
      <c r="J619" s="48">
        <f>+J613-J614-J615-J616-J618-J617</f>
        <v>-4</v>
      </c>
      <c r="K619" s="48">
        <f>+K613-K614-K615-K616-K618-K617</f>
        <v>-3</v>
      </c>
      <c r="L619" s="48">
        <f>+L613-L614-L615-L616-L618-L617</f>
        <v>-3</v>
      </c>
      <c r="M619" s="48">
        <f>+M613-M614-M615-M616-M618-M617</f>
        <v>-1</v>
      </c>
      <c r="N619" s="48"/>
      <c r="O619" s="48">
        <f t="shared" si="280"/>
        <v>-18</v>
      </c>
      <c r="Q619" s="266"/>
      <c r="R619" s="266"/>
      <c r="S619" s="252">
        <f t="shared" ref="S619:X619" si="282">SUM(S615:S618)</f>
        <v>58.8</v>
      </c>
      <c r="T619" s="252">
        <f t="shared" si="282"/>
        <v>102.9</v>
      </c>
      <c r="U619" s="252">
        <f t="shared" si="282"/>
        <v>117.6</v>
      </c>
      <c r="V619" s="252">
        <f t="shared" si="282"/>
        <v>117.6</v>
      </c>
      <c r="W619" s="252">
        <f t="shared" si="282"/>
        <v>73.5</v>
      </c>
      <c r="X619" s="252">
        <f t="shared" si="282"/>
        <v>44.1</v>
      </c>
      <c r="Y619" s="252"/>
      <c r="Z619" s="252">
        <f t="shared" si="281"/>
        <v>514.5</v>
      </c>
    </row>
    <row r="620" spans="1:26" ht="15" thickTop="1" thickBot="1">
      <c r="A620" s="376" t="s">
        <v>7</v>
      </c>
      <c r="B620" s="43" t="s">
        <v>8</v>
      </c>
      <c r="C620" s="43"/>
      <c r="D620" s="43"/>
      <c r="E620" s="44" t="s">
        <v>9</v>
      </c>
      <c r="F620" s="45"/>
      <c r="G620" s="45"/>
      <c r="H620" s="44"/>
      <c r="I620" s="44"/>
      <c r="J620" s="44"/>
      <c r="K620" s="44"/>
      <c r="L620" s="44"/>
      <c r="M620" s="44"/>
      <c r="N620" s="44"/>
      <c r="O620" s="44"/>
    </row>
    <row r="621" spans="1:26" ht="15" thickTop="1" thickBot="1">
      <c r="A621" s="377" t="s">
        <v>177</v>
      </c>
      <c r="B621" s="38" t="s">
        <v>161</v>
      </c>
      <c r="C621" s="9" t="s">
        <v>12</v>
      </c>
      <c r="D621" s="9" t="s">
        <v>13</v>
      </c>
      <c r="E621" s="10"/>
      <c r="F621" s="256" t="s">
        <v>14</v>
      </c>
      <c r="G621" s="257">
        <v>34</v>
      </c>
      <c r="H621" s="257">
        <v>36</v>
      </c>
      <c r="I621" s="257">
        <v>38</v>
      </c>
      <c r="J621" s="257">
        <v>40</v>
      </c>
      <c r="K621" s="257">
        <v>42</v>
      </c>
      <c r="L621" s="257">
        <v>44</v>
      </c>
      <c r="M621" s="257">
        <v>46</v>
      </c>
      <c r="N621" s="257"/>
      <c r="O621" s="258" t="s">
        <v>15</v>
      </c>
      <c r="Q621" s="259" t="s">
        <v>14</v>
      </c>
      <c r="R621" s="259"/>
      <c r="S621" s="259">
        <v>36</v>
      </c>
      <c r="T621" s="259">
        <v>38</v>
      </c>
      <c r="U621" s="259">
        <v>40</v>
      </c>
      <c r="V621" s="259">
        <v>42</v>
      </c>
      <c r="W621" s="259">
        <v>44</v>
      </c>
      <c r="X621" s="259">
        <v>46</v>
      </c>
      <c r="Y621" s="259"/>
      <c r="Z621" s="259" t="s">
        <v>15</v>
      </c>
    </row>
    <row r="622" spans="1:26" ht="15" thickTop="1" thickBot="1">
      <c r="A622" s="378" t="str">
        <f t="shared" ref="A622:A628" si="283">+A621</f>
        <v>4234-16</v>
      </c>
      <c r="B622" s="39" t="s">
        <v>16</v>
      </c>
      <c r="C622" s="39"/>
      <c r="D622" s="39" t="str">
        <f>+B621</f>
        <v>Lavinia</v>
      </c>
      <c r="E622" s="40"/>
      <c r="F622" s="261" t="s">
        <v>1</v>
      </c>
      <c r="G622" s="261"/>
      <c r="H622" s="262">
        <f>'BASE DATOS'!C72</f>
        <v>23</v>
      </c>
      <c r="I622" s="262">
        <f>'BASE DATOS'!D72</f>
        <v>39</v>
      </c>
      <c r="J622" s="262">
        <f>'BASE DATOS'!E72</f>
        <v>43</v>
      </c>
      <c r="K622" s="262">
        <f>'BASE DATOS'!F72</f>
        <v>37</v>
      </c>
      <c r="L622" s="262">
        <f>'BASE DATOS'!G72</f>
        <v>22</v>
      </c>
      <c r="M622" s="262">
        <f>'BASE DATOS'!H72</f>
        <v>9</v>
      </c>
      <c r="N622" s="262"/>
      <c r="O622" s="263">
        <f t="shared" ref="O622:O628" si="284">SUM(H622:N622)</f>
        <v>173</v>
      </c>
      <c r="Q622" s="264"/>
      <c r="R622" s="264"/>
      <c r="S622" s="264"/>
      <c r="T622" s="264"/>
      <c r="U622" s="264"/>
      <c r="V622" s="264"/>
      <c r="W622" s="264"/>
      <c r="X622" s="264"/>
      <c r="Y622" s="264"/>
      <c r="Z622" s="264">
        <f>SUBTOTAL(9,S622:Y622)</f>
        <v>0</v>
      </c>
    </row>
    <row r="623" spans="1:26" ht="15" thickTop="1" thickBot="1">
      <c r="A623" s="378" t="str">
        <f t="shared" si="283"/>
        <v>4234-16</v>
      </c>
      <c r="B623" s="3"/>
      <c r="C623" s="4" t="s">
        <v>17</v>
      </c>
      <c r="D623" s="4" t="s">
        <v>42</v>
      </c>
      <c r="E623" s="5" t="s">
        <v>3</v>
      </c>
      <c r="F623" s="265">
        <v>11563</v>
      </c>
      <c r="G623" s="2"/>
      <c r="H623" s="7">
        <v>28</v>
      </c>
      <c r="I623" s="7">
        <v>41</v>
      </c>
      <c r="J623" s="7">
        <v>47</v>
      </c>
      <c r="K623" s="7">
        <v>38</v>
      </c>
      <c r="L623" s="7">
        <v>25</v>
      </c>
      <c r="M623" s="7">
        <v>10</v>
      </c>
      <c r="N623" s="8"/>
      <c r="O623" s="14">
        <f t="shared" si="284"/>
        <v>189</v>
      </c>
      <c r="Q623" s="252" t="s">
        <v>19</v>
      </c>
      <c r="R623" s="266"/>
      <c r="S623" s="266"/>
      <c r="T623" s="266"/>
      <c r="U623" s="266"/>
      <c r="V623" s="266"/>
      <c r="W623" s="266"/>
      <c r="X623" s="266"/>
      <c r="Y623" s="267"/>
      <c r="Z623" s="268">
        <f t="shared" ref="Z623:Z628" si="285">SUM(S623:Y623)</f>
        <v>0</v>
      </c>
    </row>
    <row r="624" spans="1:26" ht="15" thickTop="1" thickBot="1">
      <c r="A624" s="378" t="str">
        <f t="shared" si="283"/>
        <v>4234-16</v>
      </c>
      <c r="B624" s="3"/>
      <c r="C624" s="3"/>
      <c r="D624" s="52" t="s">
        <v>170</v>
      </c>
      <c r="E624" s="5" t="s">
        <v>3</v>
      </c>
      <c r="F624" s="269"/>
      <c r="G624" s="6"/>
      <c r="H624" s="7"/>
      <c r="I624" s="7"/>
      <c r="J624" s="7"/>
      <c r="K624" s="7"/>
      <c r="L624" s="7"/>
      <c r="M624" s="7"/>
      <c r="N624" s="15"/>
      <c r="O624" s="14">
        <f t="shared" si="284"/>
        <v>0</v>
      </c>
      <c r="Q624" s="252" t="s">
        <v>4</v>
      </c>
      <c r="R624" s="266">
        <f>78/19</f>
        <v>4.1052631578947372</v>
      </c>
      <c r="S624" s="266"/>
      <c r="T624" s="266"/>
      <c r="U624" s="266"/>
      <c r="V624" s="266"/>
      <c r="W624" s="266"/>
      <c r="X624" s="266"/>
      <c r="Y624" s="266"/>
      <c r="Z624" s="266">
        <f t="shared" si="285"/>
        <v>0</v>
      </c>
    </row>
    <row r="625" spans="1:26" ht="15" thickTop="1" thickBot="1">
      <c r="A625" s="378" t="str">
        <f t="shared" si="283"/>
        <v>4234-16</v>
      </c>
      <c r="B625" s="3"/>
      <c r="C625" s="3"/>
      <c r="D625" s="3"/>
      <c r="E625" s="5" t="s">
        <v>3</v>
      </c>
      <c r="F625" s="269"/>
      <c r="G625" s="6"/>
      <c r="H625" s="15"/>
      <c r="I625" s="15"/>
      <c r="J625" s="15"/>
      <c r="K625" s="15"/>
      <c r="L625" s="15"/>
      <c r="M625" s="15"/>
      <c r="N625" s="15"/>
      <c r="O625" s="16">
        <f t="shared" si="284"/>
        <v>0</v>
      </c>
      <c r="Q625" s="252" t="s">
        <v>6</v>
      </c>
      <c r="R625" s="266">
        <f>25/11</f>
        <v>2.2727272727272729</v>
      </c>
      <c r="S625" s="266"/>
      <c r="T625" s="266"/>
      <c r="U625" s="266"/>
      <c r="V625" s="266"/>
      <c r="W625" s="266"/>
      <c r="X625" s="266"/>
      <c r="Y625" s="266"/>
      <c r="Z625" s="266">
        <f t="shared" si="285"/>
        <v>0</v>
      </c>
    </row>
    <row r="626" spans="1:26" ht="15" thickTop="1" thickBot="1">
      <c r="A626" s="378" t="str">
        <f t="shared" si="283"/>
        <v>4234-16</v>
      </c>
      <c r="B626" s="3"/>
      <c r="C626" s="3"/>
      <c r="D626" s="3"/>
      <c r="E626" s="5" t="s">
        <v>3</v>
      </c>
      <c r="F626" s="269"/>
      <c r="G626" s="6"/>
      <c r="H626" s="8"/>
      <c r="I626" s="8"/>
      <c r="J626" s="8"/>
      <c r="K626" s="8"/>
      <c r="L626" s="8"/>
      <c r="M626" s="8"/>
      <c r="N626" s="15"/>
      <c r="O626" s="16">
        <f t="shared" si="284"/>
        <v>0</v>
      </c>
      <c r="Q626" s="266"/>
      <c r="R626" s="266"/>
      <c r="S626" s="266"/>
      <c r="T626" s="266"/>
      <c r="U626" s="266"/>
      <c r="V626" s="266"/>
      <c r="W626" s="266"/>
      <c r="X626" s="266"/>
      <c r="Y626" s="266"/>
      <c r="Z626" s="266">
        <f t="shared" si="285"/>
        <v>0</v>
      </c>
    </row>
    <row r="627" spans="1:26" ht="15" thickTop="1" thickBot="1">
      <c r="A627" s="379" t="str">
        <f t="shared" si="283"/>
        <v>4234-16</v>
      </c>
      <c r="B627" s="19"/>
      <c r="C627" s="19"/>
      <c r="D627" s="19"/>
      <c r="E627" s="20" t="s">
        <v>3</v>
      </c>
      <c r="F627" s="271"/>
      <c r="G627" s="21"/>
      <c r="H627" s="22"/>
      <c r="I627" s="22"/>
      <c r="J627" s="22"/>
      <c r="K627" s="22"/>
      <c r="L627" s="22"/>
      <c r="M627" s="22"/>
      <c r="N627" s="22"/>
      <c r="O627" s="23">
        <f t="shared" si="284"/>
        <v>0</v>
      </c>
      <c r="Q627" s="252" t="s">
        <v>2</v>
      </c>
      <c r="R627" s="272">
        <f>500/10.2</f>
        <v>49.019607843137258</v>
      </c>
      <c r="S627" s="252">
        <f>49*1.2</f>
        <v>58.8</v>
      </c>
      <c r="T627" s="252">
        <f>49*2.1</f>
        <v>102.9</v>
      </c>
      <c r="U627" s="252">
        <f>49*2.4</f>
        <v>117.6</v>
      </c>
      <c r="V627" s="252">
        <f>49*2.4</f>
        <v>117.6</v>
      </c>
      <c r="W627" s="252">
        <f>49*1.5</f>
        <v>73.5</v>
      </c>
      <c r="X627" s="252">
        <f>49*0.9</f>
        <v>44.1</v>
      </c>
      <c r="Y627" s="266"/>
      <c r="Z627" s="266">
        <f t="shared" si="285"/>
        <v>514.5</v>
      </c>
    </row>
    <row r="628" spans="1:26" ht="15" thickTop="1" thickBot="1">
      <c r="A628" s="380" t="str">
        <f t="shared" si="283"/>
        <v>4234-16</v>
      </c>
      <c r="B628" s="47"/>
      <c r="C628" s="47"/>
      <c r="D628" s="47"/>
      <c r="E628" s="48" t="s">
        <v>23</v>
      </c>
      <c r="F628" s="49" t="str">
        <f>+B621</f>
        <v>Lavinia</v>
      </c>
      <c r="G628" s="48"/>
      <c r="H628" s="48">
        <f>+H622-H623-H624-H625-H627+H626</f>
        <v>-5</v>
      </c>
      <c r="I628" s="48">
        <f>+I622-I623-I624-I625-I627+I626</f>
        <v>-2</v>
      </c>
      <c r="J628" s="48">
        <f>+J622-J623-J624-J625-J627-J626</f>
        <v>-4</v>
      </c>
      <c r="K628" s="48">
        <f>+K622-K623-K624-K625-K627-K626</f>
        <v>-1</v>
      </c>
      <c r="L628" s="48">
        <f>+L622-L623-L624-L625-L627-L626</f>
        <v>-3</v>
      </c>
      <c r="M628" s="48">
        <f>+M622-M623-M624-M625-M627-M626</f>
        <v>-1</v>
      </c>
      <c r="N628" s="48"/>
      <c r="O628" s="48">
        <f t="shared" si="284"/>
        <v>-16</v>
      </c>
      <c r="Q628" s="266"/>
      <c r="R628" s="266"/>
      <c r="S628" s="252">
        <f t="shared" ref="S628:X628" si="286">SUM(S624:S627)</f>
        <v>58.8</v>
      </c>
      <c r="T628" s="252">
        <f t="shared" si="286"/>
        <v>102.9</v>
      </c>
      <c r="U628" s="252">
        <f t="shared" si="286"/>
        <v>117.6</v>
      </c>
      <c r="V628" s="252">
        <f t="shared" si="286"/>
        <v>117.6</v>
      </c>
      <c r="W628" s="252">
        <f t="shared" si="286"/>
        <v>73.5</v>
      </c>
      <c r="X628" s="252">
        <f t="shared" si="286"/>
        <v>44.1</v>
      </c>
      <c r="Y628" s="252"/>
      <c r="Z628" s="252">
        <f t="shared" si="285"/>
        <v>514.5</v>
      </c>
    </row>
    <row r="629" spans="1:26" ht="15" thickTop="1" thickBot="1">
      <c r="A629" s="376" t="s">
        <v>7</v>
      </c>
      <c r="B629" s="43" t="s">
        <v>8</v>
      </c>
      <c r="C629" s="43"/>
      <c r="D629" s="43"/>
      <c r="E629" s="44" t="s">
        <v>9</v>
      </c>
      <c r="F629" s="45"/>
      <c r="G629" s="45"/>
      <c r="H629" s="44"/>
      <c r="I629" s="44"/>
      <c r="J629" s="44"/>
      <c r="K629" s="44"/>
      <c r="L629" s="44"/>
      <c r="M629" s="44"/>
      <c r="N629" s="44"/>
      <c r="O629" s="44"/>
    </row>
    <row r="630" spans="1:26" ht="15" thickTop="1" thickBot="1">
      <c r="A630" s="377" t="s">
        <v>178</v>
      </c>
      <c r="B630" s="38" t="s">
        <v>161</v>
      </c>
      <c r="C630" s="9" t="s">
        <v>12</v>
      </c>
      <c r="D630" s="9" t="s">
        <v>13</v>
      </c>
      <c r="E630" s="10"/>
      <c r="F630" s="256" t="s">
        <v>14</v>
      </c>
      <c r="G630" s="257">
        <v>34</v>
      </c>
      <c r="H630" s="257">
        <v>36</v>
      </c>
      <c r="I630" s="257">
        <v>38</v>
      </c>
      <c r="J630" s="257">
        <v>40</v>
      </c>
      <c r="K630" s="257">
        <v>42</v>
      </c>
      <c r="L630" s="257">
        <v>44</v>
      </c>
      <c r="M630" s="257">
        <v>46</v>
      </c>
      <c r="N630" s="257"/>
      <c r="O630" s="258" t="s">
        <v>15</v>
      </c>
      <c r="Q630" s="259" t="s">
        <v>14</v>
      </c>
      <c r="R630" s="259"/>
      <c r="S630" s="259">
        <v>36</v>
      </c>
      <c r="T630" s="259">
        <v>38</v>
      </c>
      <c r="U630" s="259">
        <v>40</v>
      </c>
      <c r="V630" s="259">
        <v>42</v>
      </c>
      <c r="W630" s="259">
        <v>44</v>
      </c>
      <c r="X630" s="259">
        <v>46</v>
      </c>
      <c r="Y630" s="259"/>
      <c r="Z630" s="259" t="s">
        <v>15</v>
      </c>
    </row>
    <row r="631" spans="1:26" ht="15" thickTop="1" thickBot="1">
      <c r="A631" s="378" t="str">
        <f t="shared" ref="A631:A637" si="287">+A630</f>
        <v>4234-48</v>
      </c>
      <c r="B631" s="39" t="s">
        <v>16</v>
      </c>
      <c r="C631" s="39"/>
      <c r="D631" s="39" t="str">
        <f>+B630</f>
        <v>Lavinia</v>
      </c>
      <c r="E631" s="40"/>
      <c r="F631" s="261" t="s">
        <v>1</v>
      </c>
      <c r="G631" s="261"/>
      <c r="H631" s="262">
        <f>'BASE DATOS'!C73</f>
        <v>10</v>
      </c>
      <c r="I631" s="262">
        <f>'BASE DATOS'!D73</f>
        <v>17</v>
      </c>
      <c r="J631" s="262">
        <f>'BASE DATOS'!E73</f>
        <v>17</v>
      </c>
      <c r="K631" s="262">
        <f>'BASE DATOS'!F73</f>
        <v>17</v>
      </c>
      <c r="L631" s="262">
        <f>'BASE DATOS'!G73</f>
        <v>11</v>
      </c>
      <c r="M631" s="262">
        <f>'BASE DATOS'!H73</f>
        <v>4</v>
      </c>
      <c r="N631" s="262"/>
      <c r="O631" s="263">
        <f t="shared" ref="O631:O637" si="288">SUM(H631:N631)</f>
        <v>76</v>
      </c>
      <c r="Q631" s="264"/>
      <c r="R631" s="264"/>
      <c r="S631" s="264"/>
      <c r="T631" s="264"/>
      <c r="U631" s="264"/>
      <c r="V631" s="264"/>
      <c r="W631" s="264"/>
      <c r="X631" s="264"/>
      <c r="Y631" s="264"/>
      <c r="Z631" s="264">
        <f>SUBTOTAL(9,S631:Y631)</f>
        <v>0</v>
      </c>
    </row>
    <row r="632" spans="1:26" ht="15" thickTop="1" thickBot="1">
      <c r="A632" s="378" t="str">
        <f t="shared" si="287"/>
        <v>4234-48</v>
      </c>
      <c r="B632" s="3"/>
      <c r="C632" s="4" t="s">
        <v>17</v>
      </c>
      <c r="D632" s="4" t="s">
        <v>42</v>
      </c>
      <c r="E632" s="5" t="s">
        <v>3</v>
      </c>
      <c r="F632" s="265">
        <v>11563</v>
      </c>
      <c r="G632" s="2"/>
      <c r="H632" s="7">
        <v>20</v>
      </c>
      <c r="I632" s="7">
        <v>32</v>
      </c>
      <c r="J632" s="7">
        <v>30</v>
      </c>
      <c r="K632" s="7">
        <v>28</v>
      </c>
      <c r="L632" s="7">
        <v>21</v>
      </c>
      <c r="M632" s="7">
        <v>7</v>
      </c>
      <c r="N632" s="8"/>
      <c r="O632" s="14">
        <f t="shared" si="288"/>
        <v>138</v>
      </c>
      <c r="Q632" s="252" t="s">
        <v>19</v>
      </c>
      <c r="R632" s="266"/>
      <c r="S632" s="266"/>
      <c r="T632" s="266"/>
      <c r="U632" s="266"/>
      <c r="V632" s="266"/>
      <c r="W632" s="266"/>
      <c r="X632" s="266"/>
      <c r="Y632" s="267"/>
      <c r="Z632" s="268">
        <f t="shared" ref="Z632:Z637" si="289">SUM(S632:Y632)</f>
        <v>0</v>
      </c>
    </row>
    <row r="633" spans="1:26" ht="15" thickTop="1" thickBot="1">
      <c r="A633" s="378" t="str">
        <f t="shared" si="287"/>
        <v>4234-48</v>
      </c>
      <c r="B633" s="3"/>
      <c r="C633" s="3"/>
      <c r="D633" s="52" t="s">
        <v>172</v>
      </c>
      <c r="E633" s="5" t="s">
        <v>3</v>
      </c>
      <c r="F633" s="269"/>
      <c r="G633" s="6"/>
      <c r="H633" s="7"/>
      <c r="I633" s="7"/>
      <c r="J633" s="7"/>
      <c r="K633" s="7"/>
      <c r="L633" s="7"/>
      <c r="M633" s="7"/>
      <c r="N633" s="15"/>
      <c r="O633" s="14">
        <f t="shared" si="288"/>
        <v>0</v>
      </c>
      <c r="Q633" s="252" t="s">
        <v>4</v>
      </c>
      <c r="R633" s="266">
        <f>78/19</f>
        <v>4.1052631578947372</v>
      </c>
      <c r="S633" s="266"/>
      <c r="T633" s="266"/>
      <c r="U633" s="266"/>
      <c r="V633" s="266"/>
      <c r="W633" s="266"/>
      <c r="X633" s="266"/>
      <c r="Y633" s="266"/>
      <c r="Z633" s="266">
        <f t="shared" si="289"/>
        <v>0</v>
      </c>
    </row>
    <row r="634" spans="1:26" ht="15" thickTop="1" thickBot="1">
      <c r="A634" s="378" t="str">
        <f t="shared" si="287"/>
        <v>4234-48</v>
      </c>
      <c r="B634" s="3"/>
      <c r="C634" s="3"/>
      <c r="D634" s="3"/>
      <c r="E634" s="5" t="s">
        <v>3</v>
      </c>
      <c r="F634" s="269"/>
      <c r="G634" s="6"/>
      <c r="H634" s="15"/>
      <c r="I634" s="15"/>
      <c r="J634" s="15"/>
      <c r="K634" s="15"/>
      <c r="L634" s="15"/>
      <c r="M634" s="15"/>
      <c r="N634" s="15"/>
      <c r="O634" s="16">
        <f t="shared" si="288"/>
        <v>0</v>
      </c>
      <c r="Q634" s="252" t="s">
        <v>6</v>
      </c>
      <c r="R634" s="266">
        <f>25/11</f>
        <v>2.2727272727272729</v>
      </c>
      <c r="S634" s="266"/>
      <c r="T634" s="266"/>
      <c r="U634" s="266"/>
      <c r="V634" s="266"/>
      <c r="W634" s="266"/>
      <c r="X634" s="266"/>
      <c r="Y634" s="266"/>
      <c r="Z634" s="266">
        <f t="shared" si="289"/>
        <v>0</v>
      </c>
    </row>
    <row r="635" spans="1:26" ht="15" thickTop="1" thickBot="1">
      <c r="A635" s="378" t="str">
        <f t="shared" si="287"/>
        <v>4234-48</v>
      </c>
      <c r="B635" s="3"/>
      <c r="C635" s="3"/>
      <c r="D635" s="3"/>
      <c r="E635" s="5" t="s">
        <v>3</v>
      </c>
      <c r="F635" s="269"/>
      <c r="G635" s="6"/>
      <c r="H635" s="8"/>
      <c r="I635" s="8"/>
      <c r="J635" s="8"/>
      <c r="K635" s="8"/>
      <c r="L635" s="8"/>
      <c r="M635" s="8"/>
      <c r="N635" s="15"/>
      <c r="O635" s="16">
        <f t="shared" si="288"/>
        <v>0</v>
      </c>
      <c r="Q635" s="266"/>
      <c r="R635" s="266"/>
      <c r="S635" s="266"/>
      <c r="T635" s="266"/>
      <c r="U635" s="266"/>
      <c r="V635" s="266"/>
      <c r="W635" s="266"/>
      <c r="X635" s="266"/>
      <c r="Y635" s="266"/>
      <c r="Z635" s="266">
        <f t="shared" si="289"/>
        <v>0</v>
      </c>
    </row>
    <row r="636" spans="1:26" ht="15" thickTop="1" thickBot="1">
      <c r="A636" s="379" t="str">
        <f t="shared" si="287"/>
        <v>4234-48</v>
      </c>
      <c r="B636" s="19"/>
      <c r="C636" s="19"/>
      <c r="D636" s="19"/>
      <c r="E636" s="20" t="s">
        <v>3</v>
      </c>
      <c r="F636" s="271"/>
      <c r="G636" s="21"/>
      <c r="H636" s="22"/>
      <c r="I636" s="22"/>
      <c r="J636" s="22"/>
      <c r="K636" s="22"/>
      <c r="L636" s="22"/>
      <c r="M636" s="22"/>
      <c r="N636" s="22"/>
      <c r="O636" s="23">
        <f t="shared" si="288"/>
        <v>0</v>
      </c>
      <c r="Q636" s="252" t="s">
        <v>2</v>
      </c>
      <c r="R636" s="272">
        <f>500/10.2</f>
        <v>49.019607843137258</v>
      </c>
      <c r="S636" s="252">
        <f>49*1.2</f>
        <v>58.8</v>
      </c>
      <c r="T636" s="252">
        <f>49*2.1</f>
        <v>102.9</v>
      </c>
      <c r="U636" s="252">
        <f>49*2.4</f>
        <v>117.6</v>
      </c>
      <c r="V636" s="252">
        <f>49*2.4</f>
        <v>117.6</v>
      </c>
      <c r="W636" s="252">
        <f>49*1.5</f>
        <v>73.5</v>
      </c>
      <c r="X636" s="252">
        <f>49*0.9</f>
        <v>44.1</v>
      </c>
      <c r="Y636" s="266"/>
      <c r="Z636" s="266">
        <f t="shared" si="289"/>
        <v>514.5</v>
      </c>
    </row>
    <row r="637" spans="1:26" ht="15" thickTop="1" thickBot="1">
      <c r="A637" s="380" t="str">
        <f t="shared" si="287"/>
        <v>4234-48</v>
      </c>
      <c r="B637" s="47"/>
      <c r="C637" s="47"/>
      <c r="D637" s="47"/>
      <c r="E637" s="48" t="s">
        <v>23</v>
      </c>
      <c r="F637" s="49" t="str">
        <f>+B630</f>
        <v>Lavinia</v>
      </c>
      <c r="G637" s="48"/>
      <c r="H637" s="48">
        <f>+H631-H632-H633-H634-H636+H635</f>
        <v>-10</v>
      </c>
      <c r="I637" s="48">
        <f>+I631-I632-I633-I634-I636+I635</f>
        <v>-15</v>
      </c>
      <c r="J637" s="48">
        <f>+J631-J632-J633-J634-J636-J635</f>
        <v>-13</v>
      </c>
      <c r="K637" s="48">
        <f>+K631-K632-K633-K634-K636-K635</f>
        <v>-11</v>
      </c>
      <c r="L637" s="48">
        <f>+L631-L632-L633-L634-L636-L635</f>
        <v>-10</v>
      </c>
      <c r="M637" s="48">
        <f>+M631-M632-M633-M634-M636-M635</f>
        <v>-3</v>
      </c>
      <c r="N637" s="48"/>
      <c r="O637" s="48">
        <f t="shared" si="288"/>
        <v>-62</v>
      </c>
      <c r="Q637" s="266"/>
      <c r="R637" s="266"/>
      <c r="S637" s="252">
        <f t="shared" ref="S637:X637" si="290">SUM(S633:S636)</f>
        <v>58.8</v>
      </c>
      <c r="T637" s="252">
        <f t="shared" si="290"/>
        <v>102.9</v>
      </c>
      <c r="U637" s="252">
        <f t="shared" si="290"/>
        <v>117.6</v>
      </c>
      <c r="V637" s="252">
        <f t="shared" si="290"/>
        <v>117.6</v>
      </c>
      <c r="W637" s="252">
        <f t="shared" si="290"/>
        <v>73.5</v>
      </c>
      <c r="X637" s="252">
        <f t="shared" si="290"/>
        <v>44.1</v>
      </c>
      <c r="Y637" s="252"/>
      <c r="Z637" s="252">
        <f t="shared" si="289"/>
        <v>514.5</v>
      </c>
    </row>
    <row r="638" spans="1:26" ht="15" thickTop="1" thickBot="1">
      <c r="A638" s="381" t="s">
        <v>7</v>
      </c>
      <c r="B638" s="43" t="s">
        <v>8</v>
      </c>
      <c r="C638" s="43"/>
      <c r="D638" s="43"/>
      <c r="E638" s="44" t="s">
        <v>9</v>
      </c>
      <c r="F638" s="45"/>
      <c r="G638" s="45"/>
      <c r="H638" s="44"/>
      <c r="I638" s="44"/>
      <c r="J638" s="44"/>
      <c r="K638" s="44"/>
      <c r="L638" s="44"/>
      <c r="M638" s="44"/>
      <c r="N638" s="44"/>
      <c r="O638" s="44"/>
    </row>
    <row r="639" spans="1:26" ht="15" thickTop="1" thickBot="1">
      <c r="A639" s="382" t="s">
        <v>179</v>
      </c>
      <c r="B639" s="38" t="s">
        <v>11</v>
      </c>
      <c r="C639" s="9" t="s">
        <v>12</v>
      </c>
      <c r="D639" s="9" t="s">
        <v>13</v>
      </c>
      <c r="E639" s="10"/>
      <c r="F639" s="256" t="s">
        <v>14</v>
      </c>
      <c r="G639" s="257">
        <v>34</v>
      </c>
      <c r="H639" s="257">
        <v>36</v>
      </c>
      <c r="I639" s="257">
        <v>38</v>
      </c>
      <c r="J639" s="257">
        <v>40</v>
      </c>
      <c r="K639" s="257">
        <v>42</v>
      </c>
      <c r="L639" s="257">
        <v>44</v>
      </c>
      <c r="M639" s="257">
        <v>46</v>
      </c>
      <c r="N639" s="257"/>
      <c r="O639" s="258" t="s">
        <v>15</v>
      </c>
      <c r="Q639" s="259" t="s">
        <v>14</v>
      </c>
      <c r="R639" s="259"/>
      <c r="S639" s="259">
        <v>36</v>
      </c>
      <c r="T639" s="259">
        <v>38</v>
      </c>
      <c r="U639" s="259">
        <v>40</v>
      </c>
      <c r="V639" s="259">
        <v>42</v>
      </c>
      <c r="W639" s="259">
        <v>44</v>
      </c>
      <c r="X639" s="259">
        <v>46</v>
      </c>
      <c r="Y639" s="259"/>
      <c r="Z639" s="259" t="s">
        <v>15</v>
      </c>
    </row>
    <row r="640" spans="1:26" ht="15" thickTop="1" thickBot="1">
      <c r="A640" s="383" t="str">
        <f t="shared" ref="A640:A646" si="291">+A639</f>
        <v>4235-00</v>
      </c>
      <c r="B640" s="39" t="s">
        <v>16</v>
      </c>
      <c r="C640" s="39"/>
      <c r="D640" s="39" t="str">
        <f>+B639</f>
        <v>Ibiza Blue</v>
      </c>
      <c r="E640" s="40"/>
      <c r="F640" s="261" t="s">
        <v>1</v>
      </c>
      <c r="G640" s="261"/>
      <c r="H640" s="262">
        <f>'BASE DATOS'!C74</f>
        <v>68</v>
      </c>
      <c r="I640" s="262">
        <f>'BASE DATOS'!D74</f>
        <v>123</v>
      </c>
      <c r="J640" s="262">
        <f>'BASE DATOS'!E74</f>
        <v>126</v>
      </c>
      <c r="K640" s="262">
        <f>'BASE DATOS'!F74</f>
        <v>121</v>
      </c>
      <c r="L640" s="262">
        <f>'BASE DATOS'!G74</f>
        <v>80</v>
      </c>
      <c r="M640" s="262">
        <f>'BASE DATOS'!H74</f>
        <v>57</v>
      </c>
      <c r="N640" s="262"/>
      <c r="O640" s="263">
        <f t="shared" ref="O640:O646" si="292">SUM(H640:N640)</f>
        <v>575</v>
      </c>
      <c r="Q640" s="264"/>
      <c r="R640" s="264"/>
      <c r="S640" s="264"/>
      <c r="T640" s="264"/>
      <c r="U640" s="264"/>
      <c r="V640" s="264"/>
      <c r="W640" s="264"/>
      <c r="X640" s="264"/>
      <c r="Y640" s="264"/>
      <c r="Z640" s="264">
        <f>SUBTOTAL(9,S640:Y640)</f>
        <v>0</v>
      </c>
    </row>
    <row r="641" spans="1:38" ht="15" thickTop="1" thickBot="1">
      <c r="A641" s="383" t="str">
        <f t="shared" si="291"/>
        <v>4235-00</v>
      </c>
      <c r="B641" s="3">
        <v>46041</v>
      </c>
      <c r="C641" s="4" t="s">
        <v>17</v>
      </c>
      <c r="D641" s="4" t="s">
        <v>18</v>
      </c>
      <c r="E641" s="5" t="s">
        <v>3</v>
      </c>
      <c r="F641" s="265">
        <v>11545</v>
      </c>
      <c r="G641" s="2"/>
      <c r="H641" s="7">
        <f>100-H650</f>
        <v>73</v>
      </c>
      <c r="I641" s="7">
        <f>135-I650</f>
        <v>121</v>
      </c>
      <c r="J641" s="7">
        <f>145-J650</f>
        <v>121</v>
      </c>
      <c r="K641" s="7">
        <f>135-K650</f>
        <v>116</v>
      </c>
      <c r="L641" s="7">
        <f>120-L650</f>
        <v>82</v>
      </c>
      <c r="M641" s="7">
        <f>65-M650</f>
        <v>57</v>
      </c>
      <c r="N641" s="8"/>
      <c r="O641" s="14">
        <f t="shared" si="292"/>
        <v>570</v>
      </c>
      <c r="Q641" s="252" t="s">
        <v>19</v>
      </c>
      <c r="R641" s="266"/>
      <c r="S641" s="266"/>
      <c r="T641" s="266"/>
      <c r="U641" s="266"/>
      <c r="V641" s="266"/>
      <c r="W641" s="266"/>
      <c r="X641" s="266"/>
      <c r="Y641" s="267"/>
      <c r="Z641" s="268">
        <f t="shared" ref="Z641:Z646" si="293">SUM(S641:Y641)</f>
        <v>0</v>
      </c>
      <c r="AC641" s="275" t="s">
        <v>3</v>
      </c>
      <c r="AD641" s="276">
        <v>46092</v>
      </c>
      <c r="AE641" s="275">
        <v>36</v>
      </c>
      <c r="AF641" s="275">
        <v>38</v>
      </c>
      <c r="AG641" s="275">
        <v>40</v>
      </c>
      <c r="AH641" s="275">
        <v>42</v>
      </c>
      <c r="AI641" s="277">
        <v>44</v>
      </c>
      <c r="AJ641" s="277">
        <v>46</v>
      </c>
      <c r="AK641" s="277" t="s">
        <v>28</v>
      </c>
      <c r="AL641" s="426"/>
    </row>
    <row r="642" spans="1:38" ht="15" thickTop="1" thickBot="1">
      <c r="A642" s="383" t="str">
        <f t="shared" si="291"/>
        <v>4235-00</v>
      </c>
      <c r="B642" s="3">
        <v>46092</v>
      </c>
      <c r="C642" s="3"/>
      <c r="D642" s="3"/>
      <c r="E642" s="5" t="s">
        <v>3</v>
      </c>
      <c r="F642" s="269" t="s">
        <v>180</v>
      </c>
      <c r="G642" s="6"/>
      <c r="H642" s="7">
        <f>26-H651</f>
        <v>23</v>
      </c>
      <c r="I642" s="7">
        <f>96-I651</f>
        <v>60</v>
      </c>
      <c r="J642" s="7">
        <f>96-J651</f>
        <v>65</v>
      </c>
      <c r="K642" s="7">
        <f>96-K651</f>
        <v>61</v>
      </c>
      <c r="L642" s="7">
        <f>44-L651</f>
        <v>41</v>
      </c>
      <c r="M642" s="7">
        <f>44-M651</f>
        <v>23</v>
      </c>
      <c r="N642" s="15"/>
      <c r="O642" s="14">
        <f t="shared" si="292"/>
        <v>273</v>
      </c>
      <c r="Q642" s="252" t="s">
        <v>4</v>
      </c>
      <c r="R642" s="266">
        <f>78/19</f>
        <v>4.1052631578947372</v>
      </c>
      <c r="S642" s="266"/>
      <c r="T642" s="266"/>
      <c r="U642" s="266"/>
      <c r="V642" s="266"/>
      <c r="W642" s="266"/>
      <c r="X642" s="266"/>
      <c r="Y642" s="266"/>
      <c r="Z642" s="266">
        <f t="shared" si="293"/>
        <v>0</v>
      </c>
      <c r="AC642" s="279" t="s">
        <v>29</v>
      </c>
      <c r="AD642" s="429">
        <v>11567</v>
      </c>
      <c r="AE642" s="279">
        <v>26</v>
      </c>
      <c r="AF642" s="279">
        <v>96</v>
      </c>
      <c r="AG642" s="279">
        <v>98</v>
      </c>
      <c r="AH642" s="279">
        <v>96</v>
      </c>
      <c r="AI642" s="279">
        <v>40</v>
      </c>
      <c r="AJ642" s="279">
        <v>44</v>
      </c>
      <c r="AK642" s="275">
        <f>SUM(AE642:AJ642)</f>
        <v>400</v>
      </c>
      <c r="AL642" s="275"/>
    </row>
    <row r="643" spans="1:38" ht="15" thickTop="1" thickBot="1">
      <c r="A643" s="383" t="str">
        <f t="shared" si="291"/>
        <v>4235-00</v>
      </c>
      <c r="B643" s="3"/>
      <c r="C643" s="3"/>
      <c r="D643" s="3"/>
      <c r="E643" s="5" t="s">
        <v>3</v>
      </c>
      <c r="F643" s="269"/>
      <c r="G643" s="6"/>
      <c r="H643" s="15"/>
      <c r="I643" s="15"/>
      <c r="J643" s="15"/>
      <c r="K643" s="15"/>
      <c r="L643" s="15"/>
      <c r="M643" s="15"/>
      <c r="N643" s="15"/>
      <c r="O643" s="16">
        <f t="shared" si="292"/>
        <v>0</v>
      </c>
      <c r="Q643" s="252" t="s">
        <v>6</v>
      </c>
      <c r="R643" s="266">
        <f>25/11</f>
        <v>2.2727272727272729</v>
      </c>
      <c r="S643" s="266"/>
      <c r="T643" s="266"/>
      <c r="U643" s="266"/>
      <c r="V643" s="266"/>
      <c r="W643" s="266"/>
      <c r="X643" s="266"/>
      <c r="Y643" s="266"/>
      <c r="Z643" s="266">
        <f t="shared" si="293"/>
        <v>0</v>
      </c>
      <c r="AC643" s="281" t="s">
        <v>30</v>
      </c>
      <c r="AD643" s="430">
        <v>4235</v>
      </c>
    </row>
    <row r="644" spans="1:38" ht="15" thickTop="1" thickBot="1">
      <c r="A644" s="383" t="str">
        <f t="shared" si="291"/>
        <v>4235-00</v>
      </c>
      <c r="B644" s="3"/>
      <c r="C644" s="3"/>
      <c r="D644" s="3"/>
      <c r="E644" s="5" t="s">
        <v>3</v>
      </c>
      <c r="F644" s="269"/>
      <c r="G644" s="6"/>
      <c r="H644" s="8"/>
      <c r="I644" s="8"/>
      <c r="J644" s="8"/>
      <c r="K644" s="8"/>
      <c r="L644" s="8"/>
      <c r="M644" s="8"/>
      <c r="N644" s="15"/>
      <c r="O644" s="16">
        <f t="shared" si="292"/>
        <v>0</v>
      </c>
      <c r="Q644" s="266"/>
      <c r="R644" s="266"/>
      <c r="S644" s="266"/>
      <c r="T644" s="266"/>
      <c r="U644" s="266"/>
      <c r="V644" s="266"/>
      <c r="W644" s="266"/>
      <c r="X644" s="266"/>
      <c r="Y644" s="266"/>
      <c r="Z644" s="266">
        <f t="shared" si="293"/>
        <v>0</v>
      </c>
      <c r="AC644" s="279" t="s">
        <v>32</v>
      </c>
      <c r="AD644" s="429" t="s">
        <v>11</v>
      </c>
    </row>
    <row r="645" spans="1:38" ht="15" thickTop="1" thickBot="1">
      <c r="A645" s="384" t="str">
        <f t="shared" si="291"/>
        <v>4235-00</v>
      </c>
      <c r="B645" s="19"/>
      <c r="C645" s="19"/>
      <c r="D645" s="19"/>
      <c r="E645" s="20" t="s">
        <v>3</v>
      </c>
      <c r="F645" s="271"/>
      <c r="G645" s="21"/>
      <c r="H645" s="22"/>
      <c r="I645" s="22"/>
      <c r="J645" s="22"/>
      <c r="K645" s="22"/>
      <c r="L645" s="22"/>
      <c r="M645" s="22"/>
      <c r="N645" s="22"/>
      <c r="O645" s="23">
        <f t="shared" si="292"/>
        <v>0</v>
      </c>
      <c r="Q645" s="252" t="s">
        <v>2</v>
      </c>
      <c r="R645" s="272">
        <f>500/10.2</f>
        <v>49.019607843137258</v>
      </c>
      <c r="S645" s="252">
        <f>49*1.2</f>
        <v>58.8</v>
      </c>
      <c r="T645" s="252">
        <f>49*2.1</f>
        <v>102.9</v>
      </c>
      <c r="U645" s="252">
        <f>49*2.4</f>
        <v>117.6</v>
      </c>
      <c r="V645" s="252">
        <f>49*2.4</f>
        <v>117.6</v>
      </c>
      <c r="W645" s="252">
        <f>49*1.5</f>
        <v>73.5</v>
      </c>
      <c r="X645" s="252">
        <f>49*0.9</f>
        <v>44.1</v>
      </c>
      <c r="Y645" s="266"/>
      <c r="Z645" s="266">
        <f t="shared" si="293"/>
        <v>514.5</v>
      </c>
      <c r="AC645" s="279" t="s">
        <v>12</v>
      </c>
      <c r="AD645" s="429" t="s">
        <v>13</v>
      </c>
    </row>
    <row r="646" spans="1:38" ht="15" thickTop="1" thickBot="1">
      <c r="A646" s="385" t="str">
        <f t="shared" si="291"/>
        <v>4235-00</v>
      </c>
      <c r="B646" s="47"/>
      <c r="C646" s="47"/>
      <c r="D646" s="47"/>
      <c r="E646" s="48" t="s">
        <v>23</v>
      </c>
      <c r="F646" s="49" t="str">
        <f>+B639</f>
        <v>Ibiza Blue</v>
      </c>
      <c r="G646" s="48"/>
      <c r="H646" s="48">
        <f>+H640-H641-H642-H643-H645+H644</f>
        <v>-28</v>
      </c>
      <c r="I646" s="48">
        <f>+I640-I641-I642-I643-I645+I644</f>
        <v>-58</v>
      </c>
      <c r="J646" s="48">
        <f>+J640-J641-J642-J643-J645-J644</f>
        <v>-60</v>
      </c>
      <c r="K646" s="48">
        <f>+K640-K641-K642-K643-K645-K644</f>
        <v>-56</v>
      </c>
      <c r="L646" s="48">
        <f>+L640-L641-L642-L643-L645-L644</f>
        <v>-43</v>
      </c>
      <c r="M646" s="48">
        <f>+M640-M641-M642-M643-M645-M644</f>
        <v>-23</v>
      </c>
      <c r="N646" s="48"/>
      <c r="O646" s="48">
        <f t="shared" si="292"/>
        <v>-268</v>
      </c>
      <c r="Q646" s="266"/>
      <c r="R646" s="266"/>
      <c r="S646" s="252">
        <f t="shared" ref="S646:X646" si="294">SUM(S642:S645)</f>
        <v>58.8</v>
      </c>
      <c r="T646" s="252">
        <f t="shared" si="294"/>
        <v>102.9</v>
      </c>
      <c r="U646" s="252">
        <f t="shared" si="294"/>
        <v>117.6</v>
      </c>
      <c r="V646" s="252">
        <f t="shared" si="294"/>
        <v>117.6</v>
      </c>
      <c r="W646" s="252">
        <f t="shared" si="294"/>
        <v>73.5</v>
      </c>
      <c r="X646" s="252">
        <f t="shared" si="294"/>
        <v>44.1</v>
      </c>
      <c r="Y646" s="252"/>
      <c r="Z646" s="252">
        <f t="shared" si="293"/>
        <v>514.5</v>
      </c>
      <c r="AC646" s="279" t="s">
        <v>17</v>
      </c>
      <c r="AD646" s="429" t="s">
        <v>18</v>
      </c>
    </row>
    <row r="647" spans="1:38" ht="15" thickTop="1" thickBot="1">
      <c r="A647" s="381" t="s">
        <v>7</v>
      </c>
      <c r="B647" s="43" t="s">
        <v>8</v>
      </c>
      <c r="C647" s="43"/>
      <c r="D647" s="43"/>
      <c r="E647" s="44" t="s">
        <v>9</v>
      </c>
      <c r="F647" s="45"/>
      <c r="G647" s="45"/>
      <c r="H647" s="44"/>
      <c r="I647" s="44"/>
      <c r="J647" s="44"/>
      <c r="K647" s="44"/>
      <c r="L647" s="44"/>
      <c r="M647" s="44"/>
      <c r="N647" s="44"/>
      <c r="O647" s="44"/>
    </row>
    <row r="648" spans="1:38" ht="15" thickTop="1" thickBot="1">
      <c r="A648" s="382" t="s">
        <v>181</v>
      </c>
      <c r="B648" s="38" t="s">
        <v>11</v>
      </c>
      <c r="C648" s="9" t="s">
        <v>12</v>
      </c>
      <c r="D648" s="9" t="s">
        <v>13</v>
      </c>
      <c r="E648" s="10"/>
      <c r="F648" s="256" t="s">
        <v>14</v>
      </c>
      <c r="G648" s="257">
        <v>34</v>
      </c>
      <c r="H648" s="257">
        <v>36</v>
      </c>
      <c r="I648" s="257">
        <v>38</v>
      </c>
      <c r="J648" s="257">
        <v>40</v>
      </c>
      <c r="K648" s="257">
        <v>42</v>
      </c>
      <c r="L648" s="257">
        <v>44</v>
      </c>
      <c r="M648" s="257">
        <v>46</v>
      </c>
      <c r="N648" s="257"/>
      <c r="O648" s="258" t="s">
        <v>15</v>
      </c>
      <c r="Q648" s="259" t="s">
        <v>14</v>
      </c>
      <c r="R648" s="259"/>
      <c r="S648" s="259">
        <v>36</v>
      </c>
      <c r="T648" s="259">
        <v>38</v>
      </c>
      <c r="U648" s="259">
        <v>40</v>
      </c>
      <c r="V648" s="259">
        <v>42</v>
      </c>
      <c r="W648" s="259">
        <v>44</v>
      </c>
      <c r="X648" s="259">
        <v>46</v>
      </c>
      <c r="Y648" s="259"/>
      <c r="Z648" s="259" t="s">
        <v>15</v>
      </c>
    </row>
    <row r="649" spans="1:38" ht="15" thickTop="1" thickBot="1">
      <c r="A649" s="383" t="str">
        <f t="shared" ref="A649:A655" si="295">+A648</f>
        <v>4235-01</v>
      </c>
      <c r="B649" s="39" t="s">
        <v>16</v>
      </c>
      <c r="C649" s="39"/>
      <c r="D649" s="39" t="str">
        <f>+B648</f>
        <v>Ibiza Blue</v>
      </c>
      <c r="E649" s="40"/>
      <c r="F649" s="261" t="s">
        <v>1</v>
      </c>
      <c r="G649" s="261"/>
      <c r="H649" s="262">
        <f>'BASE DATOS'!C75</f>
        <v>27</v>
      </c>
      <c r="I649" s="262">
        <f>'BASE DATOS'!D75</f>
        <v>46</v>
      </c>
      <c r="J649" s="262">
        <f>'BASE DATOS'!E75</f>
        <v>51</v>
      </c>
      <c r="K649" s="262">
        <f>'BASE DATOS'!F75</f>
        <v>49</v>
      </c>
      <c r="L649" s="262">
        <f>'BASE DATOS'!G75</f>
        <v>37</v>
      </c>
      <c r="M649" s="262">
        <f>'BASE DATOS'!H75</f>
        <v>27</v>
      </c>
      <c r="N649" s="262"/>
      <c r="O649" s="263">
        <f t="shared" ref="O649:O655" si="296">SUM(H649:N649)</f>
        <v>237</v>
      </c>
      <c r="Q649" s="264"/>
      <c r="R649" s="264"/>
      <c r="S649" s="264"/>
      <c r="T649" s="264"/>
      <c r="U649" s="264"/>
      <c r="V649" s="264"/>
      <c r="W649" s="264"/>
      <c r="X649" s="264"/>
      <c r="Y649" s="264"/>
      <c r="Z649" s="264">
        <f>SUBTOTAL(9,S649:Y649)</f>
        <v>0</v>
      </c>
    </row>
    <row r="650" spans="1:38" ht="15" thickTop="1" thickBot="1">
      <c r="A650" s="383" t="str">
        <f t="shared" si="295"/>
        <v>4235-01</v>
      </c>
      <c r="B650" s="3"/>
      <c r="C650" s="4" t="s">
        <v>17</v>
      </c>
      <c r="D650" s="4" t="s">
        <v>18</v>
      </c>
      <c r="E650" s="5" t="s">
        <v>3</v>
      </c>
      <c r="F650" s="265">
        <v>11545</v>
      </c>
      <c r="G650" s="2"/>
      <c r="H650" s="7">
        <v>27</v>
      </c>
      <c r="I650" s="7">
        <v>14</v>
      </c>
      <c r="J650" s="7">
        <v>24</v>
      </c>
      <c r="K650" s="7">
        <v>19</v>
      </c>
      <c r="L650" s="7">
        <v>38</v>
      </c>
      <c r="M650" s="7">
        <v>8</v>
      </c>
      <c r="N650" s="8"/>
      <c r="O650" s="14">
        <f t="shared" si="296"/>
        <v>130</v>
      </c>
      <c r="Q650" s="252" t="s">
        <v>19</v>
      </c>
      <c r="R650" s="266"/>
      <c r="S650" s="266"/>
      <c r="T650" s="266"/>
      <c r="U650" s="266"/>
      <c r="V650" s="266"/>
      <c r="W650" s="266"/>
      <c r="X650" s="266"/>
      <c r="Y650" s="267"/>
      <c r="Z650" s="268">
        <f t="shared" ref="Z650:Z655" si="297">SUM(S650:Y650)</f>
        <v>0</v>
      </c>
    </row>
    <row r="651" spans="1:38" ht="15" thickTop="1" thickBot="1">
      <c r="A651" s="383" t="str">
        <f t="shared" si="295"/>
        <v>4235-01</v>
      </c>
      <c r="B651" s="3"/>
      <c r="C651" s="3"/>
      <c r="D651" s="3"/>
      <c r="E651" s="5" t="s">
        <v>3</v>
      </c>
      <c r="F651" s="269" t="s">
        <v>180</v>
      </c>
      <c r="G651" s="6"/>
      <c r="H651" s="7">
        <v>3</v>
      </c>
      <c r="I651" s="7">
        <v>36</v>
      </c>
      <c r="J651" s="7">
        <v>31</v>
      </c>
      <c r="K651" s="7">
        <v>35</v>
      </c>
      <c r="L651" s="7">
        <v>3</v>
      </c>
      <c r="M651" s="7">
        <v>21</v>
      </c>
      <c r="N651" s="15"/>
      <c r="O651" s="14">
        <f t="shared" si="296"/>
        <v>129</v>
      </c>
      <c r="Q651" s="252" t="s">
        <v>4</v>
      </c>
      <c r="R651" s="266">
        <f>78/19</f>
        <v>4.1052631578947372</v>
      </c>
      <c r="S651" s="266"/>
      <c r="T651" s="266"/>
      <c r="U651" s="266"/>
      <c r="V651" s="266"/>
      <c r="W651" s="266"/>
      <c r="X651" s="266"/>
      <c r="Y651" s="266"/>
      <c r="Z651" s="266">
        <f t="shared" si="297"/>
        <v>0</v>
      </c>
    </row>
    <row r="652" spans="1:38" ht="15" thickTop="1" thickBot="1">
      <c r="A652" s="383" t="str">
        <f t="shared" si="295"/>
        <v>4235-01</v>
      </c>
      <c r="B652" s="3"/>
      <c r="C652" s="3"/>
      <c r="D652" s="3"/>
      <c r="E652" s="5" t="s">
        <v>3</v>
      </c>
      <c r="F652" s="269"/>
      <c r="G652" s="6"/>
      <c r="H652" s="15"/>
      <c r="I652" s="15"/>
      <c r="J652" s="15"/>
      <c r="K652" s="15"/>
      <c r="L652" s="15"/>
      <c r="M652" s="15"/>
      <c r="N652" s="15"/>
      <c r="O652" s="16">
        <f t="shared" si="296"/>
        <v>0</v>
      </c>
      <c r="Q652" s="252" t="s">
        <v>6</v>
      </c>
      <c r="R652" s="266">
        <f>25/11</f>
        <v>2.2727272727272729</v>
      </c>
      <c r="S652" s="266"/>
      <c r="T652" s="266"/>
      <c r="U652" s="266"/>
      <c r="V652" s="266"/>
      <c r="W652" s="266"/>
      <c r="X652" s="266"/>
      <c r="Y652" s="266"/>
      <c r="Z652" s="266">
        <f t="shared" si="297"/>
        <v>0</v>
      </c>
    </row>
    <row r="653" spans="1:38" ht="15" thickTop="1" thickBot="1">
      <c r="A653" s="383" t="str">
        <f t="shared" si="295"/>
        <v>4235-01</v>
      </c>
      <c r="B653" s="3"/>
      <c r="C653" s="3"/>
      <c r="D653" s="3"/>
      <c r="E653" s="5" t="s">
        <v>3</v>
      </c>
      <c r="F653" s="269"/>
      <c r="G653" s="6"/>
      <c r="H653" s="8"/>
      <c r="I653" s="8"/>
      <c r="J653" s="8"/>
      <c r="K653" s="8"/>
      <c r="L653" s="8"/>
      <c r="M653" s="8"/>
      <c r="N653" s="15"/>
      <c r="O653" s="16">
        <f t="shared" si="296"/>
        <v>0</v>
      </c>
      <c r="Q653" s="266"/>
      <c r="R653" s="266"/>
      <c r="S653" s="266"/>
      <c r="T653" s="266"/>
      <c r="U653" s="266"/>
      <c r="V653" s="266"/>
      <c r="W653" s="266"/>
      <c r="X653" s="266"/>
      <c r="Y653" s="266"/>
      <c r="Z653" s="266">
        <f t="shared" si="297"/>
        <v>0</v>
      </c>
    </row>
    <row r="654" spans="1:38" ht="15" thickTop="1" thickBot="1">
      <c r="A654" s="384" t="str">
        <f t="shared" si="295"/>
        <v>4235-01</v>
      </c>
      <c r="B654" s="19"/>
      <c r="C654" s="19"/>
      <c r="D654" s="19"/>
      <c r="E654" s="20" t="s">
        <v>3</v>
      </c>
      <c r="F654" s="271"/>
      <c r="G654" s="21"/>
      <c r="H654" s="22"/>
      <c r="I654" s="22"/>
      <c r="J654" s="22"/>
      <c r="K654" s="22"/>
      <c r="L654" s="22"/>
      <c r="M654" s="22"/>
      <c r="N654" s="22"/>
      <c r="O654" s="23">
        <f t="shared" si="296"/>
        <v>0</v>
      </c>
      <c r="Q654" s="252" t="s">
        <v>2</v>
      </c>
      <c r="R654" s="272">
        <f>500/10.2</f>
        <v>49.019607843137258</v>
      </c>
      <c r="S654" s="252">
        <f>49*1.2</f>
        <v>58.8</v>
      </c>
      <c r="T654" s="252">
        <f>49*2.1</f>
        <v>102.9</v>
      </c>
      <c r="U654" s="252">
        <f>49*2.4</f>
        <v>117.6</v>
      </c>
      <c r="V654" s="252">
        <f>49*2.4</f>
        <v>117.6</v>
      </c>
      <c r="W654" s="252">
        <f>49*1.5</f>
        <v>73.5</v>
      </c>
      <c r="X654" s="252">
        <f>49*0.9</f>
        <v>44.1</v>
      </c>
      <c r="Y654" s="266"/>
      <c r="Z654" s="266">
        <f t="shared" si="297"/>
        <v>514.5</v>
      </c>
    </row>
    <row r="655" spans="1:38" ht="15" thickTop="1" thickBot="1">
      <c r="A655" s="385" t="str">
        <f t="shared" si="295"/>
        <v>4235-01</v>
      </c>
      <c r="B655" s="47"/>
      <c r="C655" s="47"/>
      <c r="D655" s="47"/>
      <c r="E655" s="48" t="s">
        <v>23</v>
      </c>
      <c r="F655" s="49" t="str">
        <f>+B648</f>
        <v>Ibiza Blue</v>
      </c>
      <c r="G655" s="48"/>
      <c r="H655" s="48">
        <f>+H649-H650-H651-H652-H654+H653</f>
        <v>-3</v>
      </c>
      <c r="I655" s="48">
        <f>+I649-I650-I651-I652-I654+I653</f>
        <v>-4</v>
      </c>
      <c r="J655" s="48">
        <f>+J649-J650-J651-J652-J654-J653</f>
        <v>-4</v>
      </c>
      <c r="K655" s="48">
        <f>+K649-K650-K651-K652-K654-K653</f>
        <v>-5</v>
      </c>
      <c r="L655" s="48">
        <f>+L649-L650-L651-L652-L654-L653</f>
        <v>-4</v>
      </c>
      <c r="M655" s="48">
        <f>+M649-M650-M651-M652-M654-M653</f>
        <v>-2</v>
      </c>
      <c r="N655" s="48"/>
      <c r="O655" s="48">
        <f t="shared" si="296"/>
        <v>-22</v>
      </c>
      <c r="Q655" s="266"/>
      <c r="R655" s="266"/>
      <c r="S655" s="252">
        <f t="shared" ref="S655:X655" si="298">SUM(S651:S654)</f>
        <v>58.8</v>
      </c>
      <c r="T655" s="252">
        <f t="shared" si="298"/>
        <v>102.9</v>
      </c>
      <c r="U655" s="252">
        <f t="shared" si="298"/>
        <v>117.6</v>
      </c>
      <c r="V655" s="252">
        <f t="shared" si="298"/>
        <v>117.6</v>
      </c>
      <c r="W655" s="252">
        <f t="shared" si="298"/>
        <v>73.5</v>
      </c>
      <c r="X655" s="252">
        <f t="shared" si="298"/>
        <v>44.1</v>
      </c>
      <c r="Y655" s="252"/>
      <c r="Z655" s="252">
        <f t="shared" si="297"/>
        <v>514.5</v>
      </c>
    </row>
    <row r="656" spans="1:38" ht="15" thickTop="1" thickBot="1">
      <c r="A656" s="274" t="s">
        <v>7</v>
      </c>
      <c r="B656" s="43" t="s">
        <v>8</v>
      </c>
      <c r="C656" s="43"/>
      <c r="D656" s="43"/>
      <c r="E656" s="44" t="s">
        <v>9</v>
      </c>
      <c r="F656" s="45"/>
      <c r="G656" s="45"/>
      <c r="H656" s="44"/>
      <c r="I656" s="44"/>
      <c r="J656" s="44"/>
      <c r="K656" s="44"/>
      <c r="L656" s="44"/>
      <c r="M656" s="44"/>
      <c r="N656" s="44"/>
      <c r="O656" s="44"/>
      <c r="AC656" s="275" t="s">
        <v>3</v>
      </c>
      <c r="AD656" s="276">
        <v>46072</v>
      </c>
      <c r="AE656" s="275">
        <v>36</v>
      </c>
      <c r="AF656" s="275">
        <v>38</v>
      </c>
      <c r="AG656" s="275">
        <v>40</v>
      </c>
      <c r="AH656" s="275">
        <v>42</v>
      </c>
      <c r="AI656" s="277">
        <v>44</v>
      </c>
      <c r="AJ656" s="277">
        <v>46</v>
      </c>
      <c r="AK656" s="277" t="s">
        <v>28</v>
      </c>
    </row>
    <row r="657" spans="1:37" ht="15" thickTop="1" thickBot="1">
      <c r="A657" s="278" t="s">
        <v>182</v>
      </c>
      <c r="B657" s="38" t="s">
        <v>85</v>
      </c>
      <c r="C657" s="9" t="s">
        <v>12</v>
      </c>
      <c r="D657" s="9" t="s">
        <v>13</v>
      </c>
      <c r="E657" s="10"/>
      <c r="F657" s="256" t="s">
        <v>14</v>
      </c>
      <c r="G657" s="257">
        <v>34</v>
      </c>
      <c r="H657" s="257">
        <v>36</v>
      </c>
      <c r="I657" s="257">
        <v>38</v>
      </c>
      <c r="J657" s="257">
        <v>40</v>
      </c>
      <c r="K657" s="257">
        <v>42</v>
      </c>
      <c r="L657" s="257">
        <v>44</v>
      </c>
      <c r="M657" s="257">
        <v>46</v>
      </c>
      <c r="N657" s="257"/>
      <c r="O657" s="258" t="s">
        <v>15</v>
      </c>
      <c r="Q657" s="259" t="s">
        <v>14</v>
      </c>
      <c r="R657" s="259"/>
      <c r="S657" s="259">
        <v>36</v>
      </c>
      <c r="T657" s="259">
        <v>38</v>
      </c>
      <c r="U657" s="259">
        <v>40</v>
      </c>
      <c r="V657" s="259">
        <v>42</v>
      </c>
      <c r="W657" s="259">
        <v>44</v>
      </c>
      <c r="X657" s="259">
        <v>46</v>
      </c>
      <c r="Y657" s="259"/>
      <c r="Z657" s="259" t="s">
        <v>15</v>
      </c>
      <c r="AC657" s="279" t="s">
        <v>29</v>
      </c>
      <c r="AD657" s="275">
        <v>11562</v>
      </c>
      <c r="AE657" s="279">
        <f t="shared" ref="AE657:AJ657" si="299">+H659+H660</f>
        <v>54</v>
      </c>
      <c r="AF657" s="279">
        <f t="shared" si="299"/>
        <v>110</v>
      </c>
      <c r="AG657" s="279">
        <f t="shared" si="299"/>
        <v>114</v>
      </c>
      <c r="AH657" s="279">
        <f t="shared" si="299"/>
        <v>100</v>
      </c>
      <c r="AI657" s="279">
        <f t="shared" si="299"/>
        <v>70</v>
      </c>
      <c r="AJ657" s="279">
        <f t="shared" si="299"/>
        <v>50</v>
      </c>
      <c r="AK657" s="275">
        <f>SUM(AE657:AJ657)</f>
        <v>498</v>
      </c>
    </row>
    <row r="658" spans="1:37" ht="15" thickTop="1" thickBot="1">
      <c r="A658" s="280" t="str">
        <f t="shared" ref="A658:A664" si="300">+A657</f>
        <v>4236-00</v>
      </c>
      <c r="B658" s="39" t="s">
        <v>16</v>
      </c>
      <c r="C658" s="39"/>
      <c r="D658" s="39" t="str">
        <f>+B657</f>
        <v>Missy Plus</v>
      </c>
      <c r="E658" s="40"/>
      <c r="F658" s="261" t="s">
        <v>1</v>
      </c>
      <c r="G658" s="261"/>
      <c r="H658" s="262">
        <f>'BASE DATOS'!C76</f>
        <v>39</v>
      </c>
      <c r="I658" s="262">
        <f>'BASE DATOS'!D76</f>
        <v>79</v>
      </c>
      <c r="J658" s="262">
        <f>'BASE DATOS'!E76</f>
        <v>82</v>
      </c>
      <c r="K658" s="262">
        <f>'BASE DATOS'!F76</f>
        <v>74</v>
      </c>
      <c r="L658" s="262">
        <f>'BASE DATOS'!G76</f>
        <v>51</v>
      </c>
      <c r="M658" s="262">
        <f>'BASE DATOS'!H76</f>
        <v>36</v>
      </c>
      <c r="N658" s="262"/>
      <c r="O658" s="263">
        <f t="shared" ref="O658:O664" si="301">SUM(H658:N658)</f>
        <v>361</v>
      </c>
      <c r="Q658" s="264"/>
      <c r="R658" s="264"/>
      <c r="S658" s="264"/>
      <c r="T658" s="264"/>
      <c r="U658" s="264"/>
      <c r="V658" s="264"/>
      <c r="W658" s="264"/>
      <c r="X658" s="264"/>
      <c r="Y658" s="264"/>
      <c r="Z658" s="264">
        <f>SUBTOTAL(9,S658:Y658)</f>
        <v>0</v>
      </c>
      <c r="AC658" s="281" t="s">
        <v>30</v>
      </c>
      <c r="AD658" s="282">
        <v>4236</v>
      </c>
    </row>
    <row r="659" spans="1:37" ht="15" thickTop="1" thickBot="1">
      <c r="A659" s="280" t="str">
        <f t="shared" si="300"/>
        <v>4236-00</v>
      </c>
      <c r="B659" s="3">
        <v>46072</v>
      </c>
      <c r="C659" s="4" t="s">
        <v>17</v>
      </c>
      <c r="D659" s="4" t="s">
        <v>152</v>
      </c>
      <c r="E659" s="5" t="s">
        <v>3</v>
      </c>
      <c r="F659" s="265">
        <v>11562</v>
      </c>
      <c r="G659" s="2"/>
      <c r="H659" s="7">
        <v>54</v>
      </c>
      <c r="I659" s="7">
        <v>110</v>
      </c>
      <c r="J659" s="7">
        <v>114</v>
      </c>
      <c r="K659" s="7">
        <v>100</v>
      </c>
      <c r="L659" s="7">
        <v>70</v>
      </c>
      <c r="M659" s="7">
        <v>50</v>
      </c>
      <c r="N659" s="8"/>
      <c r="O659" s="14">
        <f t="shared" si="301"/>
        <v>498</v>
      </c>
      <c r="Q659" s="252" t="s">
        <v>19</v>
      </c>
      <c r="R659" s="266"/>
      <c r="S659" s="266"/>
      <c r="T659" s="266"/>
      <c r="U659" s="266"/>
      <c r="V659" s="266"/>
      <c r="W659" s="266"/>
      <c r="X659" s="266"/>
      <c r="Y659" s="267"/>
      <c r="Z659" s="268">
        <f t="shared" ref="Z659:Z664" si="302">SUM(S659:Y659)</f>
        <v>0</v>
      </c>
      <c r="AC659" s="279" t="s">
        <v>32</v>
      </c>
      <c r="AD659" s="275" t="s">
        <v>85</v>
      </c>
    </row>
    <row r="660" spans="1:37" ht="15" thickTop="1" thickBot="1">
      <c r="A660" s="280" t="str">
        <f t="shared" si="300"/>
        <v>4236-00</v>
      </c>
      <c r="B660" s="3"/>
      <c r="C660" s="3"/>
      <c r="D660" s="3"/>
      <c r="E660" s="5" t="s">
        <v>3</v>
      </c>
      <c r="F660" s="269"/>
      <c r="G660" s="6"/>
      <c r="H660" s="7"/>
      <c r="I660" s="7"/>
      <c r="J660" s="7"/>
      <c r="K660" s="7"/>
      <c r="L660" s="7"/>
      <c r="M660" s="7"/>
      <c r="N660" s="15"/>
      <c r="O660" s="14">
        <f t="shared" si="301"/>
        <v>0</v>
      </c>
      <c r="Q660" s="252" t="s">
        <v>4</v>
      </c>
      <c r="R660" s="266">
        <f>78/19</f>
        <v>4.1052631578947372</v>
      </c>
      <c r="S660" s="266"/>
      <c r="T660" s="266"/>
      <c r="U660" s="266"/>
      <c r="V660" s="266"/>
      <c r="W660" s="266"/>
      <c r="X660" s="266"/>
      <c r="Y660" s="266"/>
      <c r="Z660" s="266">
        <f t="shared" si="302"/>
        <v>0</v>
      </c>
      <c r="AC660" s="279" t="s">
        <v>12</v>
      </c>
      <c r="AD660" s="275" t="s">
        <v>13</v>
      </c>
    </row>
    <row r="661" spans="1:37" ht="15" thickTop="1" thickBot="1">
      <c r="A661" s="280" t="str">
        <f t="shared" si="300"/>
        <v>4236-00</v>
      </c>
      <c r="B661" s="3"/>
      <c r="C661" s="3"/>
      <c r="D661" s="3"/>
      <c r="E661" s="5" t="s">
        <v>3</v>
      </c>
      <c r="F661" s="269"/>
      <c r="G661" s="6"/>
      <c r="H661" s="15"/>
      <c r="I661" s="15"/>
      <c r="J661" s="15"/>
      <c r="K661" s="15"/>
      <c r="L661" s="15"/>
      <c r="M661" s="15"/>
      <c r="N661" s="15"/>
      <c r="O661" s="16">
        <f t="shared" si="301"/>
        <v>0</v>
      </c>
      <c r="Q661" s="252" t="s">
        <v>6</v>
      </c>
      <c r="R661" s="266">
        <f>25/11</f>
        <v>2.2727272727272729</v>
      </c>
      <c r="S661" s="266"/>
      <c r="T661" s="266"/>
      <c r="U661" s="266"/>
      <c r="V661" s="266"/>
      <c r="W661" s="266"/>
      <c r="X661" s="266"/>
      <c r="Y661" s="266"/>
      <c r="Z661" s="266">
        <f t="shared" si="302"/>
        <v>0</v>
      </c>
      <c r="AC661" s="279" t="s">
        <v>17</v>
      </c>
      <c r="AD661" s="275" t="s">
        <v>152</v>
      </c>
    </row>
    <row r="662" spans="1:37" ht="15" thickTop="1" thickBot="1">
      <c r="A662" s="280" t="str">
        <f t="shared" si="300"/>
        <v>4236-00</v>
      </c>
      <c r="B662" s="3"/>
      <c r="C662" s="3"/>
      <c r="D662" s="3"/>
      <c r="E662" s="5" t="s">
        <v>3</v>
      </c>
      <c r="F662" s="269"/>
      <c r="G662" s="6"/>
      <c r="H662" s="8"/>
      <c r="I662" s="8"/>
      <c r="J662" s="8"/>
      <c r="K662" s="8"/>
      <c r="L662" s="8"/>
      <c r="M662" s="8"/>
      <c r="N662" s="15"/>
      <c r="O662" s="16">
        <f t="shared" si="301"/>
        <v>0</v>
      </c>
      <c r="Q662" s="266"/>
      <c r="R662" s="266"/>
      <c r="S662" s="266"/>
      <c r="T662" s="266"/>
      <c r="U662" s="266"/>
      <c r="V662" s="266"/>
      <c r="W662" s="266"/>
      <c r="X662" s="266"/>
      <c r="Y662" s="266"/>
      <c r="Z662" s="266">
        <f t="shared" si="302"/>
        <v>0</v>
      </c>
    </row>
    <row r="663" spans="1:37" ht="15" thickTop="1" thickBot="1">
      <c r="A663" s="283" t="str">
        <f t="shared" si="300"/>
        <v>4236-00</v>
      </c>
      <c r="B663" s="19"/>
      <c r="C663" s="19"/>
      <c r="D663" s="19"/>
      <c r="E663" s="20" t="s">
        <v>3</v>
      </c>
      <c r="F663" s="271"/>
      <c r="G663" s="21"/>
      <c r="H663" s="22"/>
      <c r="I663" s="22"/>
      <c r="J663" s="22"/>
      <c r="K663" s="22"/>
      <c r="L663" s="22"/>
      <c r="M663" s="22"/>
      <c r="N663" s="22"/>
      <c r="O663" s="23">
        <f t="shared" si="301"/>
        <v>0</v>
      </c>
      <c r="Q663" s="252" t="s">
        <v>2</v>
      </c>
      <c r="R663" s="272">
        <f>500/10.2</f>
        <v>49.019607843137258</v>
      </c>
      <c r="S663" s="252">
        <f>49*1.2</f>
        <v>58.8</v>
      </c>
      <c r="T663" s="252">
        <f>49*2.1</f>
        <v>102.9</v>
      </c>
      <c r="U663" s="252">
        <f>49*2.4</f>
        <v>117.6</v>
      </c>
      <c r="V663" s="252">
        <f>49*2.4</f>
        <v>117.6</v>
      </c>
      <c r="W663" s="252">
        <f>49*1.5</f>
        <v>73.5</v>
      </c>
      <c r="X663" s="252">
        <f>49*0.9</f>
        <v>44.1</v>
      </c>
      <c r="Y663" s="266"/>
      <c r="Z663" s="266">
        <f t="shared" si="302"/>
        <v>514.5</v>
      </c>
    </row>
    <row r="664" spans="1:37" ht="15" thickTop="1" thickBot="1">
      <c r="A664" s="284" t="str">
        <f t="shared" si="300"/>
        <v>4236-00</v>
      </c>
      <c r="B664" s="47"/>
      <c r="C664" s="47"/>
      <c r="D664" s="47"/>
      <c r="E664" s="48" t="s">
        <v>23</v>
      </c>
      <c r="F664" s="49" t="str">
        <f>+B657</f>
        <v>Missy Plus</v>
      </c>
      <c r="G664" s="48"/>
      <c r="H664" s="48">
        <f>+H658-H659-H660-H661-H663+H662</f>
        <v>-15</v>
      </c>
      <c r="I664" s="48">
        <f>+I658-I659-I660-I661-I663+I662</f>
        <v>-31</v>
      </c>
      <c r="J664" s="48">
        <f>+J658-J659-J660-J661-J663-J662</f>
        <v>-32</v>
      </c>
      <c r="K664" s="48">
        <f>+K658-K659-K660-K661-K663-K662</f>
        <v>-26</v>
      </c>
      <c r="L664" s="48">
        <f>+L658-L659-L660-L661-L663-L662</f>
        <v>-19</v>
      </c>
      <c r="M664" s="48">
        <f>+M658-M659-M660-M661-M663-M662</f>
        <v>-14</v>
      </c>
      <c r="N664" s="48"/>
      <c r="O664" s="48">
        <f t="shared" si="301"/>
        <v>-137</v>
      </c>
      <c r="Q664" s="266"/>
      <c r="R664" s="266"/>
      <c r="S664" s="252">
        <f t="shared" ref="S664:X664" si="303">SUM(S660:S663)</f>
        <v>58.8</v>
      </c>
      <c r="T664" s="252">
        <f t="shared" si="303"/>
        <v>102.9</v>
      </c>
      <c r="U664" s="252">
        <f t="shared" si="303"/>
        <v>117.6</v>
      </c>
      <c r="V664" s="252">
        <f t="shared" si="303"/>
        <v>117.6</v>
      </c>
      <c r="W664" s="252">
        <f t="shared" si="303"/>
        <v>73.5</v>
      </c>
      <c r="X664" s="252">
        <f t="shared" si="303"/>
        <v>44.1</v>
      </c>
      <c r="Y664" s="252"/>
      <c r="Z664" s="252">
        <f t="shared" si="302"/>
        <v>514.5</v>
      </c>
    </row>
    <row r="665" spans="1:37" ht="15" thickTop="1" thickBot="1">
      <c r="A665" s="274" t="s">
        <v>7</v>
      </c>
      <c r="B665" s="43" t="s">
        <v>8</v>
      </c>
      <c r="C665" s="43"/>
      <c r="D665" s="43"/>
      <c r="E665" s="44" t="s">
        <v>9</v>
      </c>
      <c r="F665" s="45"/>
      <c r="G665" s="45"/>
      <c r="H665" s="44"/>
      <c r="I665" s="44"/>
      <c r="J665" s="44"/>
      <c r="K665" s="44"/>
      <c r="L665" s="44"/>
      <c r="M665" s="44"/>
      <c r="N665" s="44"/>
      <c r="O665" s="44"/>
      <c r="AC665" s="275" t="s">
        <v>3</v>
      </c>
      <c r="AD665" s="276">
        <v>46104</v>
      </c>
      <c r="AE665" s="275">
        <v>36</v>
      </c>
      <c r="AF665" s="275">
        <v>38</v>
      </c>
      <c r="AG665" s="275">
        <v>40</v>
      </c>
      <c r="AH665" s="275">
        <v>42</v>
      </c>
      <c r="AI665" s="277">
        <v>44</v>
      </c>
      <c r="AJ665" s="277">
        <v>46</v>
      </c>
      <c r="AK665" s="277" t="s">
        <v>28</v>
      </c>
    </row>
    <row r="666" spans="1:37" ht="20.25" thickTop="1" thickBot="1">
      <c r="A666" s="278" t="s">
        <v>183</v>
      </c>
      <c r="B666" s="38" t="s">
        <v>184</v>
      </c>
      <c r="C666" s="9" t="s">
        <v>12</v>
      </c>
      <c r="D666" s="9" t="s">
        <v>13</v>
      </c>
      <c r="E666" s="10"/>
      <c r="F666" s="256" t="s">
        <v>14</v>
      </c>
      <c r="G666" s="257">
        <v>34</v>
      </c>
      <c r="H666" s="257">
        <v>36</v>
      </c>
      <c r="I666" s="257">
        <v>38</v>
      </c>
      <c r="J666" s="257">
        <v>40</v>
      </c>
      <c r="K666" s="257">
        <v>42</v>
      </c>
      <c r="L666" s="257">
        <v>44</v>
      </c>
      <c r="M666" s="257">
        <v>46</v>
      </c>
      <c r="N666" s="257"/>
      <c r="O666" s="258" t="s">
        <v>15</v>
      </c>
      <c r="Q666" s="259" t="s">
        <v>14</v>
      </c>
      <c r="R666" s="259"/>
      <c r="S666" s="259">
        <v>36</v>
      </c>
      <c r="T666" s="259">
        <v>38</v>
      </c>
      <c r="U666" s="259">
        <v>40</v>
      </c>
      <c r="V666" s="259">
        <v>42</v>
      </c>
      <c r="W666" s="259">
        <v>44</v>
      </c>
      <c r="X666" s="259">
        <v>46</v>
      </c>
      <c r="Y666" s="259"/>
      <c r="Z666" s="259" t="s">
        <v>15</v>
      </c>
      <c r="AC666" s="279" t="s">
        <v>29</v>
      </c>
      <c r="AD666" s="192">
        <v>11577</v>
      </c>
      <c r="AE666" s="279">
        <v>14</v>
      </c>
      <c r="AF666" s="279">
        <v>36</v>
      </c>
      <c r="AG666" s="279">
        <v>40</v>
      </c>
      <c r="AH666" s="279">
        <v>32</v>
      </c>
      <c r="AI666" s="279">
        <v>20</v>
      </c>
      <c r="AJ666" s="279">
        <v>16</v>
      </c>
      <c r="AK666" s="275">
        <f>SUM(AE666:AJ666)</f>
        <v>158</v>
      </c>
    </row>
    <row r="667" spans="1:37" ht="20.25" thickTop="1" thickBot="1">
      <c r="A667" s="280" t="str">
        <f t="shared" ref="A667:A673" si="304">+A666</f>
        <v>4238-00</v>
      </c>
      <c r="B667" s="39" t="s">
        <v>16</v>
      </c>
      <c r="C667" s="39"/>
      <c r="D667" s="39" t="str">
        <f>+B666</f>
        <v>X206-B1</v>
      </c>
      <c r="E667" s="40"/>
      <c r="F667" s="261" t="s">
        <v>1</v>
      </c>
      <c r="G667" s="261"/>
      <c r="H667" s="262">
        <f>'BASE DATOS'!C77</f>
        <v>13</v>
      </c>
      <c r="I667" s="262">
        <f>'BASE DATOS'!D77</f>
        <v>32</v>
      </c>
      <c r="J667" s="262">
        <f>'BASE DATOS'!E77</f>
        <v>36</v>
      </c>
      <c r="K667" s="262">
        <f>'BASE DATOS'!F77</f>
        <v>30</v>
      </c>
      <c r="L667" s="262">
        <f>'BASE DATOS'!G77</f>
        <v>21</v>
      </c>
      <c r="M667" s="262">
        <f>'BASE DATOS'!H77</f>
        <v>16</v>
      </c>
      <c r="N667" s="262"/>
      <c r="O667" s="263">
        <f t="shared" ref="O667:O673" si="305">SUM(H667:N667)</f>
        <v>148</v>
      </c>
      <c r="Q667" s="264"/>
      <c r="R667" s="264"/>
      <c r="S667" s="264"/>
      <c r="T667" s="264"/>
      <c r="U667" s="264"/>
      <c r="V667" s="264"/>
      <c r="W667" s="264"/>
      <c r="X667" s="264"/>
      <c r="Y667" s="264"/>
      <c r="Z667" s="264">
        <f>SUBTOTAL(9,S667:Y667)</f>
        <v>0</v>
      </c>
      <c r="AC667" s="281" t="s">
        <v>30</v>
      </c>
      <c r="AD667" s="196">
        <v>4238</v>
      </c>
    </row>
    <row r="668" spans="1:37" ht="17.25" thickTop="1" thickBot="1">
      <c r="A668" s="280" t="str">
        <f t="shared" si="304"/>
        <v>4238-00</v>
      </c>
      <c r="B668" s="3">
        <v>46104</v>
      </c>
      <c r="C668" s="4" t="s">
        <v>17</v>
      </c>
      <c r="D668" s="4" t="s">
        <v>152</v>
      </c>
      <c r="E668" s="5" t="s">
        <v>3</v>
      </c>
      <c r="F668" s="265">
        <v>11577</v>
      </c>
      <c r="G668" s="2"/>
      <c r="H668" s="7">
        <v>14</v>
      </c>
      <c r="I668" s="7">
        <v>36</v>
      </c>
      <c r="J668" s="7">
        <v>40</v>
      </c>
      <c r="K668" s="7">
        <v>32</v>
      </c>
      <c r="L668" s="7">
        <v>20</v>
      </c>
      <c r="M668" s="7">
        <v>16</v>
      </c>
      <c r="N668" s="8"/>
      <c r="O668" s="14">
        <f t="shared" si="305"/>
        <v>158</v>
      </c>
      <c r="Q668" s="252" t="s">
        <v>19</v>
      </c>
      <c r="R668" s="266"/>
      <c r="S668" s="266"/>
      <c r="T668" s="266"/>
      <c r="U668" s="266"/>
      <c r="V668" s="266"/>
      <c r="W668" s="266"/>
      <c r="X668" s="266"/>
      <c r="Y668" s="267"/>
      <c r="Z668" s="268">
        <f t="shared" ref="Z668:Z673" si="306">SUM(S668:Y668)</f>
        <v>0</v>
      </c>
      <c r="AC668" s="279" t="s">
        <v>32</v>
      </c>
      <c r="AD668" s="505" t="s">
        <v>184</v>
      </c>
      <c r="AE668" s="646" t="s">
        <v>185</v>
      </c>
      <c r="AF668" s="647"/>
      <c r="AG668" s="647"/>
      <c r="AH668" s="647"/>
      <c r="AI668" s="647"/>
      <c r="AJ668" s="647"/>
      <c r="AK668" s="647"/>
    </row>
    <row r="669" spans="1:37" ht="15" thickTop="1" thickBot="1">
      <c r="A669" s="280" t="str">
        <f t="shared" si="304"/>
        <v>4238-00</v>
      </c>
      <c r="B669" s="3"/>
      <c r="C669" s="3"/>
      <c r="D669" s="3"/>
      <c r="E669" s="5" t="s">
        <v>3</v>
      </c>
      <c r="F669" s="269"/>
      <c r="G669" s="6"/>
      <c r="H669" s="7"/>
      <c r="I669" s="7"/>
      <c r="J669" s="7"/>
      <c r="K669" s="7"/>
      <c r="L669" s="7"/>
      <c r="M669" s="7"/>
      <c r="N669" s="15"/>
      <c r="O669" s="14">
        <f t="shared" si="305"/>
        <v>0</v>
      </c>
      <c r="Q669" s="252" t="s">
        <v>4</v>
      </c>
      <c r="R669" s="266">
        <f>78/19</f>
        <v>4.1052631578947372</v>
      </c>
      <c r="S669" s="266"/>
      <c r="T669" s="266"/>
      <c r="U669" s="266"/>
      <c r="V669" s="266"/>
      <c r="W669" s="266"/>
      <c r="X669" s="266"/>
      <c r="Y669" s="266"/>
      <c r="Z669" s="266">
        <f t="shared" si="306"/>
        <v>0</v>
      </c>
      <c r="AC669" s="279" t="s">
        <v>12</v>
      </c>
      <c r="AD669" s="275" t="s">
        <v>13</v>
      </c>
      <c r="AE669" s="646"/>
      <c r="AF669" s="647"/>
      <c r="AG669" s="647"/>
      <c r="AH669" s="647"/>
      <c r="AI669" s="647"/>
      <c r="AJ669" s="647"/>
      <c r="AK669" s="647"/>
    </row>
    <row r="670" spans="1:37" ht="15" thickTop="1" thickBot="1">
      <c r="A670" s="280" t="str">
        <f t="shared" si="304"/>
        <v>4238-00</v>
      </c>
      <c r="B670" s="3"/>
      <c r="C670" s="3"/>
      <c r="D670" s="3"/>
      <c r="E670" s="5" t="s">
        <v>3</v>
      </c>
      <c r="F670" s="269"/>
      <c r="G670" s="6"/>
      <c r="H670" s="15"/>
      <c r="I670" s="15"/>
      <c r="J670" s="15"/>
      <c r="K670" s="15"/>
      <c r="L670" s="15"/>
      <c r="M670" s="15"/>
      <c r="N670" s="15"/>
      <c r="O670" s="16">
        <f t="shared" si="305"/>
        <v>0</v>
      </c>
      <c r="Q670" s="252" t="s">
        <v>6</v>
      </c>
      <c r="R670" s="266">
        <f>25/11</f>
        <v>2.2727272727272729</v>
      </c>
      <c r="S670" s="266"/>
      <c r="T670" s="266"/>
      <c r="U670" s="266"/>
      <c r="V670" s="266"/>
      <c r="W670" s="266"/>
      <c r="X670" s="266"/>
      <c r="Y670" s="266"/>
      <c r="Z670" s="266">
        <f t="shared" si="306"/>
        <v>0</v>
      </c>
      <c r="AC670" s="279" t="s">
        <v>17</v>
      </c>
      <c r="AD670" s="275" t="s">
        <v>152</v>
      </c>
      <c r="AE670" s="646"/>
      <c r="AF670" s="647"/>
      <c r="AG670" s="647"/>
      <c r="AH670" s="647"/>
      <c r="AI670" s="647"/>
      <c r="AJ670" s="647"/>
      <c r="AK670" s="647"/>
    </row>
    <row r="671" spans="1:37" ht="15" thickTop="1" thickBot="1">
      <c r="A671" s="280" t="str">
        <f t="shared" si="304"/>
        <v>4238-00</v>
      </c>
      <c r="B671" s="3"/>
      <c r="C671" s="3"/>
      <c r="D671" s="3"/>
      <c r="E671" s="5" t="s">
        <v>3</v>
      </c>
      <c r="F671" s="269"/>
      <c r="G671" s="6"/>
      <c r="H671" s="8"/>
      <c r="I671" s="8"/>
      <c r="J671" s="8"/>
      <c r="K671" s="8"/>
      <c r="L671" s="8"/>
      <c r="M671" s="8"/>
      <c r="N671" s="15"/>
      <c r="O671" s="16">
        <f t="shared" si="305"/>
        <v>0</v>
      </c>
      <c r="Q671" s="266"/>
      <c r="R671" s="266"/>
      <c r="S671" s="266"/>
      <c r="T671" s="266"/>
      <c r="U671" s="266"/>
      <c r="V671" s="266"/>
      <c r="W671" s="266"/>
      <c r="X671" s="266"/>
      <c r="Y671" s="266"/>
      <c r="Z671" s="266">
        <f t="shared" si="306"/>
        <v>0</v>
      </c>
    </row>
    <row r="672" spans="1:37" ht="15" thickTop="1" thickBot="1">
      <c r="A672" s="283" t="str">
        <f t="shared" si="304"/>
        <v>4238-00</v>
      </c>
      <c r="B672" s="19"/>
      <c r="C672" s="19"/>
      <c r="D672" s="19"/>
      <c r="E672" s="20" t="s">
        <v>3</v>
      </c>
      <c r="F672" s="271"/>
      <c r="G672" s="21"/>
      <c r="H672" s="22"/>
      <c r="I672" s="22"/>
      <c r="J672" s="22"/>
      <c r="K672" s="22"/>
      <c r="L672" s="22"/>
      <c r="M672" s="22"/>
      <c r="N672" s="22"/>
      <c r="O672" s="23">
        <f t="shared" si="305"/>
        <v>0</v>
      </c>
      <c r="Q672" s="252" t="s">
        <v>2</v>
      </c>
      <c r="R672" s="272">
        <f>500/10.2</f>
        <v>49.019607843137258</v>
      </c>
      <c r="S672" s="252">
        <f>49*1.2</f>
        <v>58.8</v>
      </c>
      <c r="T672" s="252">
        <f>49*2.1</f>
        <v>102.9</v>
      </c>
      <c r="U672" s="252">
        <f>49*2.4</f>
        <v>117.6</v>
      </c>
      <c r="V672" s="252">
        <f>49*2.4</f>
        <v>117.6</v>
      </c>
      <c r="W672" s="252">
        <f>49*1.5</f>
        <v>73.5</v>
      </c>
      <c r="X672" s="252">
        <f>49*0.9</f>
        <v>44.1</v>
      </c>
      <c r="Y672" s="266"/>
      <c r="Z672" s="266">
        <f t="shared" si="306"/>
        <v>514.5</v>
      </c>
    </row>
    <row r="673" spans="1:37" ht="15" thickTop="1" thickBot="1">
      <c r="A673" s="284" t="str">
        <f t="shared" si="304"/>
        <v>4238-00</v>
      </c>
      <c r="B673" s="47"/>
      <c r="C673" s="47"/>
      <c r="D673" s="47"/>
      <c r="E673" s="48" t="s">
        <v>23</v>
      </c>
      <c r="F673" s="49" t="str">
        <f>+B666</f>
        <v>X206-B1</v>
      </c>
      <c r="G673" s="48"/>
      <c r="H673" s="48">
        <f>+H667-H668-H669-H670-H672+H671</f>
        <v>-1</v>
      </c>
      <c r="I673" s="48">
        <f>+I667-I668-I669-I670-I672+I671</f>
        <v>-4</v>
      </c>
      <c r="J673" s="48">
        <f>+J667-J668-J669-J670-J672-J671</f>
        <v>-4</v>
      </c>
      <c r="K673" s="48">
        <f>+K667-K668-K669-K670-K672-K671</f>
        <v>-2</v>
      </c>
      <c r="L673" s="48">
        <f>+L667-L668-L669-L670-L672-L671</f>
        <v>1</v>
      </c>
      <c r="M673" s="48">
        <f>+M667-M668-M669-M670-M672-M671</f>
        <v>0</v>
      </c>
      <c r="N673" s="48"/>
      <c r="O673" s="48">
        <f t="shared" si="305"/>
        <v>-10</v>
      </c>
      <c r="Q673" s="266"/>
      <c r="R673" s="266"/>
      <c r="S673" s="252">
        <f t="shared" ref="S673:X673" si="307">SUM(S669:S672)</f>
        <v>58.8</v>
      </c>
      <c r="T673" s="252">
        <f t="shared" si="307"/>
        <v>102.9</v>
      </c>
      <c r="U673" s="252">
        <f t="shared" si="307"/>
        <v>117.6</v>
      </c>
      <c r="V673" s="252">
        <f t="shared" si="307"/>
        <v>117.6</v>
      </c>
      <c r="W673" s="252">
        <f t="shared" si="307"/>
        <v>73.5</v>
      </c>
      <c r="X673" s="252">
        <f t="shared" si="307"/>
        <v>44.1</v>
      </c>
      <c r="Y673" s="252"/>
      <c r="Z673" s="252">
        <f t="shared" si="306"/>
        <v>514.5</v>
      </c>
    </row>
    <row r="674" spans="1:37" ht="15" thickTop="1" thickBot="1">
      <c r="A674" s="274" t="s">
        <v>7</v>
      </c>
      <c r="B674" s="43" t="s">
        <v>8</v>
      </c>
      <c r="C674" s="43"/>
      <c r="D674" s="43"/>
      <c r="E674" s="44" t="s">
        <v>9</v>
      </c>
      <c r="F674" s="45"/>
      <c r="G674" s="45"/>
      <c r="H674" s="44"/>
      <c r="I674" s="44"/>
      <c r="J674" s="44"/>
      <c r="K674" s="44"/>
      <c r="L674" s="44"/>
      <c r="M674" s="44"/>
      <c r="N674" s="44"/>
      <c r="O674" s="44"/>
      <c r="AC674" s="275" t="s">
        <v>3</v>
      </c>
      <c r="AD674" s="276">
        <v>46072</v>
      </c>
      <c r="AE674" s="275">
        <v>36</v>
      </c>
      <c r="AF674" s="275">
        <v>38</v>
      </c>
      <c r="AG674" s="275">
        <v>40</v>
      </c>
      <c r="AH674" s="275">
        <v>42</v>
      </c>
      <c r="AI674" s="277">
        <v>44</v>
      </c>
      <c r="AJ674" s="277">
        <v>46</v>
      </c>
      <c r="AK674" s="277" t="s">
        <v>28</v>
      </c>
    </row>
    <row r="675" spans="1:37" ht="15" thickTop="1" thickBot="1">
      <c r="A675" s="278" t="s">
        <v>186</v>
      </c>
      <c r="B675" s="38" t="s">
        <v>36</v>
      </c>
      <c r="C675" s="9" t="s">
        <v>12</v>
      </c>
      <c r="D675" s="9" t="s">
        <v>13</v>
      </c>
      <c r="E675" s="10"/>
      <c r="F675" s="256" t="s">
        <v>14</v>
      </c>
      <c r="G675" s="257">
        <v>34</v>
      </c>
      <c r="H675" s="257">
        <v>36</v>
      </c>
      <c r="I675" s="257">
        <v>38</v>
      </c>
      <c r="J675" s="257">
        <v>40</v>
      </c>
      <c r="K675" s="257">
        <v>42</v>
      </c>
      <c r="L675" s="257">
        <v>44</v>
      </c>
      <c r="M675" s="257">
        <v>46</v>
      </c>
      <c r="N675" s="257"/>
      <c r="O675" s="258" t="s">
        <v>15</v>
      </c>
      <c r="Q675" s="259" t="s">
        <v>14</v>
      </c>
      <c r="R675" s="259"/>
      <c r="S675" s="259">
        <v>36</v>
      </c>
      <c r="T675" s="259">
        <v>38</v>
      </c>
      <c r="U675" s="259">
        <v>40</v>
      </c>
      <c r="V675" s="259">
        <v>42</v>
      </c>
      <c r="W675" s="259">
        <v>44</v>
      </c>
      <c r="X675" s="259">
        <v>46</v>
      </c>
      <c r="Y675" s="259"/>
      <c r="Z675" s="259" t="s">
        <v>15</v>
      </c>
      <c r="AC675" s="279" t="s">
        <v>29</v>
      </c>
      <c r="AD675" s="275">
        <v>11561</v>
      </c>
      <c r="AE675" s="279">
        <f t="shared" ref="AE675:AJ675" si="308">+H678</f>
        <v>52</v>
      </c>
      <c r="AF675" s="279">
        <f t="shared" si="308"/>
        <v>104</v>
      </c>
      <c r="AG675" s="279">
        <f t="shared" si="308"/>
        <v>104</v>
      </c>
      <c r="AH675" s="279">
        <f t="shared" si="308"/>
        <v>104</v>
      </c>
      <c r="AI675" s="279">
        <f t="shared" si="308"/>
        <v>72</v>
      </c>
      <c r="AJ675" s="279">
        <f t="shared" si="308"/>
        <v>62</v>
      </c>
      <c r="AK675" s="275">
        <f>SUM(AE675:AJ675)</f>
        <v>498</v>
      </c>
    </row>
    <row r="676" spans="1:37" ht="15" thickTop="1" thickBot="1">
      <c r="A676" s="280" t="str">
        <f t="shared" ref="A676:A682" si="309">+A675</f>
        <v>4239-00</v>
      </c>
      <c r="B676" s="39" t="s">
        <v>16</v>
      </c>
      <c r="C676" s="39"/>
      <c r="D676" s="39" t="str">
        <f>+B675</f>
        <v>B2868-V3</v>
      </c>
      <c r="E676" s="40"/>
      <c r="F676" s="261" t="s">
        <v>1</v>
      </c>
      <c r="G676" s="261"/>
      <c r="H676" s="262">
        <f>'BASE DATOS'!C78</f>
        <v>55</v>
      </c>
      <c r="I676" s="262">
        <f>'BASE DATOS'!D78</f>
        <v>115</v>
      </c>
      <c r="J676" s="262">
        <f>'BASE DATOS'!E78</f>
        <v>117</v>
      </c>
      <c r="K676" s="262">
        <f>'BASE DATOS'!F78</f>
        <v>113</v>
      </c>
      <c r="L676" s="262">
        <f>'BASE DATOS'!G78</f>
        <v>74</v>
      </c>
      <c r="M676" s="262">
        <f>'BASE DATOS'!H78</f>
        <v>63</v>
      </c>
      <c r="N676" s="262"/>
      <c r="O676" s="263">
        <f t="shared" ref="O676:O682" si="310">SUM(H676:N676)</f>
        <v>537</v>
      </c>
      <c r="Q676" s="264"/>
      <c r="R676" s="264"/>
      <c r="S676" s="264"/>
      <c r="T676" s="264"/>
      <c r="U676" s="264"/>
      <c r="V676" s="264"/>
      <c r="W676" s="264"/>
      <c r="X676" s="264"/>
      <c r="Y676" s="264"/>
      <c r="Z676" s="264">
        <f>SUBTOTAL(9,S676:Y676)</f>
        <v>0</v>
      </c>
      <c r="AC676" s="281" t="s">
        <v>30</v>
      </c>
      <c r="AD676" s="282">
        <v>4239</v>
      </c>
    </row>
    <row r="677" spans="1:37" ht="15" thickTop="1" thickBot="1">
      <c r="A677" s="280" t="str">
        <f t="shared" si="309"/>
        <v>4239-00</v>
      </c>
      <c r="B677" s="3">
        <v>45953</v>
      </c>
      <c r="C677" s="4" t="s">
        <v>17</v>
      </c>
      <c r="D677" s="4" t="s">
        <v>42</v>
      </c>
      <c r="E677" s="5" t="s">
        <v>3</v>
      </c>
      <c r="F677" s="265" t="s">
        <v>187</v>
      </c>
      <c r="G677" s="2"/>
      <c r="H677" s="7">
        <v>11</v>
      </c>
      <c r="I677" s="7">
        <v>31</v>
      </c>
      <c r="J677" s="7">
        <v>39</v>
      </c>
      <c r="K677" s="7">
        <v>31</v>
      </c>
      <c r="L677" s="7">
        <v>23</v>
      </c>
      <c r="M677" s="7">
        <v>11</v>
      </c>
      <c r="N677" s="8"/>
      <c r="O677" s="14">
        <f t="shared" si="310"/>
        <v>146</v>
      </c>
      <c r="Q677" s="252" t="s">
        <v>19</v>
      </c>
      <c r="R677" s="266"/>
      <c r="S677" s="266"/>
      <c r="T677" s="266"/>
      <c r="U677" s="266"/>
      <c r="V677" s="266"/>
      <c r="W677" s="266"/>
      <c r="X677" s="266"/>
      <c r="Y677" s="267"/>
      <c r="Z677" s="268">
        <f t="shared" ref="Z677:Z682" si="311">SUM(S677:Y677)</f>
        <v>0</v>
      </c>
      <c r="AC677" s="279" t="s">
        <v>32</v>
      </c>
      <c r="AD677" s="275" t="s">
        <v>36</v>
      </c>
    </row>
    <row r="678" spans="1:37" ht="15" thickTop="1" thickBot="1">
      <c r="A678" s="280" t="str">
        <f t="shared" si="309"/>
        <v>4239-00</v>
      </c>
      <c r="B678" s="3">
        <v>46072</v>
      </c>
      <c r="C678" s="3"/>
      <c r="D678" s="57" t="s">
        <v>188</v>
      </c>
      <c r="E678" s="5" t="s">
        <v>3</v>
      </c>
      <c r="F678" s="269" t="s">
        <v>189</v>
      </c>
      <c r="G678" s="6"/>
      <c r="H678" s="7">
        <v>52</v>
      </c>
      <c r="I678" s="7">
        <v>104</v>
      </c>
      <c r="J678" s="7">
        <v>104</v>
      </c>
      <c r="K678" s="7">
        <v>104</v>
      </c>
      <c r="L678" s="7">
        <v>72</v>
      </c>
      <c r="M678" s="7">
        <v>62</v>
      </c>
      <c r="N678" s="15"/>
      <c r="O678" s="14">
        <f t="shared" si="310"/>
        <v>498</v>
      </c>
      <c r="Q678" s="252" t="s">
        <v>4</v>
      </c>
      <c r="R678" s="266">
        <f>78/19</f>
        <v>4.1052631578947372</v>
      </c>
      <c r="S678" s="266"/>
      <c r="T678" s="266"/>
      <c r="U678" s="266"/>
      <c r="V678" s="266"/>
      <c r="W678" s="266"/>
      <c r="X678" s="266"/>
      <c r="Y678" s="266"/>
      <c r="Z678" s="266">
        <f t="shared" si="311"/>
        <v>0</v>
      </c>
      <c r="AC678" s="279" t="s">
        <v>12</v>
      </c>
      <c r="AD678" s="275" t="s">
        <v>53</v>
      </c>
    </row>
    <row r="679" spans="1:37" ht="15" thickTop="1" thickBot="1">
      <c r="A679" s="280" t="str">
        <f t="shared" si="309"/>
        <v>4239-00</v>
      </c>
      <c r="B679" s="3"/>
      <c r="C679" s="3"/>
      <c r="D679" s="57" t="s">
        <v>190</v>
      </c>
      <c r="E679" s="5" t="s">
        <v>3</v>
      </c>
      <c r="F679" s="269"/>
      <c r="G679" s="6"/>
      <c r="H679" s="15"/>
      <c r="I679" s="15"/>
      <c r="J679" s="15"/>
      <c r="K679" s="15"/>
      <c r="L679" s="15"/>
      <c r="M679" s="15"/>
      <c r="N679" s="15"/>
      <c r="O679" s="16">
        <f t="shared" si="310"/>
        <v>0</v>
      </c>
      <c r="Q679" s="252" t="s">
        <v>6</v>
      </c>
      <c r="R679" s="266">
        <f>25/11</f>
        <v>2.2727272727272729</v>
      </c>
      <c r="S679" s="266"/>
      <c r="T679" s="266"/>
      <c r="U679" s="266"/>
      <c r="V679" s="266"/>
      <c r="W679" s="266"/>
      <c r="X679" s="266"/>
      <c r="Y679" s="266"/>
      <c r="Z679" s="266">
        <f t="shared" si="311"/>
        <v>0</v>
      </c>
      <c r="AC679" s="279" t="s">
        <v>17</v>
      </c>
      <c r="AD679" s="275" t="s">
        <v>42</v>
      </c>
    </row>
    <row r="680" spans="1:37" ht="15" thickTop="1" thickBot="1">
      <c r="A680" s="280" t="str">
        <f t="shared" si="309"/>
        <v>4239-00</v>
      </c>
      <c r="B680" s="3"/>
      <c r="C680" s="3"/>
      <c r="D680" s="3"/>
      <c r="E680" s="5" t="s">
        <v>3</v>
      </c>
      <c r="F680" s="269"/>
      <c r="G680" s="6"/>
      <c r="H680" s="8"/>
      <c r="I680" s="8"/>
      <c r="J680" s="8"/>
      <c r="K680" s="8"/>
      <c r="L680" s="8"/>
      <c r="M680" s="8"/>
      <c r="N680" s="15"/>
      <c r="O680" s="16">
        <f t="shared" si="310"/>
        <v>0</v>
      </c>
      <c r="Q680" s="266"/>
      <c r="R680" s="266"/>
      <c r="S680" s="266"/>
      <c r="T680" s="266"/>
      <c r="U680" s="266"/>
      <c r="V680" s="266"/>
      <c r="W680" s="266"/>
      <c r="X680" s="266"/>
      <c r="Y680" s="266"/>
      <c r="Z680" s="266">
        <f t="shared" si="311"/>
        <v>0</v>
      </c>
    </row>
    <row r="681" spans="1:37" ht="15" thickTop="1" thickBot="1">
      <c r="A681" s="283" t="str">
        <f t="shared" si="309"/>
        <v>4239-00</v>
      </c>
      <c r="B681" s="19"/>
      <c r="C681" s="19"/>
      <c r="D681" s="19"/>
      <c r="E681" s="20" t="s">
        <v>3</v>
      </c>
      <c r="F681" s="271"/>
      <c r="G681" s="21"/>
      <c r="H681" s="22"/>
      <c r="I681" s="22"/>
      <c r="J681" s="22"/>
      <c r="K681" s="22"/>
      <c r="L681" s="22"/>
      <c r="M681" s="22"/>
      <c r="N681" s="22"/>
      <c r="O681" s="23">
        <f t="shared" si="310"/>
        <v>0</v>
      </c>
      <c r="Q681" s="252" t="s">
        <v>2</v>
      </c>
      <c r="R681" s="272">
        <f>500/10.2</f>
        <v>49.019607843137258</v>
      </c>
      <c r="S681" s="252">
        <f>49*1.2</f>
        <v>58.8</v>
      </c>
      <c r="T681" s="252">
        <f>49*2.1</f>
        <v>102.9</v>
      </c>
      <c r="U681" s="252">
        <f>49*2.4</f>
        <v>117.6</v>
      </c>
      <c r="V681" s="252">
        <f>49*2.4</f>
        <v>117.6</v>
      </c>
      <c r="W681" s="252">
        <f>49*1.5</f>
        <v>73.5</v>
      </c>
      <c r="X681" s="252">
        <f>49*0.9</f>
        <v>44.1</v>
      </c>
      <c r="Y681" s="266"/>
      <c r="Z681" s="266">
        <f t="shared" si="311"/>
        <v>514.5</v>
      </c>
    </row>
    <row r="682" spans="1:37" ht="15" thickTop="1" thickBot="1">
      <c r="A682" s="284" t="str">
        <f t="shared" si="309"/>
        <v>4239-00</v>
      </c>
      <c r="B682" s="47"/>
      <c r="C682" s="47"/>
      <c r="D682" s="47"/>
      <c r="E682" s="48" t="s">
        <v>23</v>
      </c>
      <c r="F682" s="49" t="str">
        <f>+B675</f>
        <v>B2868-V3</v>
      </c>
      <c r="G682" s="48"/>
      <c r="H682" s="48">
        <f>+H676-H677-H678-H679-H681+H680</f>
        <v>-8</v>
      </c>
      <c r="I682" s="48">
        <f>+I676-I677-I678-I679-I681+I680</f>
        <v>-20</v>
      </c>
      <c r="J682" s="48">
        <f>+J676-J677-J678-J679-J681-J680</f>
        <v>-26</v>
      </c>
      <c r="K682" s="48">
        <f>+K676-K677-K678-K679-K681-K680</f>
        <v>-22</v>
      </c>
      <c r="L682" s="48">
        <f>+L676-L677-L678-L679-L681-L680</f>
        <v>-21</v>
      </c>
      <c r="M682" s="48">
        <f>+M676-M677-M678-M679-M681-M680</f>
        <v>-10</v>
      </c>
      <c r="N682" s="48"/>
      <c r="O682" s="48">
        <f t="shared" si="310"/>
        <v>-107</v>
      </c>
      <c r="Q682" s="266"/>
      <c r="R682" s="266"/>
      <c r="S682" s="252">
        <f t="shared" ref="S682:X682" si="312">SUM(S678:S681)</f>
        <v>58.8</v>
      </c>
      <c r="T682" s="252">
        <f t="shared" si="312"/>
        <v>102.9</v>
      </c>
      <c r="U682" s="252">
        <f t="shared" si="312"/>
        <v>117.6</v>
      </c>
      <c r="V682" s="252">
        <f t="shared" si="312"/>
        <v>117.6</v>
      </c>
      <c r="W682" s="252">
        <f t="shared" si="312"/>
        <v>73.5</v>
      </c>
      <c r="X682" s="252">
        <f t="shared" si="312"/>
        <v>44.1</v>
      </c>
      <c r="Y682" s="252"/>
      <c r="Z682" s="252">
        <f t="shared" si="311"/>
        <v>514.5</v>
      </c>
    </row>
    <row r="683" spans="1:37" ht="15" thickTop="1" thickBot="1">
      <c r="A683" s="274" t="s">
        <v>7</v>
      </c>
      <c r="B683" s="43" t="s">
        <v>8</v>
      </c>
      <c r="C683" s="43"/>
      <c r="D683" s="43"/>
      <c r="E683" s="44" t="s">
        <v>9</v>
      </c>
      <c r="F683" s="45"/>
      <c r="G683" s="45"/>
      <c r="H683" s="44"/>
      <c r="I683" s="44"/>
      <c r="J683" s="44"/>
      <c r="K683" s="44"/>
      <c r="L683" s="44"/>
      <c r="M683" s="44"/>
      <c r="N683" s="44"/>
      <c r="O683" s="44"/>
    </row>
    <row r="684" spans="1:37" ht="15" thickTop="1" thickBot="1">
      <c r="A684" s="278" t="s">
        <v>191</v>
      </c>
      <c r="B684" s="38" t="s">
        <v>36</v>
      </c>
      <c r="C684" s="9" t="s">
        <v>12</v>
      </c>
      <c r="D684" s="9" t="s">
        <v>13</v>
      </c>
      <c r="E684" s="10"/>
      <c r="F684" s="256" t="s">
        <v>14</v>
      </c>
      <c r="G684" s="257">
        <v>34</v>
      </c>
      <c r="H684" s="257">
        <v>36</v>
      </c>
      <c r="I684" s="257">
        <v>38</v>
      </c>
      <c r="J684" s="257">
        <v>40</v>
      </c>
      <c r="K684" s="257">
        <v>42</v>
      </c>
      <c r="L684" s="257">
        <v>44</v>
      </c>
      <c r="M684" s="257">
        <v>46</v>
      </c>
      <c r="N684" s="257"/>
      <c r="O684" s="258" t="s">
        <v>15</v>
      </c>
      <c r="Q684" s="259" t="s">
        <v>14</v>
      </c>
      <c r="R684" s="259"/>
      <c r="S684" s="259">
        <v>36</v>
      </c>
      <c r="T684" s="259">
        <v>38</v>
      </c>
      <c r="U684" s="259">
        <v>40</v>
      </c>
      <c r="V684" s="259">
        <v>42</v>
      </c>
      <c r="W684" s="259">
        <v>44</v>
      </c>
      <c r="X684" s="259">
        <v>46</v>
      </c>
      <c r="Y684" s="259"/>
      <c r="Z684" s="259" t="s">
        <v>15</v>
      </c>
    </row>
    <row r="685" spans="1:37" ht="15" thickTop="1" thickBot="1">
      <c r="A685" s="280" t="str">
        <f t="shared" ref="A685:A691" si="313">+A684</f>
        <v>4240-00</v>
      </c>
      <c r="B685" s="39" t="s">
        <v>16</v>
      </c>
      <c r="C685" s="39"/>
      <c r="D685" s="39" t="str">
        <f>+B684</f>
        <v>B2868-V3</v>
      </c>
      <c r="E685" s="40"/>
      <c r="F685" s="261" t="s">
        <v>1</v>
      </c>
      <c r="G685" s="261"/>
      <c r="H685" s="262">
        <f>'BASE DATOS'!C79</f>
        <v>48</v>
      </c>
      <c r="I685" s="262">
        <f>'BASE DATOS'!D79</f>
        <v>110</v>
      </c>
      <c r="J685" s="262">
        <f>'BASE DATOS'!E79</f>
        <v>112</v>
      </c>
      <c r="K685" s="262">
        <f>'BASE DATOS'!F79</f>
        <v>110</v>
      </c>
      <c r="L685" s="262">
        <f>'BASE DATOS'!G79</f>
        <v>75</v>
      </c>
      <c r="M685" s="262">
        <f>'BASE DATOS'!H79</f>
        <v>68</v>
      </c>
      <c r="N685" s="262"/>
      <c r="O685" s="263">
        <f t="shared" ref="O685:O691" si="314">SUM(H685:N685)</f>
        <v>523</v>
      </c>
      <c r="Q685" s="264"/>
      <c r="R685" s="264"/>
      <c r="S685" s="264"/>
      <c r="T685" s="264"/>
      <c r="U685" s="264"/>
      <c r="V685" s="264"/>
      <c r="W685" s="264"/>
      <c r="X685" s="264"/>
      <c r="Y685" s="264"/>
      <c r="Z685" s="264">
        <f>SUBTOTAL(9,S685:Y685)</f>
        <v>0</v>
      </c>
    </row>
    <row r="686" spans="1:37" ht="15" thickTop="1" thickBot="1">
      <c r="A686" s="280" t="str">
        <f t="shared" si="313"/>
        <v>4240-00</v>
      </c>
      <c r="B686" s="3">
        <v>45971</v>
      </c>
      <c r="C686" s="4" t="s">
        <v>17</v>
      </c>
      <c r="D686" s="4" t="s">
        <v>18</v>
      </c>
      <c r="E686" s="5" t="s">
        <v>3</v>
      </c>
      <c r="F686" s="265" t="s">
        <v>192</v>
      </c>
      <c r="G686" s="2"/>
      <c r="H686" s="7">
        <v>7</v>
      </c>
      <c r="I686" s="7"/>
      <c r="J686" s="7">
        <v>14</v>
      </c>
      <c r="K686" s="7">
        <v>21</v>
      </c>
      <c r="L686" s="7">
        <v>21</v>
      </c>
      <c r="M686" s="7">
        <v>4</v>
      </c>
      <c r="N686" s="8"/>
      <c r="O686" s="14">
        <f t="shared" si="314"/>
        <v>67</v>
      </c>
      <c r="Q686" s="252" t="s">
        <v>19</v>
      </c>
      <c r="R686" s="266"/>
      <c r="S686" s="266"/>
      <c r="T686" s="266"/>
      <c r="U686" s="266"/>
      <c r="V686" s="266"/>
      <c r="W686" s="266"/>
      <c r="X686" s="266"/>
      <c r="Y686" s="267"/>
      <c r="Z686" s="268">
        <f t="shared" ref="Z686:Z691" si="315">SUM(S686:Y686)</f>
        <v>0</v>
      </c>
    </row>
    <row r="687" spans="1:37" ht="15" thickTop="1" thickBot="1">
      <c r="A687" s="280" t="str">
        <f t="shared" si="313"/>
        <v>4240-00</v>
      </c>
      <c r="B687" s="3">
        <v>46043</v>
      </c>
      <c r="C687" s="3"/>
      <c r="D687" s="57" t="s">
        <v>193</v>
      </c>
      <c r="E687" s="5" t="s">
        <v>3</v>
      </c>
      <c r="F687" s="269" t="s">
        <v>194</v>
      </c>
      <c r="G687" s="6"/>
      <c r="H687" s="7">
        <v>70</v>
      </c>
      <c r="I687" s="7">
        <v>110</v>
      </c>
      <c r="J687" s="7">
        <v>110</v>
      </c>
      <c r="K687" s="7">
        <v>90</v>
      </c>
      <c r="L687" s="7">
        <v>70</v>
      </c>
      <c r="M687" s="7">
        <v>60</v>
      </c>
      <c r="N687" s="15"/>
      <c r="O687" s="14">
        <f t="shared" si="314"/>
        <v>510</v>
      </c>
      <c r="Q687" s="252" t="s">
        <v>4</v>
      </c>
      <c r="R687" s="266">
        <f>78/19</f>
        <v>4.1052631578947372</v>
      </c>
      <c r="S687" s="266"/>
      <c r="T687" s="266"/>
      <c r="U687" s="266"/>
      <c r="V687" s="266"/>
      <c r="W687" s="266"/>
      <c r="X687" s="266"/>
      <c r="Y687" s="266"/>
      <c r="Z687" s="266">
        <f t="shared" si="315"/>
        <v>0</v>
      </c>
    </row>
    <row r="688" spans="1:37" ht="15" thickTop="1" thickBot="1">
      <c r="A688" s="280" t="str">
        <f t="shared" si="313"/>
        <v>4240-00</v>
      </c>
      <c r="B688" s="3"/>
      <c r="C688" s="3"/>
      <c r="D688" s="57" t="s">
        <v>72</v>
      </c>
      <c r="E688" s="5" t="s">
        <v>3</v>
      </c>
      <c r="F688" s="269"/>
      <c r="G688" s="6"/>
      <c r="H688" s="15"/>
      <c r="I688" s="15"/>
      <c r="J688" s="15"/>
      <c r="K688" s="15"/>
      <c r="L688" s="15"/>
      <c r="M688" s="15"/>
      <c r="N688" s="15"/>
      <c r="O688" s="16">
        <f t="shared" si="314"/>
        <v>0</v>
      </c>
      <c r="Q688" s="252" t="s">
        <v>6</v>
      </c>
      <c r="R688" s="266">
        <f>25/11</f>
        <v>2.2727272727272729</v>
      </c>
      <c r="S688" s="266"/>
      <c r="T688" s="266"/>
      <c r="U688" s="266"/>
      <c r="V688" s="266"/>
      <c r="W688" s="266"/>
      <c r="X688" s="266"/>
      <c r="Y688" s="266"/>
      <c r="Z688" s="266">
        <f t="shared" si="315"/>
        <v>0</v>
      </c>
    </row>
    <row r="689" spans="1:40" ht="15" thickTop="1" thickBot="1">
      <c r="A689" s="280" t="str">
        <f t="shared" si="313"/>
        <v>4240-00</v>
      </c>
      <c r="B689" s="3"/>
      <c r="C689" s="3"/>
      <c r="D689" s="3"/>
      <c r="E689" s="5" t="s">
        <v>3</v>
      </c>
      <c r="F689" s="269"/>
      <c r="G689" s="6"/>
      <c r="H689" s="8"/>
      <c r="I689" s="8"/>
      <c r="J689" s="8"/>
      <c r="K689" s="8"/>
      <c r="L689" s="8"/>
      <c r="M689" s="8"/>
      <c r="N689" s="15"/>
      <c r="O689" s="16">
        <f t="shared" si="314"/>
        <v>0</v>
      </c>
      <c r="Q689" s="266"/>
      <c r="R689" s="266"/>
      <c r="S689" s="266"/>
      <c r="T689" s="266"/>
      <c r="U689" s="266"/>
      <c r="V689" s="266"/>
      <c r="W689" s="266"/>
      <c r="X689" s="266"/>
      <c r="Y689" s="266"/>
      <c r="Z689" s="266">
        <f t="shared" si="315"/>
        <v>0</v>
      </c>
    </row>
    <row r="690" spans="1:40" ht="15" thickTop="1" thickBot="1">
      <c r="A690" s="283" t="str">
        <f t="shared" si="313"/>
        <v>4240-00</v>
      </c>
      <c r="B690" s="19"/>
      <c r="C690" s="19"/>
      <c r="D690" s="19"/>
      <c r="E690" s="20" t="s">
        <v>3</v>
      </c>
      <c r="F690" s="271"/>
      <c r="G690" s="21"/>
      <c r="H690" s="22"/>
      <c r="I690" s="22"/>
      <c r="J690" s="22"/>
      <c r="K690" s="22"/>
      <c r="L690" s="22"/>
      <c r="M690" s="22"/>
      <c r="N690" s="22"/>
      <c r="O690" s="23">
        <f t="shared" si="314"/>
        <v>0</v>
      </c>
      <c r="Q690" s="252" t="s">
        <v>2</v>
      </c>
      <c r="R690" s="272">
        <f>500/10.2</f>
        <v>49.019607843137258</v>
      </c>
      <c r="S690" s="252">
        <f>49*1.2</f>
        <v>58.8</v>
      </c>
      <c r="T690" s="252">
        <f>49*2.1</f>
        <v>102.9</v>
      </c>
      <c r="U690" s="252">
        <f>49*2.4</f>
        <v>117.6</v>
      </c>
      <c r="V690" s="252">
        <f>49*2.4</f>
        <v>117.6</v>
      </c>
      <c r="W690" s="252">
        <f>49*1.5</f>
        <v>73.5</v>
      </c>
      <c r="X690" s="252">
        <f>49*0.9</f>
        <v>44.1</v>
      </c>
      <c r="Y690" s="266"/>
      <c r="Z690" s="266">
        <f t="shared" si="315"/>
        <v>514.5</v>
      </c>
    </row>
    <row r="691" spans="1:40" ht="15" thickTop="1" thickBot="1">
      <c r="A691" s="284" t="str">
        <f t="shared" si="313"/>
        <v>4240-00</v>
      </c>
      <c r="B691" s="47"/>
      <c r="C691" s="47"/>
      <c r="D691" s="47"/>
      <c r="E691" s="48" t="s">
        <v>23</v>
      </c>
      <c r="F691" s="49" t="str">
        <f>+B684</f>
        <v>B2868-V3</v>
      </c>
      <c r="G691" s="48"/>
      <c r="H691" s="48">
        <f>+H685-H686-H687-H688-H690+H689</f>
        <v>-29</v>
      </c>
      <c r="I691" s="48">
        <f>+I685-I686-I687-I688-I690+I689</f>
        <v>0</v>
      </c>
      <c r="J691" s="48">
        <f>+J685-J686-J687-J688-J690-J689</f>
        <v>-12</v>
      </c>
      <c r="K691" s="48">
        <f>+K685-K686-K687-K688-K690-K689</f>
        <v>-1</v>
      </c>
      <c r="L691" s="48">
        <f>+L685-L686-L687-L688-L690-L689</f>
        <v>-16</v>
      </c>
      <c r="M691" s="48">
        <f>+M685-M686-M687-M688-M690-M689</f>
        <v>4</v>
      </c>
      <c r="N691" s="48"/>
      <c r="O691" s="48">
        <f t="shared" si="314"/>
        <v>-54</v>
      </c>
      <c r="Q691" s="266"/>
      <c r="R691" s="266"/>
      <c r="S691" s="252">
        <f t="shared" ref="S691:X691" si="316">SUM(S687:S690)</f>
        <v>58.8</v>
      </c>
      <c r="T691" s="252">
        <f t="shared" si="316"/>
        <v>102.9</v>
      </c>
      <c r="U691" s="252">
        <f t="shared" si="316"/>
        <v>117.6</v>
      </c>
      <c r="V691" s="252">
        <f t="shared" si="316"/>
        <v>117.6</v>
      </c>
      <c r="W691" s="252">
        <f t="shared" si="316"/>
        <v>73.5</v>
      </c>
      <c r="X691" s="252">
        <f t="shared" si="316"/>
        <v>44.1</v>
      </c>
      <c r="Y691" s="252"/>
      <c r="Z691" s="252">
        <f t="shared" si="315"/>
        <v>514.5</v>
      </c>
    </row>
    <row r="692" spans="1:40" ht="15" thickTop="1" thickBot="1">
      <c r="A692" s="274" t="s">
        <v>7</v>
      </c>
      <c r="B692" s="43" t="s">
        <v>8</v>
      </c>
      <c r="C692" s="43"/>
      <c r="D692" s="43"/>
      <c r="E692" s="44" t="s">
        <v>9</v>
      </c>
      <c r="F692" s="45"/>
      <c r="G692" s="45"/>
      <c r="H692" s="44"/>
      <c r="I692" s="44"/>
      <c r="J692" s="44"/>
      <c r="K692" s="44"/>
      <c r="L692" s="44"/>
      <c r="M692" s="44"/>
      <c r="N692" s="44"/>
      <c r="O692" s="44"/>
      <c r="AC692" s="275" t="s">
        <v>3</v>
      </c>
      <c r="AD692" s="276">
        <v>46104</v>
      </c>
      <c r="AE692" s="275">
        <v>36</v>
      </c>
      <c r="AF692" s="275">
        <v>38</v>
      </c>
      <c r="AG692" s="275">
        <v>40</v>
      </c>
      <c r="AH692" s="275">
        <v>42</v>
      </c>
      <c r="AI692" s="277">
        <v>44</v>
      </c>
      <c r="AJ692" s="277">
        <v>46</v>
      </c>
      <c r="AK692" s="277" t="s">
        <v>28</v>
      </c>
    </row>
    <row r="693" spans="1:40" ht="20.25" thickTop="1" thickBot="1">
      <c r="A693" s="278" t="s">
        <v>195</v>
      </c>
      <c r="B693" s="38" t="s">
        <v>184</v>
      </c>
      <c r="C693" s="9" t="s">
        <v>12</v>
      </c>
      <c r="D693" s="9" t="s">
        <v>13</v>
      </c>
      <c r="E693" s="10"/>
      <c r="F693" s="256" t="s">
        <v>14</v>
      </c>
      <c r="G693" s="257">
        <v>34</v>
      </c>
      <c r="H693" s="257">
        <v>36</v>
      </c>
      <c r="I693" s="257">
        <v>38</v>
      </c>
      <c r="J693" s="257">
        <v>40</v>
      </c>
      <c r="K693" s="257">
        <v>42</v>
      </c>
      <c r="L693" s="257">
        <v>44</v>
      </c>
      <c r="M693" s="257">
        <v>46</v>
      </c>
      <c r="N693" s="257"/>
      <c r="O693" s="258" t="s">
        <v>15</v>
      </c>
      <c r="Q693" s="259" t="s">
        <v>14</v>
      </c>
      <c r="R693" s="259"/>
      <c r="S693" s="259">
        <v>36</v>
      </c>
      <c r="T693" s="259">
        <v>38</v>
      </c>
      <c r="U693" s="259">
        <v>40</v>
      </c>
      <c r="V693" s="259">
        <v>42</v>
      </c>
      <c r="W693" s="259">
        <v>44</v>
      </c>
      <c r="X693" s="259">
        <v>46</v>
      </c>
      <c r="Y693" s="259"/>
      <c r="Z693" s="259" t="s">
        <v>15</v>
      </c>
      <c r="AC693" s="279" t="s">
        <v>29</v>
      </c>
      <c r="AD693" s="192">
        <v>11576</v>
      </c>
      <c r="AE693" s="279">
        <v>20</v>
      </c>
      <c r="AF693" s="279">
        <v>38</v>
      </c>
      <c r="AG693" s="279">
        <v>42</v>
      </c>
      <c r="AH693" s="279">
        <v>34</v>
      </c>
      <c r="AI693" s="279">
        <v>24</v>
      </c>
      <c r="AJ693" s="279">
        <v>16</v>
      </c>
      <c r="AK693" s="275">
        <f>SUM(AE693:AJ693)</f>
        <v>174</v>
      </c>
    </row>
    <row r="694" spans="1:40" ht="20.25" thickTop="1" thickBot="1">
      <c r="A694" s="280" t="str">
        <f t="shared" ref="A694:A700" si="317">+A693</f>
        <v>4242-00</v>
      </c>
      <c r="B694" s="39" t="s">
        <v>16</v>
      </c>
      <c r="C694" s="39"/>
      <c r="D694" s="39" t="str">
        <f>+B693</f>
        <v>X206-B1</v>
      </c>
      <c r="E694" s="40"/>
      <c r="F694" s="261" t="s">
        <v>1</v>
      </c>
      <c r="G694" s="261"/>
      <c r="H694" s="262">
        <f>'BASE DATOS'!C80</f>
        <v>15</v>
      </c>
      <c r="I694" s="262">
        <f>'BASE DATOS'!D80</f>
        <v>31</v>
      </c>
      <c r="J694" s="262">
        <f>'BASE DATOS'!E80</f>
        <v>36</v>
      </c>
      <c r="K694" s="262">
        <f>'BASE DATOS'!F80</f>
        <v>29</v>
      </c>
      <c r="L694" s="262">
        <f>'BASE DATOS'!G80</f>
        <v>21</v>
      </c>
      <c r="M694" s="262">
        <f>'BASE DATOS'!H80</f>
        <v>14</v>
      </c>
      <c r="N694" s="262"/>
      <c r="O694" s="263">
        <f t="shared" ref="O694:O700" si="318">SUM(H694:N694)</f>
        <v>146</v>
      </c>
      <c r="Q694" s="264"/>
      <c r="R694" s="264"/>
      <c r="S694" s="264"/>
      <c r="T694" s="264"/>
      <c r="U694" s="264"/>
      <c r="V694" s="264"/>
      <c r="W694" s="264"/>
      <c r="X694" s="264"/>
      <c r="Y694" s="264"/>
      <c r="Z694" s="264">
        <f>SUBTOTAL(9,S694:Y694)</f>
        <v>0</v>
      </c>
      <c r="AC694" s="281" t="s">
        <v>30</v>
      </c>
      <c r="AD694" s="196">
        <v>4242</v>
      </c>
    </row>
    <row r="695" spans="1:40" ht="22.5" thickTop="1" thickBot="1">
      <c r="A695" s="280" t="str">
        <f t="shared" si="317"/>
        <v>4242-00</v>
      </c>
      <c r="B695" s="3">
        <v>46104</v>
      </c>
      <c r="C695" s="4" t="s">
        <v>17</v>
      </c>
      <c r="D695" s="4" t="s">
        <v>152</v>
      </c>
      <c r="E695" s="5" t="s">
        <v>3</v>
      </c>
      <c r="F695" s="265">
        <v>11576</v>
      </c>
      <c r="G695" s="2"/>
      <c r="H695" s="7">
        <v>20</v>
      </c>
      <c r="I695" s="7">
        <v>42</v>
      </c>
      <c r="J695" s="7">
        <v>40</v>
      </c>
      <c r="K695" s="7">
        <v>38</v>
      </c>
      <c r="L695" s="7">
        <v>20</v>
      </c>
      <c r="M695" s="7">
        <v>16</v>
      </c>
      <c r="N695" s="8"/>
      <c r="O695" s="14">
        <f t="shared" si="318"/>
        <v>176</v>
      </c>
      <c r="Q695" s="252" t="s">
        <v>19</v>
      </c>
      <c r="R695" s="266"/>
      <c r="S695" s="266"/>
      <c r="T695" s="266"/>
      <c r="U695" s="266"/>
      <c r="V695" s="266"/>
      <c r="W695" s="266"/>
      <c r="X695" s="266"/>
      <c r="Y695" s="267"/>
      <c r="Z695" s="268">
        <f t="shared" ref="Z695:Z700" si="319">SUM(S695:Y695)</f>
        <v>0</v>
      </c>
      <c r="AC695" s="279" t="s">
        <v>32</v>
      </c>
      <c r="AD695" s="504" t="s">
        <v>184</v>
      </c>
      <c r="AE695" s="635" t="s">
        <v>196</v>
      </c>
      <c r="AF695" s="636"/>
      <c r="AG695" s="636"/>
      <c r="AH695" s="636"/>
      <c r="AI695" s="636"/>
      <c r="AJ695" s="636"/>
      <c r="AK695" s="636"/>
    </row>
    <row r="696" spans="1:40" ht="16.5" thickTop="1" thickBot="1">
      <c r="A696" s="280" t="str">
        <f t="shared" si="317"/>
        <v>4242-00</v>
      </c>
      <c r="B696" s="3"/>
      <c r="C696" s="3"/>
      <c r="D696" s="3"/>
      <c r="E696" s="5" t="s">
        <v>3</v>
      </c>
      <c r="F696" s="269"/>
      <c r="G696" s="6"/>
      <c r="H696" s="7"/>
      <c r="I696" s="7"/>
      <c r="J696" s="7"/>
      <c r="K696" s="7"/>
      <c r="L696" s="7"/>
      <c r="M696" s="7"/>
      <c r="N696" s="15"/>
      <c r="O696" s="14">
        <f t="shared" si="318"/>
        <v>0</v>
      </c>
      <c r="Q696" s="252" t="s">
        <v>4</v>
      </c>
      <c r="R696" s="266">
        <f>78/19</f>
        <v>4.1052631578947372</v>
      </c>
      <c r="S696" s="266"/>
      <c r="T696" s="266"/>
      <c r="U696" s="266"/>
      <c r="V696" s="266"/>
      <c r="W696" s="266"/>
      <c r="X696" s="266"/>
      <c r="Y696" s="266"/>
      <c r="Z696" s="266">
        <f t="shared" si="319"/>
        <v>0</v>
      </c>
      <c r="AC696" s="279" t="s">
        <v>12</v>
      </c>
      <c r="AD696" s="503" t="s">
        <v>13</v>
      </c>
      <c r="AE696" s="635"/>
      <c r="AF696" s="636"/>
      <c r="AG696" s="636"/>
      <c r="AH696" s="636"/>
      <c r="AI696" s="636"/>
      <c r="AJ696" s="636"/>
      <c r="AK696" s="636"/>
    </row>
    <row r="697" spans="1:40" ht="17.25" thickTop="1" thickBot="1">
      <c r="A697" s="280" t="str">
        <f t="shared" si="317"/>
        <v>4242-00</v>
      </c>
      <c r="B697" s="3"/>
      <c r="C697" s="3"/>
      <c r="D697" s="3"/>
      <c r="E697" s="5" t="s">
        <v>3</v>
      </c>
      <c r="F697" s="269"/>
      <c r="G697" s="6"/>
      <c r="H697" s="15"/>
      <c r="I697" s="15"/>
      <c r="J697" s="15"/>
      <c r="K697" s="15"/>
      <c r="L697" s="15"/>
      <c r="M697" s="15"/>
      <c r="N697" s="15"/>
      <c r="O697" s="16">
        <f t="shared" si="318"/>
        <v>0</v>
      </c>
      <c r="Q697" s="252" t="s">
        <v>6</v>
      </c>
      <c r="R697" s="266">
        <f>25/11</f>
        <v>2.2727272727272729</v>
      </c>
      <c r="S697" s="266"/>
      <c r="T697" s="266"/>
      <c r="U697" s="266"/>
      <c r="V697" s="266"/>
      <c r="W697" s="266"/>
      <c r="X697" s="266"/>
      <c r="Y697" s="266"/>
      <c r="Z697" s="266">
        <f t="shared" si="319"/>
        <v>0</v>
      </c>
      <c r="AC697" s="279" t="s">
        <v>17</v>
      </c>
      <c r="AD697" s="503" t="s">
        <v>152</v>
      </c>
      <c r="AE697" s="637" t="s">
        <v>197</v>
      </c>
      <c r="AF697" s="638"/>
      <c r="AG697" s="638"/>
      <c r="AH697" s="638"/>
      <c r="AI697" s="638"/>
      <c r="AJ697" s="638"/>
      <c r="AK697" s="638"/>
    </row>
    <row r="698" spans="1:40" ht="15" thickTop="1" thickBot="1">
      <c r="A698" s="280" t="str">
        <f t="shared" si="317"/>
        <v>4242-00</v>
      </c>
      <c r="B698" s="3"/>
      <c r="C698" s="3"/>
      <c r="D698" s="3"/>
      <c r="E698" s="5" t="s">
        <v>3</v>
      </c>
      <c r="F698" s="269"/>
      <c r="G698" s="6"/>
      <c r="H698" s="8"/>
      <c r="I698" s="8"/>
      <c r="J698" s="8"/>
      <c r="K698" s="8"/>
      <c r="L698" s="8"/>
      <c r="M698" s="8"/>
      <c r="N698" s="15"/>
      <c r="O698" s="16">
        <f t="shared" si="318"/>
        <v>0</v>
      </c>
      <c r="Q698" s="266"/>
      <c r="R698" s="266"/>
      <c r="S698" s="266"/>
      <c r="T698" s="266"/>
      <c r="U698" s="266"/>
      <c r="V698" s="266"/>
      <c r="W698" s="266"/>
      <c r="X698" s="266"/>
      <c r="Y698" s="266"/>
      <c r="Z698" s="266">
        <f t="shared" si="319"/>
        <v>0</v>
      </c>
    </row>
    <row r="699" spans="1:40" ht="15" thickTop="1" thickBot="1">
      <c r="A699" s="283" t="str">
        <f t="shared" si="317"/>
        <v>4242-00</v>
      </c>
      <c r="B699" s="19"/>
      <c r="C699" s="19"/>
      <c r="D699" s="19"/>
      <c r="E699" s="20" t="s">
        <v>3</v>
      </c>
      <c r="F699" s="271"/>
      <c r="G699" s="21"/>
      <c r="H699" s="22"/>
      <c r="I699" s="22"/>
      <c r="J699" s="22"/>
      <c r="K699" s="22"/>
      <c r="L699" s="22"/>
      <c r="M699" s="22"/>
      <c r="N699" s="22"/>
      <c r="O699" s="23">
        <f t="shared" si="318"/>
        <v>0</v>
      </c>
      <c r="Q699" s="252" t="s">
        <v>2</v>
      </c>
      <c r="R699" s="272">
        <f>500/10.2</f>
        <v>49.019607843137258</v>
      </c>
      <c r="S699" s="252">
        <f>49*1.2</f>
        <v>58.8</v>
      </c>
      <c r="T699" s="252">
        <f>49*2.1</f>
        <v>102.9</v>
      </c>
      <c r="U699" s="252">
        <f>49*2.4</f>
        <v>117.6</v>
      </c>
      <c r="V699" s="252">
        <f>49*2.4</f>
        <v>117.6</v>
      </c>
      <c r="W699" s="252">
        <f>49*1.5</f>
        <v>73.5</v>
      </c>
      <c r="X699" s="252">
        <f>49*0.9</f>
        <v>44.1</v>
      </c>
      <c r="Y699" s="266"/>
      <c r="Z699" s="266">
        <f t="shared" si="319"/>
        <v>514.5</v>
      </c>
    </row>
    <row r="700" spans="1:40" ht="15" thickTop="1" thickBot="1">
      <c r="A700" s="284" t="str">
        <f t="shared" si="317"/>
        <v>4242-00</v>
      </c>
      <c r="B700" s="47"/>
      <c r="C700" s="47"/>
      <c r="D700" s="47"/>
      <c r="E700" s="48" t="s">
        <v>23</v>
      </c>
      <c r="F700" s="49" t="str">
        <f>+B693</f>
        <v>X206-B1</v>
      </c>
      <c r="G700" s="48"/>
      <c r="H700" s="48">
        <f>+H694-H695-H696-H697-H699+H698</f>
        <v>-5</v>
      </c>
      <c r="I700" s="48">
        <f>+I694-I695-I696-I697-I699+I698</f>
        <v>-11</v>
      </c>
      <c r="J700" s="48">
        <f>+J694-J695-J696-J697-J699-J698</f>
        <v>-4</v>
      </c>
      <c r="K700" s="48">
        <f>+K694-K695-K696-K697-K699-K698</f>
        <v>-9</v>
      </c>
      <c r="L700" s="48">
        <f>+L694-L695-L696-L697-L699-L698</f>
        <v>1</v>
      </c>
      <c r="M700" s="48">
        <f>+M694-M695-M696-M697-M699-M698</f>
        <v>-2</v>
      </c>
      <c r="N700" s="48"/>
      <c r="O700" s="48">
        <f t="shared" si="318"/>
        <v>-30</v>
      </c>
      <c r="Q700" s="266"/>
      <c r="R700" s="266"/>
      <c r="S700" s="252">
        <f t="shared" ref="S700:X700" si="320">SUM(S696:S699)</f>
        <v>58.8</v>
      </c>
      <c r="T700" s="252">
        <f t="shared" si="320"/>
        <v>102.9</v>
      </c>
      <c r="U700" s="252">
        <f t="shared" si="320"/>
        <v>117.6</v>
      </c>
      <c r="V700" s="252">
        <f t="shared" si="320"/>
        <v>117.6</v>
      </c>
      <c r="W700" s="252">
        <f t="shared" si="320"/>
        <v>73.5</v>
      </c>
      <c r="X700" s="252">
        <f t="shared" si="320"/>
        <v>44.1</v>
      </c>
      <c r="Y700" s="252"/>
      <c r="Z700" s="252">
        <f t="shared" si="319"/>
        <v>514.5</v>
      </c>
      <c r="AI700" s="250"/>
      <c r="AJ700" s="250"/>
      <c r="AK700" s="250"/>
      <c r="AL700" s="250"/>
      <c r="AM700" s="250"/>
      <c r="AN700" s="250"/>
    </row>
    <row r="701" spans="1:40" ht="15" thickTop="1" thickBot="1">
      <c r="A701" s="274" t="s">
        <v>7</v>
      </c>
      <c r="B701" s="43" t="s">
        <v>8</v>
      </c>
      <c r="C701" s="43"/>
      <c r="D701" s="43"/>
      <c r="E701" s="44" t="s">
        <v>9</v>
      </c>
      <c r="F701" s="45"/>
      <c r="G701" s="45"/>
      <c r="H701" s="44"/>
      <c r="I701" s="44"/>
      <c r="J701" s="44"/>
      <c r="K701" s="44"/>
      <c r="L701" s="44"/>
      <c r="M701" s="44"/>
      <c r="N701" s="44"/>
      <c r="O701" s="44"/>
      <c r="AC701" s="275" t="s">
        <v>3</v>
      </c>
      <c r="AD701" s="276">
        <v>46105</v>
      </c>
      <c r="AE701" s="275">
        <v>36</v>
      </c>
      <c r="AF701" s="275">
        <v>38</v>
      </c>
      <c r="AG701" s="275">
        <v>40</v>
      </c>
      <c r="AH701" s="275">
        <v>42</v>
      </c>
      <c r="AI701" s="277">
        <v>44</v>
      </c>
      <c r="AJ701" s="277">
        <v>46</v>
      </c>
      <c r="AK701" s="277" t="s">
        <v>28</v>
      </c>
    </row>
    <row r="702" spans="1:40" ht="20.25" thickTop="1" thickBot="1">
      <c r="A702" s="278" t="s">
        <v>198</v>
      </c>
      <c r="B702" s="38" t="s">
        <v>95</v>
      </c>
      <c r="C702" s="9" t="s">
        <v>12</v>
      </c>
      <c r="D702" s="9" t="s">
        <v>13</v>
      </c>
      <c r="E702" s="10"/>
      <c r="F702" s="256" t="s">
        <v>14</v>
      </c>
      <c r="G702" s="257">
        <v>34</v>
      </c>
      <c r="H702" s="257">
        <v>36</v>
      </c>
      <c r="I702" s="257">
        <v>38</v>
      </c>
      <c r="J702" s="257">
        <v>40</v>
      </c>
      <c r="K702" s="257">
        <v>42</v>
      </c>
      <c r="L702" s="257">
        <v>44</v>
      </c>
      <c r="M702" s="257">
        <v>46</v>
      </c>
      <c r="N702" s="257"/>
      <c r="O702" s="258" t="s">
        <v>15</v>
      </c>
      <c r="Q702" s="259" t="s">
        <v>14</v>
      </c>
      <c r="R702" s="259"/>
      <c r="S702" s="259">
        <v>36</v>
      </c>
      <c r="T702" s="259">
        <v>38</v>
      </c>
      <c r="U702" s="259">
        <v>40</v>
      </c>
      <c r="V702" s="259">
        <v>42</v>
      </c>
      <c r="W702" s="259">
        <v>44</v>
      </c>
      <c r="X702" s="259">
        <v>46</v>
      </c>
      <c r="Y702" s="259"/>
      <c r="Z702" s="259" t="s">
        <v>15</v>
      </c>
      <c r="AC702" s="279" t="s">
        <v>29</v>
      </c>
      <c r="AD702" s="192">
        <v>11578</v>
      </c>
      <c r="AE702" s="279">
        <v>12</v>
      </c>
      <c r="AF702" s="279">
        <v>38</v>
      </c>
      <c r="AG702" s="279">
        <v>38</v>
      </c>
      <c r="AH702" s="279">
        <v>40</v>
      </c>
      <c r="AI702" s="279">
        <v>18</v>
      </c>
      <c r="AJ702" s="279">
        <v>24</v>
      </c>
      <c r="AK702" s="275">
        <f>SUM(AE702:AJ702)</f>
        <v>170</v>
      </c>
    </row>
    <row r="703" spans="1:40" ht="20.25" thickTop="1" thickBot="1">
      <c r="A703" s="280" t="str">
        <f t="shared" ref="A703:A709" si="321">+A702</f>
        <v>4243-00</v>
      </c>
      <c r="B703" s="39" t="s">
        <v>16</v>
      </c>
      <c r="C703" s="39"/>
      <c r="D703" s="39" t="str">
        <f>+B702</f>
        <v>New Glue</v>
      </c>
      <c r="E703" s="40"/>
      <c r="F703" s="261" t="s">
        <v>1</v>
      </c>
      <c r="G703" s="261"/>
      <c r="H703" s="262">
        <f>'BASE DATOS'!C81</f>
        <v>39</v>
      </c>
      <c r="I703" s="262">
        <f>'BASE DATOS'!D81</f>
        <v>68</v>
      </c>
      <c r="J703" s="262">
        <f>'BASE DATOS'!E81</f>
        <v>73</v>
      </c>
      <c r="K703" s="262">
        <f>'BASE DATOS'!F81</f>
        <v>72</v>
      </c>
      <c r="L703" s="262">
        <f>'BASE DATOS'!G81</f>
        <v>52</v>
      </c>
      <c r="M703" s="262">
        <f>'BASE DATOS'!H81</f>
        <v>40</v>
      </c>
      <c r="N703" s="262"/>
      <c r="O703" s="263">
        <f t="shared" ref="O703:O709" si="322">SUM(H703:N703)</f>
        <v>344</v>
      </c>
      <c r="Q703" s="264"/>
      <c r="R703" s="264"/>
      <c r="S703" s="264"/>
      <c r="T703" s="264"/>
      <c r="U703" s="264"/>
      <c r="V703" s="264"/>
      <c r="W703" s="264"/>
      <c r="X703" s="264"/>
      <c r="Y703" s="264"/>
      <c r="Z703" s="264">
        <f>SUBTOTAL(9,S703:Y703)</f>
        <v>0</v>
      </c>
      <c r="AC703" s="281" t="s">
        <v>30</v>
      </c>
      <c r="AD703" s="196">
        <v>4243</v>
      </c>
    </row>
    <row r="704" spans="1:40" ht="22.5" thickTop="1" thickBot="1">
      <c r="A704" s="280" t="str">
        <f t="shared" si="321"/>
        <v>4243-00</v>
      </c>
      <c r="B704" s="3">
        <v>45987</v>
      </c>
      <c r="C704" s="4" t="s">
        <v>17</v>
      </c>
      <c r="D704" s="4" t="s">
        <v>18</v>
      </c>
      <c r="E704" s="5" t="s">
        <v>3</v>
      </c>
      <c r="F704" s="265" t="s">
        <v>199</v>
      </c>
      <c r="G704" s="2"/>
      <c r="H704" s="7">
        <v>32</v>
      </c>
      <c r="I704" s="7">
        <v>40</v>
      </c>
      <c r="J704" s="7">
        <v>47</v>
      </c>
      <c r="K704" s="7">
        <v>41</v>
      </c>
      <c r="L704" s="7">
        <v>37</v>
      </c>
      <c r="M704" s="7">
        <v>19</v>
      </c>
      <c r="N704" s="8"/>
      <c r="O704" s="14">
        <f t="shared" si="322"/>
        <v>216</v>
      </c>
      <c r="Q704" s="252" t="s">
        <v>19</v>
      </c>
      <c r="R704" s="266"/>
      <c r="S704" s="266"/>
      <c r="T704" s="266"/>
      <c r="U704" s="266"/>
      <c r="V704" s="266"/>
      <c r="W704" s="266"/>
      <c r="X704" s="266"/>
      <c r="Y704" s="267"/>
      <c r="Z704" s="268">
        <f t="shared" ref="Z704:Z709" si="323">SUM(S704:Y704)</f>
        <v>0</v>
      </c>
      <c r="AC704" s="279" t="s">
        <v>32</v>
      </c>
      <c r="AD704" s="504" t="s">
        <v>200</v>
      </c>
      <c r="AE704" s="635"/>
      <c r="AF704" s="636"/>
      <c r="AG704" s="636"/>
      <c r="AH704" s="636"/>
      <c r="AI704" s="636"/>
      <c r="AJ704" s="636"/>
      <c r="AK704" s="636"/>
    </row>
    <row r="705" spans="1:37" ht="16.5" thickTop="1" thickBot="1">
      <c r="A705" s="280" t="str">
        <f t="shared" si="321"/>
        <v>4243-00</v>
      </c>
      <c r="B705" s="3">
        <v>46105</v>
      </c>
      <c r="C705" s="3"/>
      <c r="D705" s="57" t="s">
        <v>201</v>
      </c>
      <c r="E705" s="5" t="s">
        <v>3</v>
      </c>
      <c r="F705" s="269" t="s">
        <v>202</v>
      </c>
      <c r="G705" s="6"/>
      <c r="H705" s="279">
        <v>12</v>
      </c>
      <c r="I705" s="279">
        <v>38</v>
      </c>
      <c r="J705" s="279">
        <v>38</v>
      </c>
      <c r="K705" s="279">
        <v>40</v>
      </c>
      <c r="L705" s="279">
        <v>18</v>
      </c>
      <c r="M705" s="279">
        <v>24</v>
      </c>
      <c r="N705" s="15"/>
      <c r="O705" s="14">
        <f t="shared" si="322"/>
        <v>170</v>
      </c>
      <c r="Q705" s="252" t="s">
        <v>4</v>
      </c>
      <c r="R705" s="266">
        <f>78/19</f>
        <v>4.1052631578947372</v>
      </c>
      <c r="S705" s="266"/>
      <c r="T705" s="266"/>
      <c r="U705" s="266"/>
      <c r="V705" s="266"/>
      <c r="W705" s="266"/>
      <c r="X705" s="266"/>
      <c r="Y705" s="266"/>
      <c r="Z705" s="266">
        <f t="shared" si="323"/>
        <v>0</v>
      </c>
      <c r="AC705" s="279" t="s">
        <v>12</v>
      </c>
      <c r="AD705" s="503" t="s">
        <v>13</v>
      </c>
      <c r="AE705" s="635"/>
      <c r="AF705" s="636"/>
      <c r="AG705" s="636"/>
      <c r="AH705" s="636"/>
      <c r="AI705" s="636"/>
      <c r="AJ705" s="636"/>
      <c r="AK705" s="636"/>
    </row>
    <row r="706" spans="1:37" ht="17.25" thickTop="1" thickBot="1">
      <c r="A706" s="280" t="str">
        <f t="shared" si="321"/>
        <v>4243-00</v>
      </c>
      <c r="B706" s="3"/>
      <c r="C706" s="3"/>
      <c r="D706" s="3"/>
      <c r="E706" s="5" t="s">
        <v>3</v>
      </c>
      <c r="F706" s="269"/>
      <c r="G706" s="6"/>
      <c r="H706" s="15"/>
      <c r="I706" s="15"/>
      <c r="J706" s="15"/>
      <c r="K706" s="15"/>
      <c r="L706" s="15"/>
      <c r="M706" s="15"/>
      <c r="N706" s="15"/>
      <c r="O706" s="16">
        <f t="shared" si="322"/>
        <v>0</v>
      </c>
      <c r="Q706" s="252" t="s">
        <v>6</v>
      </c>
      <c r="R706" s="266">
        <f>25/11</f>
        <v>2.2727272727272729</v>
      </c>
      <c r="S706" s="266"/>
      <c r="T706" s="266"/>
      <c r="U706" s="266"/>
      <c r="V706" s="266"/>
      <c r="W706" s="266"/>
      <c r="X706" s="266"/>
      <c r="Y706" s="266"/>
      <c r="Z706" s="266">
        <f t="shared" si="323"/>
        <v>0</v>
      </c>
      <c r="AC706" s="279" t="s">
        <v>17</v>
      </c>
      <c r="AD706" s="503" t="s">
        <v>18</v>
      </c>
      <c r="AE706" s="637"/>
      <c r="AF706" s="638"/>
      <c r="AG706" s="638"/>
      <c r="AH706" s="638"/>
      <c r="AI706" s="638"/>
      <c r="AJ706" s="638"/>
      <c r="AK706" s="638"/>
    </row>
    <row r="707" spans="1:37" ht="15" thickTop="1" thickBot="1">
      <c r="A707" s="280" t="str">
        <f t="shared" si="321"/>
        <v>4243-00</v>
      </c>
      <c r="B707" s="3"/>
      <c r="C707" s="3"/>
      <c r="D707" s="3"/>
      <c r="E707" s="5" t="s">
        <v>3</v>
      </c>
      <c r="F707" s="269"/>
      <c r="G707" s="6"/>
      <c r="H707" s="8"/>
      <c r="I707" s="8"/>
      <c r="J707" s="8"/>
      <c r="K707" s="8"/>
      <c r="L707" s="8"/>
      <c r="M707" s="8"/>
      <c r="N707" s="15"/>
      <c r="O707" s="16">
        <f t="shared" si="322"/>
        <v>0</v>
      </c>
      <c r="Q707" s="266"/>
      <c r="R707" s="266"/>
      <c r="S707" s="266"/>
      <c r="T707" s="266"/>
      <c r="U707" s="266"/>
      <c r="V707" s="266"/>
      <c r="W707" s="266"/>
      <c r="X707" s="266"/>
      <c r="Y707" s="266"/>
      <c r="Z707" s="266">
        <f t="shared" si="323"/>
        <v>0</v>
      </c>
    </row>
    <row r="708" spans="1:37" ht="15" thickTop="1" thickBot="1">
      <c r="A708" s="283" t="str">
        <f t="shared" si="321"/>
        <v>4243-00</v>
      </c>
      <c r="B708" s="19"/>
      <c r="C708" s="19"/>
      <c r="D708" s="19"/>
      <c r="E708" s="20" t="s">
        <v>3</v>
      </c>
      <c r="F708" s="271"/>
      <c r="G708" s="21"/>
      <c r="H708" s="22"/>
      <c r="I708" s="22"/>
      <c r="J708" s="22"/>
      <c r="K708" s="22"/>
      <c r="L708" s="22"/>
      <c r="M708" s="22"/>
      <c r="N708" s="22"/>
      <c r="O708" s="23">
        <f t="shared" si="322"/>
        <v>0</v>
      </c>
      <c r="Q708" s="252" t="s">
        <v>2</v>
      </c>
      <c r="R708" s="272">
        <f>500/10.2</f>
        <v>49.019607843137258</v>
      </c>
      <c r="S708" s="252">
        <f>49*1.2</f>
        <v>58.8</v>
      </c>
      <c r="T708" s="252">
        <f>49*2.1</f>
        <v>102.9</v>
      </c>
      <c r="U708" s="252">
        <f>49*2.4</f>
        <v>117.6</v>
      </c>
      <c r="V708" s="252">
        <f>49*2.4</f>
        <v>117.6</v>
      </c>
      <c r="W708" s="252">
        <f>49*1.5</f>
        <v>73.5</v>
      </c>
      <c r="X708" s="252">
        <f>49*0.9</f>
        <v>44.1</v>
      </c>
      <c r="Y708" s="266"/>
      <c r="Z708" s="266">
        <f t="shared" si="323"/>
        <v>514.5</v>
      </c>
    </row>
    <row r="709" spans="1:37" ht="15" thickTop="1" thickBot="1">
      <c r="A709" s="284" t="str">
        <f t="shared" si="321"/>
        <v>4243-00</v>
      </c>
      <c r="B709" s="47"/>
      <c r="C709" s="47"/>
      <c r="D709" s="47"/>
      <c r="E709" s="48" t="s">
        <v>23</v>
      </c>
      <c r="F709" s="49" t="str">
        <f>+B702</f>
        <v>New Glue</v>
      </c>
      <c r="G709" s="48"/>
      <c r="H709" s="48">
        <f>+H703-H704-H705-H706-H708+H707</f>
        <v>-5</v>
      </c>
      <c r="I709" s="48">
        <f>+I703-I704-I705-I706-I708+I707</f>
        <v>-10</v>
      </c>
      <c r="J709" s="48">
        <f>+J703-J704-J705-J706-J708-J707</f>
        <v>-12</v>
      </c>
      <c r="K709" s="48">
        <f>+K703-K704-K705-K706-K708-K707</f>
        <v>-9</v>
      </c>
      <c r="L709" s="48">
        <f>+L703-L704-L705-L706-L708-L707</f>
        <v>-3</v>
      </c>
      <c r="M709" s="48">
        <f>+M703-M704-M705-M706-M708-M707</f>
        <v>-3</v>
      </c>
      <c r="N709" s="48"/>
      <c r="O709" s="48">
        <f t="shared" si="322"/>
        <v>-42</v>
      </c>
      <c r="Q709" s="266"/>
      <c r="R709" s="266"/>
      <c r="S709" s="252">
        <f t="shared" ref="S709:X709" si="324">SUM(S705:S708)</f>
        <v>58.8</v>
      </c>
      <c r="T709" s="252">
        <f t="shared" si="324"/>
        <v>102.9</v>
      </c>
      <c r="U709" s="252">
        <f t="shared" si="324"/>
        <v>117.6</v>
      </c>
      <c r="V709" s="252">
        <f t="shared" si="324"/>
        <v>117.6</v>
      </c>
      <c r="W709" s="252">
        <f t="shared" si="324"/>
        <v>73.5</v>
      </c>
      <c r="X709" s="252">
        <f t="shared" si="324"/>
        <v>44.1</v>
      </c>
      <c r="Y709" s="252"/>
      <c r="Z709" s="252">
        <f t="shared" si="323"/>
        <v>514.5</v>
      </c>
    </row>
    <row r="710" spans="1:37" ht="15" thickTop="1" thickBot="1">
      <c r="A710" s="274" t="s">
        <v>7</v>
      </c>
      <c r="B710" s="43" t="s">
        <v>8</v>
      </c>
      <c r="C710" s="43"/>
      <c r="D710" s="43"/>
      <c r="E710" s="44" t="s">
        <v>9</v>
      </c>
      <c r="F710" s="45"/>
      <c r="G710" s="45"/>
      <c r="H710" s="44"/>
      <c r="I710" s="44"/>
      <c r="J710" s="44"/>
      <c r="K710" s="44"/>
      <c r="L710" s="44"/>
      <c r="M710" s="44"/>
      <c r="N710" s="44"/>
      <c r="O710" s="44"/>
      <c r="AI710" s="250"/>
      <c r="AJ710" s="250"/>
    </row>
    <row r="711" spans="1:37" ht="15" thickTop="1" thickBot="1">
      <c r="A711" s="278" t="s">
        <v>203</v>
      </c>
      <c r="B711" s="38" t="s">
        <v>11</v>
      </c>
      <c r="C711" s="9" t="s">
        <v>12</v>
      </c>
      <c r="D711" s="9" t="s">
        <v>13</v>
      </c>
      <c r="E711" s="10"/>
      <c r="F711" s="256" t="s">
        <v>14</v>
      </c>
      <c r="G711" s="257">
        <v>34</v>
      </c>
      <c r="H711" s="257">
        <v>36</v>
      </c>
      <c r="I711" s="257">
        <v>38</v>
      </c>
      <c r="J711" s="257">
        <v>40</v>
      </c>
      <c r="K711" s="257">
        <v>42</v>
      </c>
      <c r="L711" s="257">
        <v>44</v>
      </c>
      <c r="M711" s="257">
        <v>46</v>
      </c>
      <c r="N711" s="257"/>
      <c r="O711" s="258" t="s">
        <v>15</v>
      </c>
      <c r="Q711" s="259" t="s">
        <v>14</v>
      </c>
      <c r="R711" s="259"/>
      <c r="S711" s="259">
        <v>36</v>
      </c>
      <c r="T711" s="259">
        <v>38</v>
      </c>
      <c r="U711" s="259">
        <v>40</v>
      </c>
      <c r="V711" s="259">
        <v>42</v>
      </c>
      <c r="W711" s="259">
        <v>44</v>
      </c>
      <c r="X711" s="259">
        <v>46</v>
      </c>
      <c r="Y711" s="259"/>
      <c r="Z711" s="259" t="s">
        <v>15</v>
      </c>
    </row>
    <row r="712" spans="1:37" ht="15" thickTop="1" thickBot="1">
      <c r="A712" s="280" t="str">
        <f t="shared" ref="A712:A718" si="325">+A711</f>
        <v>4244-00</v>
      </c>
      <c r="B712" s="39" t="s">
        <v>16</v>
      </c>
      <c r="C712" s="39"/>
      <c r="D712" s="39" t="str">
        <f>+B711</f>
        <v>Ibiza Blue</v>
      </c>
      <c r="E712" s="40"/>
      <c r="F712" s="261" t="s">
        <v>1</v>
      </c>
      <c r="G712" s="261"/>
      <c r="H712" s="262">
        <f>'BASE DATOS'!C82</f>
        <v>10</v>
      </c>
      <c r="I712" s="262">
        <f>'BASE DATOS'!D82</f>
        <v>18</v>
      </c>
      <c r="J712" s="262">
        <f>'BASE DATOS'!E82</f>
        <v>23</v>
      </c>
      <c r="K712" s="262">
        <f>'BASE DATOS'!F82</f>
        <v>22</v>
      </c>
      <c r="L712" s="262">
        <f>'BASE DATOS'!G82</f>
        <v>17</v>
      </c>
      <c r="M712" s="262">
        <f>'BASE DATOS'!H82</f>
        <v>9</v>
      </c>
      <c r="N712" s="262"/>
      <c r="O712" s="263">
        <f t="shared" ref="O712:O718" si="326">SUM(H712:N712)</f>
        <v>99</v>
      </c>
      <c r="Q712" s="264"/>
      <c r="R712" s="264"/>
      <c r="S712" s="264"/>
      <c r="T712" s="264"/>
      <c r="U712" s="264"/>
      <c r="V712" s="264"/>
      <c r="W712" s="264"/>
      <c r="X712" s="264"/>
      <c r="Y712" s="264"/>
      <c r="Z712" s="264">
        <f>SUBTOTAL(9,S712:Y712)</f>
        <v>0</v>
      </c>
    </row>
    <row r="713" spans="1:37" ht="15" thickTop="1" thickBot="1">
      <c r="A713" s="280" t="str">
        <f t="shared" si="325"/>
        <v>4244-00</v>
      </c>
      <c r="B713" s="3"/>
      <c r="C713" s="4" t="s">
        <v>17</v>
      </c>
      <c r="D713" s="4" t="s">
        <v>18</v>
      </c>
      <c r="E713" s="5" t="s">
        <v>3</v>
      </c>
      <c r="F713" s="265" t="s">
        <v>204</v>
      </c>
      <c r="G713" s="2"/>
      <c r="H713" s="7">
        <v>44</v>
      </c>
      <c r="I713" s="7">
        <v>55</v>
      </c>
      <c r="J713" s="7">
        <v>57</v>
      </c>
      <c r="K713" s="7">
        <v>61</v>
      </c>
      <c r="L713" s="7">
        <v>26</v>
      </c>
      <c r="M713" s="7">
        <v>7</v>
      </c>
      <c r="N713" s="8"/>
      <c r="O713" s="14">
        <f t="shared" si="326"/>
        <v>250</v>
      </c>
      <c r="Q713" s="252" t="s">
        <v>19</v>
      </c>
      <c r="R713" s="266"/>
      <c r="S713" s="266"/>
      <c r="T713" s="266"/>
      <c r="U713" s="266"/>
      <c r="V713" s="266"/>
      <c r="W713" s="266"/>
      <c r="X713" s="266"/>
      <c r="Y713" s="267"/>
      <c r="Z713" s="268">
        <f t="shared" ref="Z713:Z718" si="327">SUM(S713:Y713)</f>
        <v>0</v>
      </c>
    </row>
    <row r="714" spans="1:37" ht="15" thickTop="1" thickBot="1">
      <c r="A714" s="280" t="str">
        <f t="shared" si="325"/>
        <v>4244-00</v>
      </c>
      <c r="B714" s="3"/>
      <c r="C714" s="3"/>
      <c r="D714" s="57" t="s">
        <v>205</v>
      </c>
      <c r="E714" s="5" t="s">
        <v>3</v>
      </c>
      <c r="F714" s="269"/>
      <c r="G714" s="6"/>
      <c r="H714" s="7"/>
      <c r="I714" s="7"/>
      <c r="J714" s="7"/>
      <c r="K714" s="7"/>
      <c r="L714" s="7"/>
      <c r="M714" s="7"/>
      <c r="N714" s="15"/>
      <c r="O714" s="14">
        <f t="shared" si="326"/>
        <v>0</v>
      </c>
      <c r="Q714" s="252" t="s">
        <v>4</v>
      </c>
      <c r="R714" s="266">
        <f>78/19</f>
        <v>4.1052631578947372</v>
      </c>
      <c r="S714" s="266"/>
      <c r="T714" s="266"/>
      <c r="U714" s="266"/>
      <c r="V714" s="266"/>
      <c r="W714" s="266"/>
      <c r="X714" s="266"/>
      <c r="Y714" s="266"/>
      <c r="Z714" s="266">
        <f t="shared" si="327"/>
        <v>0</v>
      </c>
    </row>
    <row r="715" spans="1:37" ht="15" thickTop="1" thickBot="1">
      <c r="A715" s="280" t="str">
        <f t="shared" si="325"/>
        <v>4244-00</v>
      </c>
      <c r="B715" s="3"/>
      <c r="C715" s="3"/>
      <c r="D715" s="3"/>
      <c r="E715" s="5" t="s">
        <v>3</v>
      </c>
      <c r="F715" s="269"/>
      <c r="G715" s="6"/>
      <c r="H715" s="15"/>
      <c r="I715" s="15"/>
      <c r="J715" s="15"/>
      <c r="K715" s="15"/>
      <c r="L715" s="15"/>
      <c r="M715" s="15"/>
      <c r="N715" s="15"/>
      <c r="O715" s="16">
        <f t="shared" si="326"/>
        <v>0</v>
      </c>
      <c r="Q715" s="252" t="s">
        <v>6</v>
      </c>
      <c r="R715" s="266">
        <f>25/11</f>
        <v>2.2727272727272729</v>
      </c>
      <c r="S715" s="266"/>
      <c r="T715" s="266"/>
      <c r="U715" s="266"/>
      <c r="V715" s="266"/>
      <c r="W715" s="266"/>
      <c r="X715" s="266"/>
      <c r="Y715" s="266"/>
      <c r="Z715" s="266">
        <f t="shared" si="327"/>
        <v>0</v>
      </c>
    </row>
    <row r="716" spans="1:37" ht="15" thickTop="1" thickBot="1">
      <c r="A716" s="280" t="str">
        <f t="shared" si="325"/>
        <v>4244-00</v>
      </c>
      <c r="B716" s="3"/>
      <c r="C716" s="3"/>
      <c r="D716" s="3"/>
      <c r="E716" s="5" t="s">
        <v>3</v>
      </c>
      <c r="F716" s="269"/>
      <c r="G716" s="6"/>
      <c r="H716" s="8"/>
      <c r="I716" s="8"/>
      <c r="J716" s="8"/>
      <c r="K716" s="8"/>
      <c r="L716" s="8"/>
      <c r="M716" s="8"/>
      <c r="N716" s="15"/>
      <c r="O716" s="16">
        <f t="shared" si="326"/>
        <v>0</v>
      </c>
      <c r="Q716" s="266"/>
      <c r="R716" s="266"/>
      <c r="S716" s="266"/>
      <c r="T716" s="266"/>
      <c r="U716" s="266"/>
      <c r="V716" s="266"/>
      <c r="W716" s="266"/>
      <c r="X716" s="266"/>
      <c r="Y716" s="266"/>
      <c r="Z716" s="266">
        <f t="shared" si="327"/>
        <v>0</v>
      </c>
    </row>
    <row r="717" spans="1:37" ht="15" thickTop="1" thickBot="1">
      <c r="A717" s="283" t="str">
        <f t="shared" si="325"/>
        <v>4244-00</v>
      </c>
      <c r="B717" s="19"/>
      <c r="C717" s="19"/>
      <c r="D717" s="19"/>
      <c r="E717" s="20" t="s">
        <v>3</v>
      </c>
      <c r="F717" s="271"/>
      <c r="G717" s="21"/>
      <c r="H717" s="22"/>
      <c r="I717" s="22"/>
      <c r="J717" s="22"/>
      <c r="K717" s="22"/>
      <c r="L717" s="22"/>
      <c r="M717" s="22"/>
      <c r="N717" s="22"/>
      <c r="O717" s="23">
        <f t="shared" si="326"/>
        <v>0</v>
      </c>
      <c r="Q717" s="252" t="s">
        <v>2</v>
      </c>
      <c r="R717" s="272">
        <f>500/10.2</f>
        <v>49.019607843137258</v>
      </c>
      <c r="S717" s="252">
        <f>49*1.2</f>
        <v>58.8</v>
      </c>
      <c r="T717" s="252">
        <f>49*2.1</f>
        <v>102.9</v>
      </c>
      <c r="U717" s="252">
        <f>49*2.4</f>
        <v>117.6</v>
      </c>
      <c r="V717" s="252">
        <f>49*2.4</f>
        <v>117.6</v>
      </c>
      <c r="W717" s="252">
        <f>49*1.5</f>
        <v>73.5</v>
      </c>
      <c r="X717" s="252">
        <f>49*0.9</f>
        <v>44.1</v>
      </c>
      <c r="Y717" s="266"/>
      <c r="Z717" s="266">
        <f t="shared" si="327"/>
        <v>514.5</v>
      </c>
    </row>
    <row r="718" spans="1:37" ht="15" thickTop="1" thickBot="1">
      <c r="A718" s="284" t="str">
        <f t="shared" si="325"/>
        <v>4244-00</v>
      </c>
      <c r="B718" s="47"/>
      <c r="C718" s="47"/>
      <c r="D718" s="47"/>
      <c r="E718" s="48" t="s">
        <v>23</v>
      </c>
      <c r="F718" s="49" t="str">
        <f>+B711</f>
        <v>Ibiza Blue</v>
      </c>
      <c r="G718" s="48"/>
      <c r="H718" s="48">
        <f>+H712-H713-H714-H715-H717+H716</f>
        <v>-34</v>
      </c>
      <c r="I718" s="48">
        <f>+I712-I713-I714-I715-I717+I716</f>
        <v>-37</v>
      </c>
      <c r="J718" s="48">
        <f>+J712-J713-J714-J715-J717-J716</f>
        <v>-34</v>
      </c>
      <c r="K718" s="48">
        <f>+K712-K713-K714-K715-K717-K716</f>
        <v>-39</v>
      </c>
      <c r="L718" s="48">
        <f>+L712-L713-L714-L715-L717-L716</f>
        <v>-9</v>
      </c>
      <c r="M718" s="48">
        <f>+M712-M713-M714-M715-M717-M716</f>
        <v>2</v>
      </c>
      <c r="N718" s="48"/>
      <c r="O718" s="48">
        <f t="shared" si="326"/>
        <v>-151</v>
      </c>
      <c r="Q718" s="266"/>
      <c r="R718" s="266"/>
      <c r="S718" s="252">
        <f t="shared" ref="S718:X718" si="328">SUM(S714:S717)</f>
        <v>58.8</v>
      </c>
      <c r="T718" s="252">
        <f t="shared" si="328"/>
        <v>102.9</v>
      </c>
      <c r="U718" s="252">
        <f t="shared" si="328"/>
        <v>117.6</v>
      </c>
      <c r="V718" s="252">
        <f t="shared" si="328"/>
        <v>117.6</v>
      </c>
      <c r="W718" s="252">
        <f t="shared" si="328"/>
        <v>73.5</v>
      </c>
      <c r="X718" s="252">
        <f t="shared" si="328"/>
        <v>44.1</v>
      </c>
      <c r="Y718" s="252"/>
      <c r="Z718" s="252">
        <f t="shared" si="327"/>
        <v>514.5</v>
      </c>
    </row>
    <row r="719" spans="1:37" ht="15" thickTop="1" thickBot="1">
      <c r="A719" s="274" t="s">
        <v>7</v>
      </c>
      <c r="B719" s="43" t="s">
        <v>8</v>
      </c>
      <c r="C719" s="43"/>
      <c r="D719" s="43"/>
      <c r="E719" s="44" t="s">
        <v>9</v>
      </c>
      <c r="F719" s="45"/>
      <c r="G719" s="45"/>
      <c r="H719" s="44"/>
      <c r="I719" s="44"/>
      <c r="J719" s="44"/>
      <c r="K719" s="44"/>
      <c r="L719" s="44"/>
      <c r="M719" s="44"/>
      <c r="N719" s="44"/>
      <c r="O719" s="44"/>
    </row>
    <row r="720" spans="1:37" ht="15" thickTop="1" thickBot="1">
      <c r="A720" s="278" t="s">
        <v>206</v>
      </c>
      <c r="B720" s="38" t="s">
        <v>36</v>
      </c>
      <c r="C720" s="9" t="s">
        <v>12</v>
      </c>
      <c r="D720" s="9" t="s">
        <v>13</v>
      </c>
      <c r="E720" s="10"/>
      <c r="F720" s="256" t="s">
        <v>14</v>
      </c>
      <c r="G720" s="257">
        <v>34</v>
      </c>
      <c r="H720" s="257">
        <v>36</v>
      </c>
      <c r="I720" s="257">
        <v>38</v>
      </c>
      <c r="J720" s="257">
        <v>40</v>
      </c>
      <c r="K720" s="257">
        <v>42</v>
      </c>
      <c r="L720" s="257">
        <v>44</v>
      </c>
      <c r="M720" s="257">
        <v>46</v>
      </c>
      <c r="N720" s="257"/>
      <c r="O720" s="258" t="s">
        <v>15</v>
      </c>
      <c r="Q720" s="259" t="s">
        <v>14</v>
      </c>
      <c r="R720" s="259"/>
      <c r="S720" s="259">
        <v>36</v>
      </c>
      <c r="T720" s="259">
        <v>38</v>
      </c>
      <c r="U720" s="259">
        <v>40</v>
      </c>
      <c r="V720" s="259">
        <v>42</v>
      </c>
      <c r="W720" s="259">
        <v>44</v>
      </c>
      <c r="X720" s="259">
        <v>46</v>
      </c>
      <c r="Y720" s="259"/>
      <c r="Z720" s="259" t="s">
        <v>15</v>
      </c>
    </row>
    <row r="721" spans="1:26" ht="15" thickTop="1" thickBot="1">
      <c r="A721" s="280" t="str">
        <f t="shared" ref="A721:A727" si="329">+A720</f>
        <v>4245-00</v>
      </c>
      <c r="B721" s="39" t="s">
        <v>16</v>
      </c>
      <c r="C721" s="39"/>
      <c r="D721" s="39" t="str">
        <f>+B720</f>
        <v>B2868-V3</v>
      </c>
      <c r="E721" s="40"/>
      <c r="F721" s="261" t="s">
        <v>1</v>
      </c>
      <c r="G721" s="261"/>
      <c r="H721" s="262">
        <f>'BASE DATOS'!C83</f>
        <v>11</v>
      </c>
      <c r="I721" s="262">
        <f>'BASE DATOS'!D83</f>
        <v>27</v>
      </c>
      <c r="J721" s="262">
        <f>'BASE DATOS'!E83</f>
        <v>25</v>
      </c>
      <c r="K721" s="262">
        <f>'BASE DATOS'!F83</f>
        <v>24</v>
      </c>
      <c r="L721" s="262">
        <f>'BASE DATOS'!G83</f>
        <v>15</v>
      </c>
      <c r="M721" s="262">
        <f>'BASE DATOS'!H83</f>
        <v>13</v>
      </c>
      <c r="N721" s="262"/>
      <c r="O721" s="263">
        <f t="shared" ref="O721:O727" si="330">SUM(H721:N721)</f>
        <v>115</v>
      </c>
      <c r="Q721" s="264"/>
      <c r="R721" s="264"/>
      <c r="S721" s="264"/>
      <c r="T721" s="264"/>
      <c r="U721" s="264"/>
      <c r="V721" s="264"/>
      <c r="W721" s="264"/>
      <c r="X721" s="264"/>
      <c r="Y721" s="264"/>
      <c r="Z721" s="264">
        <f>SUBTOTAL(9,S721:Y721)</f>
        <v>0</v>
      </c>
    </row>
    <row r="722" spans="1:26" ht="15" thickTop="1" thickBot="1">
      <c r="A722" s="280" t="str">
        <f t="shared" si="329"/>
        <v>4245-00</v>
      </c>
      <c r="B722" s="3"/>
      <c r="C722" s="4" t="s">
        <v>17</v>
      </c>
      <c r="D722" s="4" t="s">
        <v>18</v>
      </c>
      <c r="E722" s="5" t="s">
        <v>3</v>
      </c>
      <c r="F722" s="265" t="s">
        <v>207</v>
      </c>
      <c r="G722" s="2"/>
      <c r="H722" s="7">
        <v>18</v>
      </c>
      <c r="I722" s="7">
        <v>30</v>
      </c>
      <c r="J722" s="7">
        <v>29</v>
      </c>
      <c r="K722" s="7">
        <v>30</v>
      </c>
      <c r="L722" s="7">
        <v>23</v>
      </c>
      <c r="M722" s="7">
        <v>7</v>
      </c>
      <c r="N722" s="8"/>
      <c r="O722" s="14">
        <f t="shared" si="330"/>
        <v>137</v>
      </c>
      <c r="Q722" s="252" t="s">
        <v>19</v>
      </c>
      <c r="R722" s="266"/>
      <c r="S722" s="266"/>
      <c r="T722" s="266"/>
      <c r="U722" s="266"/>
      <c r="V722" s="266"/>
      <c r="W722" s="266"/>
      <c r="X722" s="266"/>
      <c r="Y722" s="267"/>
      <c r="Z722" s="268">
        <f t="shared" ref="Z722:Z727" si="331">SUM(S722:Y722)</f>
        <v>0</v>
      </c>
    </row>
    <row r="723" spans="1:26" ht="15" thickTop="1" thickBot="1">
      <c r="A723" s="280" t="str">
        <f t="shared" si="329"/>
        <v>4245-00</v>
      </c>
      <c r="B723" s="3"/>
      <c r="C723" s="3"/>
      <c r="D723" s="57" t="s">
        <v>208</v>
      </c>
      <c r="E723" s="5" t="s">
        <v>3</v>
      </c>
      <c r="F723" s="269"/>
      <c r="G723" s="6"/>
      <c r="H723" s="7"/>
      <c r="I723" s="7"/>
      <c r="J723" s="7"/>
      <c r="K723" s="7"/>
      <c r="L723" s="7"/>
      <c r="M723" s="7"/>
      <c r="N723" s="15"/>
      <c r="O723" s="14">
        <f t="shared" si="330"/>
        <v>0</v>
      </c>
      <c r="Q723" s="252" t="s">
        <v>4</v>
      </c>
      <c r="R723" s="266">
        <f>78/19</f>
        <v>4.1052631578947372</v>
      </c>
      <c r="S723" s="266"/>
      <c r="T723" s="266"/>
      <c r="U723" s="266"/>
      <c r="V723" s="266"/>
      <c r="W723" s="266"/>
      <c r="X723" s="266"/>
      <c r="Y723" s="266"/>
      <c r="Z723" s="266">
        <f t="shared" si="331"/>
        <v>0</v>
      </c>
    </row>
    <row r="724" spans="1:26" ht="15" thickTop="1" thickBot="1">
      <c r="A724" s="280" t="str">
        <f t="shared" si="329"/>
        <v>4245-00</v>
      </c>
      <c r="B724" s="3"/>
      <c r="C724" s="3"/>
      <c r="D724" s="3"/>
      <c r="E724" s="5" t="s">
        <v>3</v>
      </c>
      <c r="F724" s="269"/>
      <c r="G724" s="6"/>
      <c r="H724" s="15"/>
      <c r="I724" s="15"/>
      <c r="J724" s="15"/>
      <c r="K724" s="15"/>
      <c r="L724" s="15"/>
      <c r="M724" s="15"/>
      <c r="N724" s="15"/>
      <c r="O724" s="16">
        <f t="shared" si="330"/>
        <v>0</v>
      </c>
      <c r="Q724" s="252" t="s">
        <v>6</v>
      </c>
      <c r="R724" s="266">
        <f>25/11</f>
        <v>2.2727272727272729</v>
      </c>
      <c r="S724" s="266"/>
      <c r="T724" s="266"/>
      <c r="U724" s="266"/>
      <c r="V724" s="266"/>
      <c r="W724" s="266"/>
      <c r="X724" s="266"/>
      <c r="Y724" s="266"/>
      <c r="Z724" s="266">
        <f t="shared" si="331"/>
        <v>0</v>
      </c>
    </row>
    <row r="725" spans="1:26" ht="15" thickTop="1" thickBot="1">
      <c r="A725" s="280" t="str">
        <f t="shared" si="329"/>
        <v>4245-00</v>
      </c>
      <c r="B725" s="3"/>
      <c r="C725" s="3"/>
      <c r="D725" s="3"/>
      <c r="E725" s="5" t="s">
        <v>3</v>
      </c>
      <c r="F725" s="269"/>
      <c r="G725" s="6"/>
      <c r="H725" s="8"/>
      <c r="I725" s="8"/>
      <c r="J725" s="8"/>
      <c r="K725" s="8"/>
      <c r="L725" s="8"/>
      <c r="M725" s="8"/>
      <c r="N725" s="15"/>
      <c r="O725" s="16">
        <f t="shared" si="330"/>
        <v>0</v>
      </c>
      <c r="Q725" s="266"/>
      <c r="R725" s="266"/>
      <c r="S725" s="266"/>
      <c r="T725" s="266"/>
      <c r="U725" s="266"/>
      <c r="V725" s="266"/>
      <c r="W725" s="266"/>
      <c r="X725" s="266"/>
      <c r="Y725" s="266"/>
      <c r="Z725" s="266">
        <f t="shared" si="331"/>
        <v>0</v>
      </c>
    </row>
    <row r="726" spans="1:26" ht="15" thickTop="1" thickBot="1">
      <c r="A726" s="283" t="str">
        <f t="shared" si="329"/>
        <v>4245-00</v>
      </c>
      <c r="B726" s="19"/>
      <c r="C726" s="19"/>
      <c r="D726" s="19"/>
      <c r="E726" s="20" t="s">
        <v>3</v>
      </c>
      <c r="F726" s="271"/>
      <c r="G726" s="21"/>
      <c r="H726" s="22"/>
      <c r="I726" s="22"/>
      <c r="J726" s="22"/>
      <c r="K726" s="22"/>
      <c r="L726" s="22"/>
      <c r="M726" s="22"/>
      <c r="N726" s="22"/>
      <c r="O726" s="23">
        <f t="shared" si="330"/>
        <v>0</v>
      </c>
      <c r="Q726" s="252" t="s">
        <v>2</v>
      </c>
      <c r="R726" s="272">
        <f>500/10.2</f>
        <v>49.019607843137258</v>
      </c>
      <c r="S726" s="252">
        <f>49*1.2</f>
        <v>58.8</v>
      </c>
      <c r="T726" s="252">
        <f>49*2.1</f>
        <v>102.9</v>
      </c>
      <c r="U726" s="252">
        <f>49*2.4</f>
        <v>117.6</v>
      </c>
      <c r="V726" s="252">
        <f>49*2.4</f>
        <v>117.6</v>
      </c>
      <c r="W726" s="252">
        <f>49*1.5</f>
        <v>73.5</v>
      </c>
      <c r="X726" s="252">
        <f>49*0.9</f>
        <v>44.1</v>
      </c>
      <c r="Y726" s="266"/>
      <c r="Z726" s="266">
        <f t="shared" si="331"/>
        <v>514.5</v>
      </c>
    </row>
    <row r="727" spans="1:26" ht="15" thickTop="1" thickBot="1">
      <c r="A727" s="284" t="str">
        <f t="shared" si="329"/>
        <v>4245-00</v>
      </c>
      <c r="B727" s="47"/>
      <c r="C727" s="47"/>
      <c r="D727" s="47"/>
      <c r="E727" s="48" t="s">
        <v>23</v>
      </c>
      <c r="F727" s="49" t="str">
        <f>+B720</f>
        <v>B2868-V3</v>
      </c>
      <c r="G727" s="48"/>
      <c r="H727" s="48">
        <f>+H721-H722-H723-H724-H726+H725</f>
        <v>-7</v>
      </c>
      <c r="I727" s="48">
        <f>+I721-I722-I723-I724-I726+I725</f>
        <v>-3</v>
      </c>
      <c r="J727" s="48">
        <f>+J721-J722-J723-J724-J726-J725</f>
        <v>-4</v>
      </c>
      <c r="K727" s="48">
        <f>+K721-K722-K723-K724-K726-K725</f>
        <v>-6</v>
      </c>
      <c r="L727" s="48">
        <f>+L721-L722-L723-L724-L726-L725</f>
        <v>-8</v>
      </c>
      <c r="M727" s="48">
        <f>+M721-M722-M723-M724-M726-M725</f>
        <v>6</v>
      </c>
      <c r="N727" s="48"/>
      <c r="O727" s="48">
        <f t="shared" si="330"/>
        <v>-22</v>
      </c>
      <c r="Q727" s="266"/>
      <c r="R727" s="266"/>
      <c r="S727" s="252">
        <f t="shared" ref="S727:X727" si="332">SUM(S723:S726)</f>
        <v>58.8</v>
      </c>
      <c r="T727" s="252">
        <f t="shared" si="332"/>
        <v>102.9</v>
      </c>
      <c r="U727" s="252">
        <f t="shared" si="332"/>
        <v>117.6</v>
      </c>
      <c r="V727" s="252">
        <f t="shared" si="332"/>
        <v>117.6</v>
      </c>
      <c r="W727" s="252">
        <f t="shared" si="332"/>
        <v>73.5</v>
      </c>
      <c r="X727" s="252">
        <f t="shared" si="332"/>
        <v>44.1</v>
      </c>
      <c r="Y727" s="252"/>
      <c r="Z727" s="252">
        <f t="shared" si="331"/>
        <v>514.5</v>
      </c>
    </row>
    <row r="728" spans="1:26" ht="15" thickTop="1" thickBot="1">
      <c r="A728" s="274" t="s">
        <v>7</v>
      </c>
      <c r="B728" s="43" t="s">
        <v>8</v>
      </c>
      <c r="C728" s="43"/>
      <c r="D728" s="43"/>
      <c r="E728" s="44" t="s">
        <v>9</v>
      </c>
      <c r="F728" s="45"/>
      <c r="G728" s="45"/>
      <c r="H728" s="44"/>
      <c r="I728" s="44"/>
      <c r="J728" s="44"/>
      <c r="K728" s="44"/>
      <c r="L728" s="44"/>
      <c r="M728" s="44"/>
      <c r="N728" s="44"/>
      <c r="O728" s="44"/>
    </row>
    <row r="729" spans="1:26" ht="15" thickTop="1" thickBot="1">
      <c r="A729" s="278" t="s">
        <v>209</v>
      </c>
      <c r="B729" s="38" t="s">
        <v>50</v>
      </c>
      <c r="C729" s="9" t="s">
        <v>12</v>
      </c>
      <c r="D729" s="9" t="s">
        <v>13</v>
      </c>
      <c r="E729" s="10"/>
      <c r="F729" s="256" t="s">
        <v>14</v>
      </c>
      <c r="G729" s="257">
        <v>34</v>
      </c>
      <c r="H729" s="257">
        <v>36</v>
      </c>
      <c r="I729" s="257">
        <v>38</v>
      </c>
      <c r="J729" s="257">
        <v>40</v>
      </c>
      <c r="K729" s="257">
        <v>42</v>
      </c>
      <c r="L729" s="257">
        <v>44</v>
      </c>
      <c r="M729" s="257">
        <v>46</v>
      </c>
      <c r="N729" s="257"/>
      <c r="O729" s="258" t="s">
        <v>15</v>
      </c>
      <c r="Q729" s="259" t="s">
        <v>14</v>
      </c>
      <c r="R729" s="259"/>
      <c r="S729" s="259">
        <v>36</v>
      </c>
      <c r="T729" s="259">
        <v>38</v>
      </c>
      <c r="U729" s="259">
        <v>40</v>
      </c>
      <c r="V729" s="259">
        <v>42</v>
      </c>
      <c r="W729" s="259">
        <v>44</v>
      </c>
      <c r="X729" s="259">
        <v>46</v>
      </c>
      <c r="Y729" s="259"/>
      <c r="Z729" s="259" t="s">
        <v>15</v>
      </c>
    </row>
    <row r="730" spans="1:26" ht="15" thickTop="1" thickBot="1">
      <c r="A730" s="280" t="str">
        <f t="shared" ref="A730:A736" si="333">+A729</f>
        <v>4246-00</v>
      </c>
      <c r="B730" s="39" t="s">
        <v>16</v>
      </c>
      <c r="C730" s="39"/>
      <c r="D730" s="39" t="str">
        <f>+B729</f>
        <v>Ayla</v>
      </c>
      <c r="E730" s="40"/>
      <c r="F730" s="261" t="s">
        <v>1</v>
      </c>
      <c r="G730" s="261"/>
      <c r="H730" s="262">
        <f>'BASE DATOS'!C84</f>
        <v>8</v>
      </c>
      <c r="I730" s="262">
        <f>'BASE DATOS'!D84</f>
        <v>18</v>
      </c>
      <c r="J730" s="262">
        <f>'BASE DATOS'!E84</f>
        <v>19</v>
      </c>
      <c r="K730" s="262">
        <f>'BASE DATOS'!F84</f>
        <v>18</v>
      </c>
      <c r="L730" s="262">
        <f>'BASE DATOS'!G84</f>
        <v>12</v>
      </c>
      <c r="M730" s="262">
        <f>'BASE DATOS'!H84</f>
        <v>9</v>
      </c>
      <c r="N730" s="262"/>
      <c r="O730" s="263">
        <f t="shared" ref="O730:O736" si="334">SUM(H730:N730)</f>
        <v>84</v>
      </c>
      <c r="Q730" s="264"/>
      <c r="R730" s="264"/>
      <c r="S730" s="264"/>
      <c r="T730" s="264"/>
      <c r="U730" s="264"/>
      <c r="V730" s="264"/>
      <c r="W730" s="264"/>
      <c r="X730" s="264"/>
      <c r="Y730" s="264"/>
      <c r="Z730" s="264">
        <f>SUBTOTAL(9,S730:Y730)</f>
        <v>0</v>
      </c>
    </row>
    <row r="731" spans="1:26" ht="15" thickTop="1" thickBot="1">
      <c r="A731" s="280" t="str">
        <f t="shared" si="333"/>
        <v>4246-00</v>
      </c>
      <c r="B731" s="3">
        <v>45933</v>
      </c>
      <c r="C731" s="4" t="s">
        <v>17</v>
      </c>
      <c r="D731" s="9" t="s">
        <v>38</v>
      </c>
      <c r="E731" s="5" t="s">
        <v>3</v>
      </c>
      <c r="F731" s="265" t="s">
        <v>210</v>
      </c>
      <c r="G731" s="2"/>
      <c r="H731" s="7">
        <v>17</v>
      </c>
      <c r="I731" s="7">
        <v>29</v>
      </c>
      <c r="J731" s="7">
        <v>48</v>
      </c>
      <c r="K731" s="7">
        <v>40</v>
      </c>
      <c r="L731" s="7">
        <v>29</v>
      </c>
      <c r="M731" s="7">
        <v>15</v>
      </c>
      <c r="N731" s="8"/>
      <c r="O731" s="14">
        <f t="shared" si="334"/>
        <v>178</v>
      </c>
      <c r="Q731" s="252" t="s">
        <v>19</v>
      </c>
      <c r="R731" s="266"/>
      <c r="S731" s="266"/>
      <c r="T731" s="266"/>
      <c r="U731" s="266"/>
      <c r="V731" s="266"/>
      <c r="W731" s="266"/>
      <c r="X731" s="266"/>
      <c r="Y731" s="267"/>
      <c r="Z731" s="268">
        <f t="shared" ref="Z731:Z736" si="335">SUM(S731:Y731)</f>
        <v>0</v>
      </c>
    </row>
    <row r="732" spans="1:26" ht="15" thickTop="1" thickBot="1">
      <c r="A732" s="280" t="str">
        <f t="shared" si="333"/>
        <v>4246-00</v>
      </c>
      <c r="B732" s="3"/>
      <c r="C732" s="3"/>
      <c r="D732" s="57" t="s">
        <v>211</v>
      </c>
      <c r="E732" s="5" t="s">
        <v>3</v>
      </c>
      <c r="F732" s="269"/>
      <c r="G732" s="6"/>
      <c r="H732" s="7"/>
      <c r="I732" s="7"/>
      <c r="J732" s="7"/>
      <c r="K732" s="7"/>
      <c r="L732" s="7"/>
      <c r="M732" s="7"/>
      <c r="N732" s="15"/>
      <c r="O732" s="14">
        <f t="shared" si="334"/>
        <v>0</v>
      </c>
      <c r="Q732" s="252" t="s">
        <v>4</v>
      </c>
      <c r="R732" s="266">
        <f>78/19</f>
        <v>4.1052631578947372</v>
      </c>
      <c r="S732" s="266"/>
      <c r="T732" s="266"/>
      <c r="U732" s="266"/>
      <c r="V732" s="266"/>
      <c r="W732" s="266"/>
      <c r="X732" s="266"/>
      <c r="Y732" s="266"/>
      <c r="Z732" s="266">
        <f t="shared" si="335"/>
        <v>0</v>
      </c>
    </row>
    <row r="733" spans="1:26" ht="15" thickTop="1" thickBot="1">
      <c r="A733" s="280" t="str">
        <f t="shared" si="333"/>
        <v>4246-00</v>
      </c>
      <c r="B733" s="3"/>
      <c r="C733" s="3"/>
      <c r="D733" s="3"/>
      <c r="E733" s="5" t="s">
        <v>3</v>
      </c>
      <c r="F733" s="269"/>
      <c r="G733" s="6"/>
      <c r="H733" s="15"/>
      <c r="I733" s="15"/>
      <c r="J733" s="15"/>
      <c r="K733" s="15"/>
      <c r="L733" s="15"/>
      <c r="M733" s="15"/>
      <c r="N733" s="15"/>
      <c r="O733" s="16">
        <f t="shared" si="334"/>
        <v>0</v>
      </c>
      <c r="Q733" s="252" t="s">
        <v>6</v>
      </c>
      <c r="R733" s="266">
        <f>25/11</f>
        <v>2.2727272727272729</v>
      </c>
      <c r="S733" s="266"/>
      <c r="T733" s="266"/>
      <c r="U733" s="266"/>
      <c r="V733" s="266"/>
      <c r="W733" s="266"/>
      <c r="X733" s="266"/>
      <c r="Y733" s="266"/>
      <c r="Z733" s="266">
        <f t="shared" si="335"/>
        <v>0</v>
      </c>
    </row>
    <row r="734" spans="1:26" ht="15" thickTop="1" thickBot="1">
      <c r="A734" s="280" t="str">
        <f t="shared" si="333"/>
        <v>4246-00</v>
      </c>
      <c r="B734" s="3"/>
      <c r="C734" s="3"/>
      <c r="D734" s="3"/>
      <c r="E734" s="5" t="s">
        <v>3</v>
      </c>
      <c r="F734" s="269"/>
      <c r="G734" s="6"/>
      <c r="H734" s="8"/>
      <c r="I734" s="8"/>
      <c r="J734" s="8"/>
      <c r="K734" s="8"/>
      <c r="L734" s="8"/>
      <c r="M734" s="8"/>
      <c r="N734" s="15"/>
      <c r="O734" s="16">
        <f t="shared" si="334"/>
        <v>0</v>
      </c>
      <c r="Q734" s="266"/>
      <c r="R734" s="266"/>
      <c r="S734" s="266"/>
      <c r="T734" s="266"/>
      <c r="U734" s="266"/>
      <c r="V734" s="266"/>
      <c r="W734" s="266"/>
      <c r="X734" s="266"/>
      <c r="Y734" s="266"/>
      <c r="Z734" s="266">
        <f t="shared" si="335"/>
        <v>0</v>
      </c>
    </row>
    <row r="735" spans="1:26" ht="15" thickTop="1" thickBot="1">
      <c r="A735" s="283" t="str">
        <f t="shared" si="333"/>
        <v>4246-00</v>
      </c>
      <c r="B735" s="19"/>
      <c r="C735" s="19"/>
      <c r="D735" s="19"/>
      <c r="E735" s="20" t="s">
        <v>3</v>
      </c>
      <c r="F735" s="271"/>
      <c r="G735" s="21"/>
      <c r="H735" s="22"/>
      <c r="I735" s="22"/>
      <c r="J735" s="22"/>
      <c r="K735" s="22"/>
      <c r="L735" s="22"/>
      <c r="M735" s="22"/>
      <c r="N735" s="22"/>
      <c r="O735" s="23">
        <f t="shared" si="334"/>
        <v>0</v>
      </c>
      <c r="Q735" s="252" t="s">
        <v>2</v>
      </c>
      <c r="R735" s="272">
        <f>500/10.2</f>
        <v>49.019607843137258</v>
      </c>
      <c r="S735" s="252">
        <f>49*1.2</f>
        <v>58.8</v>
      </c>
      <c r="T735" s="252">
        <f>49*2.1</f>
        <v>102.9</v>
      </c>
      <c r="U735" s="252">
        <f>49*2.4</f>
        <v>117.6</v>
      </c>
      <c r="V735" s="252">
        <f>49*2.4</f>
        <v>117.6</v>
      </c>
      <c r="W735" s="252">
        <f>49*1.5</f>
        <v>73.5</v>
      </c>
      <c r="X735" s="252">
        <f>49*0.9</f>
        <v>44.1</v>
      </c>
      <c r="Y735" s="266"/>
      <c r="Z735" s="266">
        <f t="shared" si="335"/>
        <v>514.5</v>
      </c>
    </row>
    <row r="736" spans="1:26" ht="15" thickTop="1" thickBot="1">
      <c r="A736" s="284" t="str">
        <f t="shared" si="333"/>
        <v>4246-00</v>
      </c>
      <c r="B736" s="47"/>
      <c r="C736" s="47"/>
      <c r="D736" s="47"/>
      <c r="E736" s="48" t="s">
        <v>23</v>
      </c>
      <c r="F736" s="49" t="str">
        <f>+B729</f>
        <v>Ayla</v>
      </c>
      <c r="G736" s="48"/>
      <c r="H736" s="48">
        <f>+H730-H731-H732-H733-H735+H734</f>
        <v>-9</v>
      </c>
      <c r="I736" s="48">
        <f>+I730-I731-I732-I733-I735+I734</f>
        <v>-11</v>
      </c>
      <c r="J736" s="48">
        <f>+J730-J731-J732-J733-J735-J734</f>
        <v>-29</v>
      </c>
      <c r="K736" s="48">
        <f>+K730-K731-K732-K733-K735-K734</f>
        <v>-22</v>
      </c>
      <c r="L736" s="48">
        <f>+L730-L731-L732-L733-L735-L734</f>
        <v>-17</v>
      </c>
      <c r="M736" s="48">
        <f>+M730-M731-M732-M733-M735-M734</f>
        <v>-6</v>
      </c>
      <c r="N736" s="48"/>
      <c r="O736" s="48">
        <f t="shared" si="334"/>
        <v>-94</v>
      </c>
      <c r="Q736" s="266"/>
      <c r="R736" s="266"/>
      <c r="S736" s="252">
        <f t="shared" ref="S736:X736" si="336">SUM(S732:S735)</f>
        <v>58.8</v>
      </c>
      <c r="T736" s="252">
        <f t="shared" si="336"/>
        <v>102.9</v>
      </c>
      <c r="U736" s="252">
        <f t="shared" si="336"/>
        <v>117.6</v>
      </c>
      <c r="V736" s="252">
        <f t="shared" si="336"/>
        <v>117.6</v>
      </c>
      <c r="W736" s="252">
        <f t="shared" si="336"/>
        <v>73.5</v>
      </c>
      <c r="X736" s="252">
        <f t="shared" si="336"/>
        <v>44.1</v>
      </c>
      <c r="Y736" s="252"/>
      <c r="Z736" s="252">
        <f t="shared" si="335"/>
        <v>514.5</v>
      </c>
    </row>
    <row r="737" spans="1:37" ht="15" thickTop="1" thickBot="1">
      <c r="A737" s="274" t="s">
        <v>7</v>
      </c>
      <c r="B737" s="43" t="s">
        <v>8</v>
      </c>
      <c r="C737" s="43"/>
      <c r="D737" s="43"/>
      <c r="E737" s="44" t="s">
        <v>9</v>
      </c>
      <c r="F737" s="45"/>
      <c r="G737" s="45"/>
      <c r="H737" s="44"/>
      <c r="I737" s="44"/>
      <c r="J737" s="44"/>
      <c r="K737" s="44"/>
      <c r="L737" s="44"/>
      <c r="M737" s="44"/>
      <c r="N737" s="44"/>
      <c r="O737" s="44"/>
    </row>
    <row r="738" spans="1:37" ht="15" thickTop="1" thickBot="1">
      <c r="A738" s="278" t="s">
        <v>212</v>
      </c>
      <c r="B738" s="38" t="s">
        <v>11</v>
      </c>
      <c r="C738" s="9" t="s">
        <v>12</v>
      </c>
      <c r="D738" s="9" t="s">
        <v>13</v>
      </c>
      <c r="E738" s="10"/>
      <c r="F738" s="256" t="s">
        <v>14</v>
      </c>
      <c r="G738" s="257">
        <v>34</v>
      </c>
      <c r="H738" s="257">
        <v>36</v>
      </c>
      <c r="I738" s="257">
        <v>38</v>
      </c>
      <c r="J738" s="257">
        <v>40</v>
      </c>
      <c r="K738" s="257">
        <v>42</v>
      </c>
      <c r="L738" s="257">
        <v>44</v>
      </c>
      <c r="M738" s="257">
        <v>46</v>
      </c>
      <c r="N738" s="257"/>
      <c r="O738" s="258" t="s">
        <v>15</v>
      </c>
      <c r="Q738" s="259" t="s">
        <v>14</v>
      </c>
      <c r="R738" s="259"/>
      <c r="S738" s="259">
        <v>36</v>
      </c>
      <c r="T738" s="259">
        <v>38</v>
      </c>
      <c r="U738" s="259">
        <v>40</v>
      </c>
      <c r="V738" s="259">
        <v>42</v>
      </c>
      <c r="W738" s="259">
        <v>44</v>
      </c>
      <c r="X738" s="259">
        <v>46</v>
      </c>
      <c r="Y738" s="259"/>
      <c r="Z738" s="259" t="s">
        <v>15</v>
      </c>
    </row>
    <row r="739" spans="1:37" ht="15" thickTop="1" thickBot="1">
      <c r="A739" s="280" t="str">
        <f t="shared" ref="A739:A745" si="337">+A738</f>
        <v>4247-00</v>
      </c>
      <c r="B739" s="39" t="s">
        <v>16</v>
      </c>
      <c r="C739" s="39"/>
      <c r="D739" s="39" t="str">
        <f>+B738</f>
        <v>Ibiza Blue</v>
      </c>
      <c r="E739" s="40"/>
      <c r="F739" s="261" t="s">
        <v>1</v>
      </c>
      <c r="G739" s="261"/>
      <c r="H739" s="262">
        <f>'BASE DATOS'!C85</f>
        <v>54</v>
      </c>
      <c r="I739" s="262">
        <f>'BASE DATOS'!D85</f>
        <v>112</v>
      </c>
      <c r="J739" s="262">
        <f>'BASE DATOS'!E85</f>
        <v>121</v>
      </c>
      <c r="K739" s="262">
        <f>'BASE DATOS'!F85</f>
        <v>119</v>
      </c>
      <c r="L739" s="262">
        <f>'BASE DATOS'!G85</f>
        <v>81</v>
      </c>
      <c r="M739" s="262">
        <f>'BASE DATOS'!H85</f>
        <v>72</v>
      </c>
      <c r="N739" s="262"/>
      <c r="O739" s="263">
        <f t="shared" ref="O739:O745" si="338">SUM(H739:N739)</f>
        <v>559</v>
      </c>
      <c r="Q739" s="264"/>
      <c r="R739" s="264"/>
      <c r="S739" s="264"/>
      <c r="T739" s="264"/>
      <c r="U739" s="264"/>
      <c r="V739" s="264"/>
      <c r="W739" s="264"/>
      <c r="X739" s="264"/>
      <c r="Y739" s="264"/>
      <c r="Z739" s="264">
        <f>SUBTOTAL(9,S739:Y739)</f>
        <v>0</v>
      </c>
    </row>
    <row r="740" spans="1:37" ht="15" thickTop="1" thickBot="1">
      <c r="A740" s="280" t="str">
        <f t="shared" si="337"/>
        <v>4247-00</v>
      </c>
      <c r="B740" s="3">
        <v>45980</v>
      </c>
      <c r="C740" s="4" t="s">
        <v>17</v>
      </c>
      <c r="D740" s="4" t="s">
        <v>213</v>
      </c>
      <c r="E740" s="5" t="s">
        <v>3</v>
      </c>
      <c r="F740" s="265" t="s">
        <v>214</v>
      </c>
      <c r="G740" s="2"/>
      <c r="H740" s="7">
        <v>52</v>
      </c>
      <c r="I740" s="7">
        <v>70</v>
      </c>
      <c r="J740" s="7">
        <v>79</v>
      </c>
      <c r="K740" s="7">
        <v>60</v>
      </c>
      <c r="L740" s="7">
        <v>54</v>
      </c>
      <c r="M740" s="7">
        <v>25</v>
      </c>
      <c r="N740" s="8"/>
      <c r="O740" s="14">
        <f t="shared" si="338"/>
        <v>340</v>
      </c>
      <c r="Q740" s="252" t="s">
        <v>19</v>
      </c>
      <c r="R740" s="266"/>
      <c r="S740" s="266"/>
      <c r="T740" s="266"/>
      <c r="U740" s="266"/>
      <c r="V740" s="266"/>
      <c r="W740" s="266"/>
      <c r="X740" s="266"/>
      <c r="Y740" s="267"/>
      <c r="Z740" s="268">
        <f t="shared" ref="Z740:Z745" si="339">SUM(S740:Y740)</f>
        <v>0</v>
      </c>
    </row>
    <row r="741" spans="1:37" ht="15" thickTop="1" thickBot="1">
      <c r="A741" s="280" t="str">
        <f t="shared" si="337"/>
        <v>4247-00</v>
      </c>
      <c r="B741" s="3"/>
      <c r="C741" s="3"/>
      <c r="D741" s="57" t="s">
        <v>215</v>
      </c>
      <c r="E741" s="5" t="s">
        <v>3</v>
      </c>
      <c r="F741" s="269"/>
      <c r="G741" s="6"/>
      <c r="H741" s="7"/>
      <c r="I741" s="7"/>
      <c r="J741" s="7"/>
      <c r="K741" s="7"/>
      <c r="L741" s="7"/>
      <c r="M741" s="7"/>
      <c r="N741" s="15"/>
      <c r="O741" s="14">
        <f t="shared" si="338"/>
        <v>0</v>
      </c>
      <c r="Q741" s="252" t="s">
        <v>4</v>
      </c>
      <c r="R741" s="266">
        <f>78/19</f>
        <v>4.1052631578947372</v>
      </c>
      <c r="S741" s="266"/>
      <c r="T741" s="266"/>
      <c r="U741" s="266"/>
      <c r="V741" s="266"/>
      <c r="W741" s="266"/>
      <c r="X741" s="266"/>
      <c r="Y741" s="266"/>
      <c r="Z741" s="266">
        <f t="shared" si="339"/>
        <v>0</v>
      </c>
    </row>
    <row r="742" spans="1:37" ht="15" thickTop="1" thickBot="1">
      <c r="A742" s="280" t="str">
        <f t="shared" si="337"/>
        <v>4247-00</v>
      </c>
      <c r="B742" s="3">
        <v>46043</v>
      </c>
      <c r="C742" s="3"/>
      <c r="D742" s="3">
        <v>0</v>
      </c>
      <c r="E742" s="5" t="s">
        <v>3</v>
      </c>
      <c r="F742" s="269" t="s">
        <v>216</v>
      </c>
      <c r="G742" s="6"/>
      <c r="H742" s="7">
        <v>50</v>
      </c>
      <c r="I742" s="7">
        <v>100</v>
      </c>
      <c r="J742" s="7">
        <v>120</v>
      </c>
      <c r="K742" s="7">
        <v>100</v>
      </c>
      <c r="L742" s="7">
        <v>90</v>
      </c>
      <c r="M742" s="7">
        <v>60</v>
      </c>
      <c r="N742" s="15"/>
      <c r="O742" s="16">
        <f t="shared" si="338"/>
        <v>520</v>
      </c>
      <c r="Q742" s="252" t="s">
        <v>6</v>
      </c>
      <c r="R742" s="266">
        <f>25/11</f>
        <v>2.2727272727272729</v>
      </c>
      <c r="S742" s="266"/>
      <c r="T742" s="266"/>
      <c r="U742" s="266"/>
      <c r="V742" s="266"/>
      <c r="W742" s="266"/>
      <c r="X742" s="266"/>
      <c r="Y742" s="266"/>
      <c r="Z742" s="266">
        <f t="shared" si="339"/>
        <v>0</v>
      </c>
    </row>
    <row r="743" spans="1:37" ht="15" thickTop="1" thickBot="1">
      <c r="A743" s="280" t="str">
        <f t="shared" si="337"/>
        <v>4247-00</v>
      </c>
      <c r="B743" s="3"/>
      <c r="C743" s="3"/>
      <c r="D743" s="3"/>
      <c r="E743" s="5" t="s">
        <v>3</v>
      </c>
      <c r="F743" s="269"/>
      <c r="G743" s="6"/>
      <c r="H743" s="8"/>
      <c r="I743" s="8"/>
      <c r="J743" s="8"/>
      <c r="K743" s="8"/>
      <c r="L743" s="8"/>
      <c r="M743" s="8"/>
      <c r="N743" s="15"/>
      <c r="O743" s="16">
        <f t="shared" si="338"/>
        <v>0</v>
      </c>
      <c r="Q743" s="266"/>
      <c r="R743" s="266"/>
      <c r="S743" s="266"/>
      <c r="T743" s="266"/>
      <c r="U743" s="266"/>
      <c r="V743" s="266"/>
      <c r="W743" s="266"/>
      <c r="X743" s="266"/>
      <c r="Y743" s="266"/>
      <c r="Z743" s="266">
        <f t="shared" si="339"/>
        <v>0</v>
      </c>
    </row>
    <row r="744" spans="1:37" ht="15" thickTop="1" thickBot="1">
      <c r="A744" s="283" t="str">
        <f t="shared" si="337"/>
        <v>4247-00</v>
      </c>
      <c r="B744" s="19"/>
      <c r="C744" s="19"/>
      <c r="D744" s="19"/>
      <c r="E744" s="20" t="s">
        <v>3</v>
      </c>
      <c r="F744" s="271"/>
      <c r="G744" s="21"/>
      <c r="H744" s="22"/>
      <c r="I744" s="22"/>
      <c r="J744" s="22"/>
      <c r="K744" s="22"/>
      <c r="L744" s="22"/>
      <c r="M744" s="22"/>
      <c r="N744" s="22"/>
      <c r="O744" s="23">
        <f t="shared" si="338"/>
        <v>0</v>
      </c>
      <c r="Q744" s="252" t="s">
        <v>2</v>
      </c>
      <c r="R744" s="272">
        <f>500/10.2</f>
        <v>49.019607843137258</v>
      </c>
      <c r="S744" s="252">
        <f>49*1.2</f>
        <v>58.8</v>
      </c>
      <c r="T744" s="252">
        <f>49*2.1</f>
        <v>102.9</v>
      </c>
      <c r="U744" s="252">
        <f>49*2.4</f>
        <v>117.6</v>
      </c>
      <c r="V744" s="252">
        <f>49*2.4</f>
        <v>117.6</v>
      </c>
      <c r="W744" s="252">
        <f>49*1.5</f>
        <v>73.5</v>
      </c>
      <c r="X744" s="252">
        <f>49*0.9</f>
        <v>44.1</v>
      </c>
      <c r="Y744" s="266"/>
      <c r="Z744" s="266">
        <f t="shared" si="339"/>
        <v>514.5</v>
      </c>
    </row>
    <row r="745" spans="1:37" ht="15" thickTop="1" thickBot="1">
      <c r="A745" s="284" t="str">
        <f t="shared" si="337"/>
        <v>4247-00</v>
      </c>
      <c r="B745" s="47"/>
      <c r="C745" s="47"/>
      <c r="D745" s="47"/>
      <c r="E745" s="48" t="s">
        <v>23</v>
      </c>
      <c r="F745" s="49" t="str">
        <f>+B738</f>
        <v>Ibiza Blue</v>
      </c>
      <c r="G745" s="48"/>
      <c r="H745" s="48">
        <f>+H739-H740-H741-H742-H744+H743</f>
        <v>-48</v>
      </c>
      <c r="I745" s="48">
        <f>+I739-I740-I741-I742-I744+I743</f>
        <v>-58</v>
      </c>
      <c r="J745" s="48">
        <f>+J739-J740-J741-J742-J744-J743</f>
        <v>-78</v>
      </c>
      <c r="K745" s="48">
        <f>+K739-K740-K741-K742-K744-K743</f>
        <v>-41</v>
      </c>
      <c r="L745" s="48">
        <f>+L739-L740-L741-L742-L744-L743</f>
        <v>-63</v>
      </c>
      <c r="M745" s="48">
        <f>+M739-M740-M741-M742-M744-M743</f>
        <v>-13</v>
      </c>
      <c r="N745" s="48"/>
      <c r="O745" s="48">
        <f t="shared" si="338"/>
        <v>-301</v>
      </c>
      <c r="Q745" s="266"/>
      <c r="R745" s="266"/>
      <c r="S745" s="252">
        <f t="shared" ref="S745:X745" si="340">SUM(S741:S744)</f>
        <v>58.8</v>
      </c>
      <c r="T745" s="252">
        <f t="shared" si="340"/>
        <v>102.9</v>
      </c>
      <c r="U745" s="252">
        <f t="shared" si="340"/>
        <v>117.6</v>
      </c>
      <c r="V745" s="252">
        <f t="shared" si="340"/>
        <v>117.6</v>
      </c>
      <c r="W745" s="252">
        <f t="shared" si="340"/>
        <v>73.5</v>
      </c>
      <c r="X745" s="252">
        <f t="shared" si="340"/>
        <v>44.1</v>
      </c>
      <c r="Y745" s="252"/>
      <c r="Z745" s="252">
        <f t="shared" si="339"/>
        <v>514.5</v>
      </c>
    </row>
    <row r="746" spans="1:37" ht="15" thickTop="1" thickBot="1">
      <c r="A746" s="450" t="s">
        <v>7</v>
      </c>
      <c r="B746" s="43" t="s">
        <v>8</v>
      </c>
      <c r="C746" s="43"/>
      <c r="D746" s="43"/>
      <c r="E746" s="44" t="s">
        <v>9</v>
      </c>
      <c r="F746" s="45"/>
      <c r="G746" s="45"/>
      <c r="H746" s="44"/>
      <c r="I746" s="44"/>
      <c r="J746" s="44"/>
      <c r="K746" s="44"/>
      <c r="L746" s="44"/>
      <c r="M746" s="44"/>
      <c r="N746" s="44"/>
      <c r="O746" s="44"/>
      <c r="AC746" s="275" t="s">
        <v>3</v>
      </c>
      <c r="AD746" s="276">
        <v>46105</v>
      </c>
      <c r="AE746" s="275">
        <v>36</v>
      </c>
      <c r="AF746" s="275">
        <v>38</v>
      </c>
      <c r="AG746" s="275">
        <v>40</v>
      </c>
      <c r="AH746" s="275">
        <v>42</v>
      </c>
      <c r="AI746" s="277">
        <v>44</v>
      </c>
      <c r="AJ746" s="277">
        <v>46</v>
      </c>
      <c r="AK746" s="277" t="s">
        <v>28</v>
      </c>
    </row>
    <row r="747" spans="1:37" ht="17.25" thickTop="1" thickBot="1">
      <c r="A747" s="451" t="s">
        <v>217</v>
      </c>
      <c r="B747" s="38" t="s">
        <v>36</v>
      </c>
      <c r="C747" s="9" t="s">
        <v>12</v>
      </c>
      <c r="D747" s="9" t="s">
        <v>13</v>
      </c>
      <c r="E747" s="10"/>
      <c r="F747" s="256" t="s">
        <v>14</v>
      </c>
      <c r="G747" s="257">
        <v>34</v>
      </c>
      <c r="H747" s="257">
        <v>36</v>
      </c>
      <c r="I747" s="257">
        <v>38</v>
      </c>
      <c r="J747" s="257">
        <v>40</v>
      </c>
      <c r="K747" s="257">
        <v>42</v>
      </c>
      <c r="L747" s="257">
        <v>44</v>
      </c>
      <c r="M747" s="257">
        <v>46</v>
      </c>
      <c r="N747" s="257"/>
      <c r="O747" s="258" t="s">
        <v>15</v>
      </c>
      <c r="Q747" s="259" t="s">
        <v>14</v>
      </c>
      <c r="R747" s="259"/>
      <c r="S747" s="259">
        <v>36</v>
      </c>
      <c r="T747" s="259">
        <v>38</v>
      </c>
      <c r="U747" s="259">
        <v>40</v>
      </c>
      <c r="V747" s="259">
        <v>42</v>
      </c>
      <c r="W747" s="259">
        <v>44</v>
      </c>
      <c r="X747" s="259">
        <v>46</v>
      </c>
      <c r="Y747" s="259"/>
      <c r="Z747" s="259" t="s">
        <v>15</v>
      </c>
      <c r="AC747" s="279" t="s">
        <v>29</v>
      </c>
      <c r="AD747" s="505">
        <v>11580</v>
      </c>
      <c r="AE747" s="279">
        <v>14</v>
      </c>
      <c r="AF747" s="279">
        <v>40</v>
      </c>
      <c r="AG747" s="279">
        <v>28</v>
      </c>
      <c r="AH747" s="279">
        <v>42</v>
      </c>
      <c r="AI747" s="279">
        <v>20</v>
      </c>
      <c r="AJ747" s="279">
        <v>20</v>
      </c>
      <c r="AK747" s="275">
        <f>SUM(AE747:AJ747)</f>
        <v>164</v>
      </c>
    </row>
    <row r="748" spans="1:37" ht="20.25" thickTop="1" thickBot="1">
      <c r="A748" s="452" t="str">
        <f t="shared" ref="A748:A754" si="341">+A747</f>
        <v>4248-00</v>
      </c>
      <c r="B748" s="39" t="s">
        <v>16</v>
      </c>
      <c r="C748" s="39"/>
      <c r="D748" s="39" t="str">
        <f>+B747</f>
        <v>B2868-V3</v>
      </c>
      <c r="E748" s="40"/>
      <c r="F748" s="261" t="s">
        <v>1</v>
      </c>
      <c r="G748" s="261"/>
      <c r="H748" s="262">
        <f>'BASE DATOS'!C86</f>
        <v>34</v>
      </c>
      <c r="I748" s="262">
        <f>'BASE DATOS'!D86</f>
        <v>76</v>
      </c>
      <c r="J748" s="262">
        <f>'BASE DATOS'!E86</f>
        <v>77</v>
      </c>
      <c r="K748" s="262">
        <f>'BASE DATOS'!F86</f>
        <v>76</v>
      </c>
      <c r="L748" s="262">
        <f>'BASE DATOS'!G86</f>
        <v>57</v>
      </c>
      <c r="M748" s="262">
        <f>'BASE DATOS'!H86</f>
        <v>45</v>
      </c>
      <c r="N748" s="262"/>
      <c r="O748" s="263">
        <f t="shared" ref="O748:O754" si="342">SUM(H748:N748)</f>
        <v>365</v>
      </c>
      <c r="Q748" s="264"/>
      <c r="R748" s="264"/>
      <c r="S748" s="264"/>
      <c r="T748" s="264"/>
      <c r="U748" s="264"/>
      <c r="V748" s="264"/>
      <c r="W748" s="264"/>
      <c r="X748" s="264"/>
      <c r="Y748" s="264"/>
      <c r="Z748" s="264">
        <f>SUBTOTAL(9,S748:Y748)</f>
        <v>0</v>
      </c>
      <c r="AC748" s="281" t="s">
        <v>30</v>
      </c>
      <c r="AD748" s="196" t="s">
        <v>218</v>
      </c>
    </row>
    <row r="749" spans="1:37" ht="20.25" thickTop="1" thickBot="1">
      <c r="A749" s="452" t="str">
        <f t="shared" si="341"/>
        <v>4248-00</v>
      </c>
      <c r="B749" s="3">
        <v>46043</v>
      </c>
      <c r="C749" s="4" t="s">
        <v>17</v>
      </c>
      <c r="D749" s="4" t="s">
        <v>213</v>
      </c>
      <c r="E749" s="5" t="s">
        <v>3</v>
      </c>
      <c r="F749" s="265">
        <v>11548</v>
      </c>
      <c r="G749" s="2"/>
      <c r="H749" s="7">
        <f>50-H758</f>
        <v>34</v>
      </c>
      <c r="I749" s="7">
        <f>100-I758</f>
        <v>76</v>
      </c>
      <c r="J749" s="7">
        <f>120-J758</f>
        <v>77</v>
      </c>
      <c r="K749" s="7">
        <f>100-K758</f>
        <v>76</v>
      </c>
      <c r="L749" s="7">
        <f>90-L758</f>
        <v>57</v>
      </c>
      <c r="M749" s="7">
        <f>60-M758</f>
        <v>45</v>
      </c>
      <c r="N749" s="8"/>
      <c r="O749" s="14">
        <f t="shared" si="342"/>
        <v>365</v>
      </c>
      <c r="Q749" s="252" t="s">
        <v>19</v>
      </c>
      <c r="R749" s="266"/>
      <c r="S749" s="266"/>
      <c r="T749" s="266"/>
      <c r="U749" s="266"/>
      <c r="V749" s="266"/>
      <c r="W749" s="266"/>
      <c r="X749" s="266"/>
      <c r="Y749" s="267"/>
      <c r="Z749" s="268">
        <f t="shared" ref="Z749:Z754" si="343">SUM(S749:Y749)</f>
        <v>0</v>
      </c>
      <c r="AC749" s="279" t="s">
        <v>32</v>
      </c>
      <c r="AD749" s="192" t="s">
        <v>36</v>
      </c>
    </row>
    <row r="750" spans="1:37" ht="15" thickTop="1" thickBot="1">
      <c r="A750" s="452" t="str">
        <f t="shared" si="341"/>
        <v>4248-00</v>
      </c>
      <c r="B750" s="3"/>
      <c r="C750" s="3"/>
      <c r="D750" s="3"/>
      <c r="E750" s="5" t="s">
        <v>3</v>
      </c>
      <c r="F750" s="269"/>
      <c r="G750" s="6"/>
      <c r="H750" s="7"/>
      <c r="I750" s="7"/>
      <c r="J750" s="7"/>
      <c r="K750" s="7"/>
      <c r="L750" s="7"/>
      <c r="M750" s="7"/>
      <c r="N750" s="15"/>
      <c r="O750" s="14">
        <f t="shared" si="342"/>
        <v>0</v>
      </c>
      <c r="Q750" s="252" t="s">
        <v>4</v>
      </c>
      <c r="R750" s="266">
        <f>78/19</f>
        <v>4.1052631578947372</v>
      </c>
      <c r="S750" s="266"/>
      <c r="T750" s="266"/>
      <c r="U750" s="266"/>
      <c r="V750" s="266"/>
      <c r="W750" s="266"/>
      <c r="X750" s="266"/>
      <c r="Y750" s="266"/>
      <c r="Z750" s="266">
        <f t="shared" si="343"/>
        <v>0</v>
      </c>
      <c r="AC750" s="279" t="s">
        <v>12</v>
      </c>
      <c r="AD750" s="275" t="s">
        <v>13</v>
      </c>
    </row>
    <row r="751" spans="1:37" ht="15" thickTop="1" thickBot="1">
      <c r="A751" s="452" t="str">
        <f t="shared" si="341"/>
        <v>4248-00</v>
      </c>
      <c r="B751" s="3"/>
      <c r="C751" s="3"/>
      <c r="D751" s="3"/>
      <c r="E751" s="5" t="s">
        <v>3</v>
      </c>
      <c r="F751" s="269"/>
      <c r="G751" s="6"/>
      <c r="H751" s="15"/>
      <c r="I751" s="15"/>
      <c r="J751" s="15"/>
      <c r="K751" s="15"/>
      <c r="L751" s="15"/>
      <c r="M751" s="15"/>
      <c r="N751" s="15"/>
      <c r="O751" s="16">
        <f t="shared" si="342"/>
        <v>0</v>
      </c>
      <c r="Q751" s="252" t="s">
        <v>6</v>
      </c>
      <c r="R751" s="266">
        <f>25/11</f>
        <v>2.2727272727272729</v>
      </c>
      <c r="S751" s="266"/>
      <c r="T751" s="266"/>
      <c r="U751" s="266"/>
      <c r="V751" s="266"/>
      <c r="W751" s="266"/>
      <c r="X751" s="266"/>
      <c r="Y751" s="266"/>
      <c r="Z751" s="266">
        <f t="shared" si="343"/>
        <v>0</v>
      </c>
      <c r="AC751" s="279" t="s">
        <v>17</v>
      </c>
      <c r="AD751" s="275" t="s">
        <v>31</v>
      </c>
    </row>
    <row r="752" spans="1:37" ht="15" thickTop="1" thickBot="1">
      <c r="A752" s="452" t="str">
        <f t="shared" si="341"/>
        <v>4248-00</v>
      </c>
      <c r="B752" s="3"/>
      <c r="C752" s="3"/>
      <c r="D752" s="3"/>
      <c r="E752" s="5" t="s">
        <v>3</v>
      </c>
      <c r="F752" s="269"/>
      <c r="G752" s="6"/>
      <c r="H752" s="8"/>
      <c r="I752" s="8"/>
      <c r="J752" s="8"/>
      <c r="K752" s="8"/>
      <c r="L752" s="8"/>
      <c r="M752" s="8"/>
      <c r="N752" s="15"/>
      <c r="O752" s="16">
        <f t="shared" si="342"/>
        <v>0</v>
      </c>
      <c r="Q752" s="266"/>
      <c r="R752" s="266"/>
      <c r="S752" s="266"/>
      <c r="T752" s="266"/>
      <c r="U752" s="266"/>
      <c r="V752" s="266"/>
      <c r="W752" s="266"/>
      <c r="X752" s="266"/>
      <c r="Y752" s="266"/>
      <c r="Z752" s="266">
        <f t="shared" si="343"/>
        <v>0</v>
      </c>
    </row>
    <row r="753" spans="1:37" ht="15" thickTop="1" thickBot="1">
      <c r="A753" s="453" t="str">
        <f t="shared" si="341"/>
        <v>4248-00</v>
      </c>
      <c r="B753" s="19"/>
      <c r="C753" s="19"/>
      <c r="D753" s="19"/>
      <c r="E753" s="20" t="s">
        <v>3</v>
      </c>
      <c r="F753" s="271"/>
      <c r="G753" s="21"/>
      <c r="H753" s="22"/>
      <c r="I753" s="22"/>
      <c r="J753" s="22"/>
      <c r="K753" s="22"/>
      <c r="L753" s="22"/>
      <c r="M753" s="22"/>
      <c r="N753" s="22"/>
      <c r="O753" s="23">
        <f t="shared" si="342"/>
        <v>0</v>
      </c>
      <c r="Q753" s="252" t="s">
        <v>2</v>
      </c>
      <c r="R753" s="272">
        <f>500/10.2</f>
        <v>49.019607843137258</v>
      </c>
      <c r="S753" s="252">
        <f>49*1.2</f>
        <v>58.8</v>
      </c>
      <c r="T753" s="252">
        <f>49*2.1</f>
        <v>102.9</v>
      </c>
      <c r="U753" s="252">
        <f>49*2.4</f>
        <v>117.6</v>
      </c>
      <c r="V753" s="252">
        <f>49*2.4</f>
        <v>117.6</v>
      </c>
      <c r="W753" s="252">
        <f>49*1.5</f>
        <v>73.5</v>
      </c>
      <c r="X753" s="252">
        <f>49*0.9</f>
        <v>44.1</v>
      </c>
      <c r="Y753" s="266"/>
      <c r="Z753" s="266">
        <f t="shared" si="343"/>
        <v>514.5</v>
      </c>
      <c r="AK753" s="250"/>
    </row>
    <row r="754" spans="1:37" ht="15" thickTop="1" thickBot="1">
      <c r="A754" s="454" t="str">
        <f t="shared" si="341"/>
        <v>4248-00</v>
      </c>
      <c r="B754" s="47"/>
      <c r="C754" s="47"/>
      <c r="D754" s="47"/>
      <c r="E754" s="48" t="s">
        <v>23</v>
      </c>
      <c r="F754" s="49" t="str">
        <f>+B747</f>
        <v>B2868-V3</v>
      </c>
      <c r="G754" s="48"/>
      <c r="H754" s="48">
        <f>+H748-H749-H750-H751-H753+H752</f>
        <v>0</v>
      </c>
      <c r="I754" s="48">
        <f>+I748-I749-I750-I751-I753+I752</f>
        <v>0</v>
      </c>
      <c r="J754" s="48">
        <f>+J748-J749-J750-J751-J753-J752</f>
        <v>0</v>
      </c>
      <c r="K754" s="48">
        <f>+K748-K749-K750-K751-K753-K752</f>
        <v>0</v>
      </c>
      <c r="L754" s="48">
        <f>+L748-L749-L750-L751-L753-L752</f>
        <v>0</v>
      </c>
      <c r="M754" s="48">
        <f>+M748-M749-M750-M751-M753-M752</f>
        <v>0</v>
      </c>
      <c r="N754" s="48"/>
      <c r="O754" s="48">
        <f t="shared" si="342"/>
        <v>0</v>
      </c>
      <c r="Q754" s="266"/>
      <c r="R754" s="266"/>
      <c r="S754" s="252">
        <f t="shared" ref="S754:X754" si="344">SUM(S750:S753)</f>
        <v>58.8</v>
      </c>
      <c r="T754" s="252">
        <f t="shared" si="344"/>
        <v>102.9</v>
      </c>
      <c r="U754" s="252">
        <f t="shared" si="344"/>
        <v>117.6</v>
      </c>
      <c r="V754" s="252">
        <f t="shared" si="344"/>
        <v>117.6</v>
      </c>
      <c r="W754" s="252">
        <f t="shared" si="344"/>
        <v>73.5</v>
      </c>
      <c r="X754" s="252">
        <f t="shared" si="344"/>
        <v>44.1</v>
      </c>
      <c r="Y754" s="252"/>
      <c r="Z754" s="252">
        <f t="shared" si="343"/>
        <v>514.5</v>
      </c>
    </row>
    <row r="755" spans="1:37" ht="15" thickTop="1" thickBot="1">
      <c r="A755" s="450" t="s">
        <v>7</v>
      </c>
      <c r="B755" s="43" t="s">
        <v>8</v>
      </c>
      <c r="C755" s="43"/>
      <c r="D755" s="43"/>
      <c r="E755" s="44" t="s">
        <v>9</v>
      </c>
      <c r="F755" s="45"/>
      <c r="G755" s="45"/>
      <c r="H755" s="44"/>
      <c r="I755" s="44"/>
      <c r="J755" s="44"/>
      <c r="K755" s="44"/>
      <c r="L755" s="44"/>
      <c r="M755" s="44"/>
      <c r="N755" s="44"/>
      <c r="O755" s="44"/>
    </row>
    <row r="756" spans="1:37" ht="15" thickTop="1" thickBot="1">
      <c r="A756" s="451" t="s">
        <v>218</v>
      </c>
      <c r="B756" s="38" t="s">
        <v>36</v>
      </c>
      <c r="C756" s="9" t="s">
        <v>12</v>
      </c>
      <c r="D756" s="9" t="s">
        <v>13</v>
      </c>
      <c r="E756" s="10"/>
      <c r="F756" s="256" t="s">
        <v>14</v>
      </c>
      <c r="G756" s="257">
        <v>34</v>
      </c>
      <c r="H756" s="257">
        <v>36</v>
      </c>
      <c r="I756" s="257">
        <v>38</v>
      </c>
      <c r="J756" s="257">
        <v>40</v>
      </c>
      <c r="K756" s="257">
        <v>42</v>
      </c>
      <c r="L756" s="257">
        <v>44</v>
      </c>
      <c r="M756" s="257">
        <v>46</v>
      </c>
      <c r="N756" s="257"/>
      <c r="O756" s="258" t="s">
        <v>15</v>
      </c>
      <c r="Q756" s="259" t="s">
        <v>14</v>
      </c>
      <c r="R756" s="259"/>
      <c r="S756" s="259">
        <v>36</v>
      </c>
      <c r="T756" s="259">
        <v>38</v>
      </c>
      <c r="U756" s="259">
        <v>40</v>
      </c>
      <c r="V756" s="259">
        <v>42</v>
      </c>
      <c r="W756" s="259">
        <v>44</v>
      </c>
      <c r="X756" s="259">
        <v>46</v>
      </c>
      <c r="Y756" s="259"/>
      <c r="Z756" s="259" t="s">
        <v>15</v>
      </c>
    </row>
    <row r="757" spans="1:37" ht="15" thickTop="1" thickBot="1">
      <c r="A757" s="452" t="str">
        <f t="shared" ref="A757:A763" si="345">+A756</f>
        <v>4248-01</v>
      </c>
      <c r="B757" s="39" t="s">
        <v>16</v>
      </c>
      <c r="C757" s="39"/>
      <c r="D757" s="39" t="str">
        <f>+B756</f>
        <v>B2868-V3</v>
      </c>
      <c r="E757" s="40"/>
      <c r="F757" s="261" t="s">
        <v>1</v>
      </c>
      <c r="G757" s="261"/>
      <c r="H757" s="262">
        <f>'BASE DATOS'!C87</f>
        <v>25</v>
      </c>
      <c r="I757" s="262">
        <f>'BASE DATOS'!D87</f>
        <v>54</v>
      </c>
      <c r="J757" s="262">
        <f>'BASE DATOS'!E87</f>
        <v>62</v>
      </c>
      <c r="K757" s="262">
        <f>'BASE DATOS'!F87</f>
        <v>57</v>
      </c>
      <c r="L757" s="262">
        <f>'BASE DATOS'!G87</f>
        <v>41</v>
      </c>
      <c r="M757" s="262">
        <f>'BASE DATOS'!H87</f>
        <v>30</v>
      </c>
      <c r="N757" s="262"/>
      <c r="O757" s="263">
        <f t="shared" ref="O757:O763" si="346">SUM(H757:N757)</f>
        <v>269</v>
      </c>
      <c r="Q757" s="264"/>
      <c r="R757" s="264"/>
      <c r="S757" s="264"/>
      <c r="T757" s="264"/>
      <c r="U757" s="264"/>
      <c r="V757" s="264"/>
      <c r="W757" s="264"/>
      <c r="X757" s="264"/>
      <c r="Y757" s="264"/>
      <c r="Z757" s="264">
        <f>SUBTOTAL(9,S757:Y757)</f>
        <v>0</v>
      </c>
      <c r="AI757" s="250"/>
      <c r="AJ757" s="250"/>
    </row>
    <row r="758" spans="1:37" ht="15" thickTop="1" thickBot="1">
      <c r="A758" s="452" t="str">
        <f t="shared" si="345"/>
        <v>4248-01</v>
      </c>
      <c r="B758" s="3"/>
      <c r="C758" s="4" t="s">
        <v>17</v>
      </c>
      <c r="D758" s="4" t="s">
        <v>213</v>
      </c>
      <c r="E758" s="5" t="s">
        <v>3</v>
      </c>
      <c r="F758" s="265">
        <v>11548</v>
      </c>
      <c r="G758" s="2"/>
      <c r="H758" s="7">
        <v>16</v>
      </c>
      <c r="I758" s="7">
        <v>24</v>
      </c>
      <c r="J758" s="7">
        <v>43</v>
      </c>
      <c r="K758" s="7">
        <v>24</v>
      </c>
      <c r="L758" s="7">
        <v>33</v>
      </c>
      <c r="M758" s="7">
        <v>15</v>
      </c>
      <c r="N758" s="8"/>
      <c r="O758" s="14">
        <f t="shared" si="346"/>
        <v>155</v>
      </c>
      <c r="Q758" s="252" t="s">
        <v>19</v>
      </c>
      <c r="R758" s="266"/>
      <c r="S758" s="266"/>
      <c r="T758" s="266"/>
      <c r="U758" s="266"/>
      <c r="V758" s="266"/>
      <c r="W758" s="266"/>
      <c r="X758" s="266"/>
      <c r="Y758" s="267"/>
      <c r="Z758" s="268">
        <f t="shared" ref="Z758:Z763" si="347">SUM(S758:Y758)</f>
        <v>0</v>
      </c>
    </row>
    <row r="759" spans="1:37" ht="15" thickTop="1" thickBot="1">
      <c r="A759" s="452" t="str">
        <f t="shared" si="345"/>
        <v>4248-01</v>
      </c>
      <c r="B759" s="3">
        <v>46105</v>
      </c>
      <c r="C759" s="3"/>
      <c r="D759" s="3"/>
      <c r="E759" s="5" t="s">
        <v>3</v>
      </c>
      <c r="F759" s="269" t="s">
        <v>219</v>
      </c>
      <c r="G759" s="6"/>
      <c r="H759" s="7">
        <v>14</v>
      </c>
      <c r="I759" s="7">
        <v>40</v>
      </c>
      <c r="J759" s="7">
        <v>28</v>
      </c>
      <c r="K759" s="7">
        <v>42</v>
      </c>
      <c r="L759" s="7">
        <v>20</v>
      </c>
      <c r="M759" s="7">
        <v>20</v>
      </c>
      <c r="N759" s="15"/>
      <c r="O759" s="14">
        <f t="shared" si="346"/>
        <v>164</v>
      </c>
      <c r="Q759" s="252" t="s">
        <v>4</v>
      </c>
      <c r="R759" s="266">
        <f>78/19</f>
        <v>4.1052631578947372</v>
      </c>
      <c r="S759" s="266"/>
      <c r="T759" s="266"/>
      <c r="U759" s="266"/>
      <c r="V759" s="266"/>
      <c r="W759" s="266"/>
      <c r="X759" s="266"/>
      <c r="Y759" s="266"/>
      <c r="Z759" s="266">
        <f t="shared" si="347"/>
        <v>0</v>
      </c>
    </row>
    <row r="760" spans="1:37" ht="15" thickTop="1" thickBot="1">
      <c r="A760" s="452" t="str">
        <f t="shared" si="345"/>
        <v>4248-01</v>
      </c>
      <c r="B760" s="3"/>
      <c r="C760" s="3"/>
      <c r="D760" s="3"/>
      <c r="E760" s="5" t="s">
        <v>3</v>
      </c>
      <c r="F760" s="269"/>
      <c r="G760" s="6"/>
      <c r="H760" s="15"/>
      <c r="I760" s="15"/>
      <c r="J760" s="15"/>
      <c r="K760" s="15"/>
      <c r="L760" s="15"/>
      <c r="M760" s="15"/>
      <c r="N760" s="15"/>
      <c r="O760" s="16">
        <f t="shared" si="346"/>
        <v>0</v>
      </c>
      <c r="Q760" s="252" t="s">
        <v>6</v>
      </c>
      <c r="R760" s="266">
        <f>25/11</f>
        <v>2.2727272727272729</v>
      </c>
      <c r="S760" s="266"/>
      <c r="T760" s="266"/>
      <c r="U760" s="266"/>
      <c r="V760" s="266"/>
      <c r="W760" s="266"/>
      <c r="X760" s="266"/>
      <c r="Y760" s="266"/>
      <c r="Z760" s="266">
        <f t="shared" si="347"/>
        <v>0</v>
      </c>
    </row>
    <row r="761" spans="1:37" ht="15" thickTop="1" thickBot="1">
      <c r="A761" s="452" t="str">
        <f t="shared" si="345"/>
        <v>4248-01</v>
      </c>
      <c r="B761" s="3"/>
      <c r="C761" s="3"/>
      <c r="D761" s="3"/>
      <c r="E761" s="5" t="s">
        <v>3</v>
      </c>
      <c r="F761" s="269"/>
      <c r="G761" s="6"/>
      <c r="H761" s="8"/>
      <c r="I761" s="8"/>
      <c r="J761" s="8"/>
      <c r="K761" s="8"/>
      <c r="L761" s="8"/>
      <c r="M761" s="8"/>
      <c r="N761" s="15"/>
      <c r="O761" s="16">
        <f t="shared" si="346"/>
        <v>0</v>
      </c>
      <c r="Q761" s="266"/>
      <c r="R761" s="266"/>
      <c r="S761" s="266"/>
      <c r="T761" s="266"/>
      <c r="U761" s="266"/>
      <c r="V761" s="266"/>
      <c r="W761" s="266"/>
      <c r="X761" s="266"/>
      <c r="Y761" s="266"/>
      <c r="Z761" s="266">
        <f t="shared" si="347"/>
        <v>0</v>
      </c>
    </row>
    <row r="762" spans="1:37" ht="15" thickTop="1" thickBot="1">
      <c r="A762" s="453" t="str">
        <f t="shared" si="345"/>
        <v>4248-01</v>
      </c>
      <c r="B762" s="19"/>
      <c r="C762" s="19"/>
      <c r="D762" s="19"/>
      <c r="E762" s="20" t="s">
        <v>3</v>
      </c>
      <c r="F762" s="271"/>
      <c r="G762" s="21"/>
      <c r="H762" s="22"/>
      <c r="I762" s="22"/>
      <c r="J762" s="22"/>
      <c r="K762" s="22"/>
      <c r="L762" s="22"/>
      <c r="M762" s="22"/>
      <c r="N762" s="22"/>
      <c r="O762" s="23">
        <f t="shared" si="346"/>
        <v>0</v>
      </c>
      <c r="Q762" s="252" t="s">
        <v>2</v>
      </c>
      <c r="R762" s="272">
        <f>500/10.2</f>
        <v>49.019607843137258</v>
      </c>
      <c r="S762" s="252">
        <f>49*1.2</f>
        <v>58.8</v>
      </c>
      <c r="T762" s="252">
        <f>49*2.1</f>
        <v>102.9</v>
      </c>
      <c r="U762" s="252">
        <f>49*2.4</f>
        <v>117.6</v>
      </c>
      <c r="V762" s="252">
        <f>49*2.4</f>
        <v>117.6</v>
      </c>
      <c r="W762" s="252">
        <f>49*1.5</f>
        <v>73.5</v>
      </c>
      <c r="X762" s="252">
        <f>49*0.9</f>
        <v>44.1</v>
      </c>
      <c r="Y762" s="266"/>
      <c r="Z762" s="266">
        <f t="shared" si="347"/>
        <v>514.5</v>
      </c>
    </row>
    <row r="763" spans="1:37" ht="15" thickTop="1" thickBot="1">
      <c r="A763" s="454" t="str">
        <f t="shared" si="345"/>
        <v>4248-01</v>
      </c>
      <c r="B763" s="47"/>
      <c r="C763" s="47"/>
      <c r="D763" s="47"/>
      <c r="E763" s="48" t="s">
        <v>23</v>
      </c>
      <c r="F763" s="49" t="str">
        <f>+B756</f>
        <v>B2868-V3</v>
      </c>
      <c r="G763" s="48"/>
      <c r="H763" s="48">
        <f>+H757-H758-H759-H760-H762+H761</f>
        <v>-5</v>
      </c>
      <c r="I763" s="48">
        <f>+I757-I758-I759-I760-I762+I761</f>
        <v>-10</v>
      </c>
      <c r="J763" s="48">
        <f>+J757-J758-J759-J760-J762-J761</f>
        <v>-9</v>
      </c>
      <c r="K763" s="48">
        <f>+K757-K758-K759-K760-K762-K761</f>
        <v>-9</v>
      </c>
      <c r="L763" s="48">
        <f>+L757-L758-L759-L760-L762-L761</f>
        <v>-12</v>
      </c>
      <c r="M763" s="48">
        <f>+M757-M758-M759-M760-M762-M761</f>
        <v>-5</v>
      </c>
      <c r="N763" s="48"/>
      <c r="O763" s="48">
        <f t="shared" si="346"/>
        <v>-50</v>
      </c>
      <c r="Q763" s="266"/>
      <c r="R763" s="266"/>
      <c r="S763" s="252">
        <f t="shared" ref="S763:X763" si="348">SUM(S759:S762)</f>
        <v>58.8</v>
      </c>
      <c r="T763" s="252">
        <f t="shared" si="348"/>
        <v>102.9</v>
      </c>
      <c r="U763" s="252">
        <f t="shared" si="348"/>
        <v>117.6</v>
      </c>
      <c r="V763" s="252">
        <f t="shared" si="348"/>
        <v>117.6</v>
      </c>
      <c r="W763" s="252">
        <f t="shared" si="348"/>
        <v>73.5</v>
      </c>
      <c r="X763" s="252">
        <f t="shared" si="348"/>
        <v>44.1</v>
      </c>
      <c r="Y763" s="252"/>
      <c r="Z763" s="252">
        <f t="shared" si="347"/>
        <v>514.5</v>
      </c>
    </row>
    <row r="764" spans="1:37" ht="15" thickTop="1" thickBot="1">
      <c r="A764" s="386" t="s">
        <v>7</v>
      </c>
      <c r="B764" s="43" t="s">
        <v>8</v>
      </c>
      <c r="C764" s="43"/>
      <c r="D764" s="43"/>
      <c r="E764" s="44" t="s">
        <v>9</v>
      </c>
      <c r="F764" s="45"/>
      <c r="G764" s="45"/>
      <c r="H764" s="44"/>
      <c r="I764" s="44"/>
      <c r="J764" s="44"/>
      <c r="K764" s="44"/>
      <c r="L764" s="44"/>
      <c r="M764" s="44"/>
      <c r="N764" s="44"/>
      <c r="O764" s="44"/>
      <c r="AC764" s="275" t="s">
        <v>3</v>
      </c>
      <c r="AD764" s="276">
        <v>46072</v>
      </c>
      <c r="AE764" s="275">
        <v>36</v>
      </c>
      <c r="AF764" s="275">
        <v>38</v>
      </c>
      <c r="AG764" s="275">
        <v>40</v>
      </c>
      <c r="AH764" s="275">
        <v>42</v>
      </c>
      <c r="AI764" s="277">
        <v>44</v>
      </c>
      <c r="AJ764" s="277">
        <v>46</v>
      </c>
      <c r="AK764" s="277" t="s">
        <v>28</v>
      </c>
    </row>
    <row r="765" spans="1:37" ht="15" thickTop="1" thickBot="1">
      <c r="A765" s="387" t="s">
        <v>220</v>
      </c>
      <c r="B765" s="38" t="s">
        <v>221</v>
      </c>
      <c r="C765" s="9" t="s">
        <v>12</v>
      </c>
      <c r="D765" s="9" t="s">
        <v>13</v>
      </c>
      <c r="E765" s="10"/>
      <c r="F765" s="256" t="s">
        <v>14</v>
      </c>
      <c r="G765" s="257">
        <v>34</v>
      </c>
      <c r="H765" s="257">
        <v>36</v>
      </c>
      <c r="I765" s="257">
        <v>38</v>
      </c>
      <c r="J765" s="257">
        <v>40</v>
      </c>
      <c r="K765" s="257">
        <v>42</v>
      </c>
      <c r="L765" s="257">
        <v>44</v>
      </c>
      <c r="M765" s="257">
        <v>46</v>
      </c>
      <c r="N765" s="257"/>
      <c r="O765" s="258" t="s">
        <v>15</v>
      </c>
      <c r="Q765" s="259" t="s">
        <v>14</v>
      </c>
      <c r="R765" s="259"/>
      <c r="S765" s="259">
        <v>36</v>
      </c>
      <c r="T765" s="259">
        <v>38</v>
      </c>
      <c r="U765" s="259">
        <v>40</v>
      </c>
      <c r="V765" s="259">
        <v>42</v>
      </c>
      <c r="W765" s="259">
        <v>44</v>
      </c>
      <c r="X765" s="259">
        <v>46</v>
      </c>
      <c r="Y765" s="259"/>
      <c r="Z765" s="259" t="s">
        <v>15</v>
      </c>
      <c r="AC765" s="279" t="s">
        <v>29</v>
      </c>
      <c r="AD765" s="275">
        <v>11560</v>
      </c>
      <c r="AE765" s="279">
        <f t="shared" ref="AE765:AJ765" si="349">+H767+H776</f>
        <v>47</v>
      </c>
      <c r="AF765" s="279">
        <f t="shared" si="349"/>
        <v>94</v>
      </c>
      <c r="AG765" s="279">
        <f t="shared" si="349"/>
        <v>112</v>
      </c>
      <c r="AH765" s="279">
        <f t="shared" si="349"/>
        <v>94</v>
      </c>
      <c r="AI765" s="279">
        <f t="shared" si="349"/>
        <v>74</v>
      </c>
      <c r="AJ765" s="279">
        <f t="shared" si="349"/>
        <v>47</v>
      </c>
      <c r="AK765" s="275">
        <f>SUM(AE765:AJ765)</f>
        <v>468</v>
      </c>
    </row>
    <row r="766" spans="1:37" ht="15" thickTop="1" thickBot="1">
      <c r="A766" s="388" t="str">
        <f t="shared" ref="A766:A772" si="350">+A765</f>
        <v>4249-00</v>
      </c>
      <c r="B766" s="39" t="s">
        <v>16</v>
      </c>
      <c r="C766" s="39"/>
      <c r="D766" s="39" t="str">
        <f>+B765</f>
        <v>Outlander Black</v>
      </c>
      <c r="E766" s="40"/>
      <c r="F766" s="261" t="s">
        <v>1</v>
      </c>
      <c r="G766" s="261"/>
      <c r="H766" s="262">
        <f>'BASE DATOS'!C88</f>
        <v>43</v>
      </c>
      <c r="I766" s="262">
        <f>'BASE DATOS'!D88</f>
        <v>90</v>
      </c>
      <c r="J766" s="262">
        <f>'BASE DATOS'!E88</f>
        <v>102</v>
      </c>
      <c r="K766" s="262">
        <f>'BASE DATOS'!F88</f>
        <v>98</v>
      </c>
      <c r="L766" s="262">
        <f>'BASE DATOS'!G88</f>
        <v>73</v>
      </c>
      <c r="M766" s="262">
        <f>'BASE DATOS'!H88</f>
        <v>60</v>
      </c>
      <c r="N766" s="262"/>
      <c r="O766" s="263">
        <f t="shared" ref="O766:O772" si="351">SUM(H766:N766)</f>
        <v>466</v>
      </c>
      <c r="Q766" s="264"/>
      <c r="R766" s="264"/>
      <c r="S766" s="264"/>
      <c r="T766" s="264"/>
      <c r="U766" s="264"/>
      <c r="V766" s="264"/>
      <c r="W766" s="264"/>
      <c r="X766" s="264"/>
      <c r="Y766" s="264"/>
      <c r="Z766" s="264">
        <f>SUBTOTAL(9,S766:Y766)</f>
        <v>0</v>
      </c>
      <c r="AC766" s="281" t="s">
        <v>30</v>
      </c>
      <c r="AD766" s="282">
        <v>4249</v>
      </c>
    </row>
    <row r="767" spans="1:37" ht="15" thickTop="1" thickBot="1">
      <c r="A767" s="388" t="str">
        <f t="shared" si="350"/>
        <v>4249-00</v>
      </c>
      <c r="B767" s="3">
        <v>46100</v>
      </c>
      <c r="C767" s="4" t="s">
        <v>17</v>
      </c>
      <c r="D767" s="4" t="s">
        <v>152</v>
      </c>
      <c r="E767" s="5" t="s">
        <v>3</v>
      </c>
      <c r="F767" s="265">
        <v>11560</v>
      </c>
      <c r="G767" s="2"/>
      <c r="H767" s="7">
        <f>47-H776</f>
        <v>47</v>
      </c>
      <c r="I767" s="7">
        <f>94-I776</f>
        <v>94</v>
      </c>
      <c r="J767" s="7">
        <f>112-J776</f>
        <v>112</v>
      </c>
      <c r="K767" s="7">
        <f>94-K776</f>
        <v>94</v>
      </c>
      <c r="L767" s="7">
        <f>74-L776</f>
        <v>74</v>
      </c>
      <c r="M767" s="7">
        <f>47-M776</f>
        <v>47</v>
      </c>
      <c r="N767" s="8"/>
      <c r="O767" s="14">
        <f t="shared" si="351"/>
        <v>468</v>
      </c>
      <c r="Q767" s="252" t="s">
        <v>19</v>
      </c>
      <c r="R767" s="266"/>
      <c r="S767" s="266"/>
      <c r="T767" s="266"/>
      <c r="U767" s="266"/>
      <c r="V767" s="266"/>
      <c r="W767" s="266"/>
      <c r="X767" s="266"/>
      <c r="Y767" s="267"/>
      <c r="Z767" s="268">
        <f t="shared" ref="Z767:Z772" si="352">SUM(S767:Y767)</f>
        <v>0</v>
      </c>
      <c r="AC767" s="279" t="s">
        <v>32</v>
      </c>
      <c r="AD767" s="275" t="s">
        <v>221</v>
      </c>
    </row>
    <row r="768" spans="1:37" ht="15" thickTop="1" thickBot="1">
      <c r="A768" s="388" t="str">
        <f t="shared" si="350"/>
        <v>4249-00</v>
      </c>
      <c r="B768" s="3"/>
      <c r="C768" s="3"/>
      <c r="D768" s="3"/>
      <c r="E768" s="5" t="s">
        <v>3</v>
      </c>
      <c r="F768" s="269"/>
      <c r="G768" s="6"/>
      <c r="H768" s="7"/>
      <c r="I768" s="7"/>
      <c r="J768" s="7"/>
      <c r="K768" s="7"/>
      <c r="L768" s="7"/>
      <c r="M768" s="7"/>
      <c r="N768" s="15"/>
      <c r="O768" s="14">
        <f t="shared" si="351"/>
        <v>0</v>
      </c>
      <c r="Q768" s="252" t="s">
        <v>4</v>
      </c>
      <c r="R768" s="266">
        <f>78/19</f>
        <v>4.1052631578947372</v>
      </c>
      <c r="S768" s="266"/>
      <c r="T768" s="266"/>
      <c r="U768" s="266"/>
      <c r="V768" s="266"/>
      <c r="W768" s="266"/>
      <c r="X768" s="266"/>
      <c r="Y768" s="266"/>
      <c r="Z768" s="266">
        <f t="shared" si="352"/>
        <v>0</v>
      </c>
      <c r="AC768" s="279" t="s">
        <v>12</v>
      </c>
      <c r="AD768" s="275" t="s">
        <v>13</v>
      </c>
    </row>
    <row r="769" spans="1:30" ht="15" thickTop="1" thickBot="1">
      <c r="A769" s="388" t="str">
        <f t="shared" si="350"/>
        <v>4249-00</v>
      </c>
      <c r="B769" s="3"/>
      <c r="C769" s="3"/>
      <c r="D769" s="3"/>
      <c r="E769" s="5" t="s">
        <v>3</v>
      </c>
      <c r="F769" s="269"/>
      <c r="G769" s="6"/>
      <c r="H769" s="15"/>
      <c r="I769" s="15"/>
      <c r="J769" s="15"/>
      <c r="K769" s="15"/>
      <c r="L769" s="15"/>
      <c r="M769" s="15"/>
      <c r="N769" s="15"/>
      <c r="O769" s="16">
        <f t="shared" si="351"/>
        <v>0</v>
      </c>
      <c r="Q769" s="252" t="s">
        <v>6</v>
      </c>
      <c r="R769" s="266">
        <f>25/11</f>
        <v>2.2727272727272729</v>
      </c>
      <c r="S769" s="266"/>
      <c r="T769" s="266"/>
      <c r="U769" s="266"/>
      <c r="V769" s="266"/>
      <c r="W769" s="266"/>
      <c r="X769" s="266"/>
      <c r="Y769" s="266"/>
      <c r="Z769" s="266">
        <f t="shared" si="352"/>
        <v>0</v>
      </c>
      <c r="AC769" s="279" t="s">
        <v>17</v>
      </c>
      <c r="AD769" s="275" t="s">
        <v>152</v>
      </c>
    </row>
    <row r="770" spans="1:30" ht="15" thickTop="1" thickBot="1">
      <c r="A770" s="388" t="str">
        <f t="shared" si="350"/>
        <v>4249-00</v>
      </c>
      <c r="B770" s="3"/>
      <c r="C770" s="3"/>
      <c r="D770" s="3"/>
      <c r="E770" s="5" t="s">
        <v>3</v>
      </c>
      <c r="F770" s="269"/>
      <c r="G770" s="6"/>
      <c r="H770" s="8"/>
      <c r="I770" s="8"/>
      <c r="J770" s="8"/>
      <c r="K770" s="8"/>
      <c r="L770" s="8"/>
      <c r="M770" s="8"/>
      <c r="N770" s="15"/>
      <c r="O770" s="16">
        <f t="shared" si="351"/>
        <v>0</v>
      </c>
      <c r="Q770" s="266"/>
      <c r="R770" s="266"/>
      <c r="S770" s="266"/>
      <c r="T770" s="266"/>
      <c r="U770" s="266"/>
      <c r="V770" s="266"/>
      <c r="W770" s="266"/>
      <c r="X770" s="266"/>
      <c r="Y770" s="266"/>
      <c r="Z770" s="266">
        <f t="shared" si="352"/>
        <v>0</v>
      </c>
    </row>
    <row r="771" spans="1:30" ht="15" thickTop="1" thickBot="1">
      <c r="A771" s="389" t="str">
        <f t="shared" si="350"/>
        <v>4249-00</v>
      </c>
      <c r="B771" s="19"/>
      <c r="C771" s="19"/>
      <c r="D771" s="19"/>
      <c r="E771" s="20" t="s">
        <v>3</v>
      </c>
      <c r="F771" s="271"/>
      <c r="G771" s="21"/>
      <c r="H771" s="22"/>
      <c r="I771" s="22"/>
      <c r="J771" s="22"/>
      <c r="K771" s="22"/>
      <c r="L771" s="22"/>
      <c r="M771" s="22"/>
      <c r="N771" s="22"/>
      <c r="O771" s="23">
        <f t="shared" si="351"/>
        <v>0</v>
      </c>
      <c r="Q771" s="252" t="s">
        <v>2</v>
      </c>
      <c r="R771" s="272">
        <f>500/10.2</f>
        <v>49.019607843137258</v>
      </c>
      <c r="S771" s="252">
        <f>49*1.2</f>
        <v>58.8</v>
      </c>
      <c r="T771" s="252">
        <f>49*2.1</f>
        <v>102.9</v>
      </c>
      <c r="U771" s="252">
        <f>49*2.4</f>
        <v>117.6</v>
      </c>
      <c r="V771" s="252">
        <f>49*2.4</f>
        <v>117.6</v>
      </c>
      <c r="W771" s="252">
        <f>49*1.5</f>
        <v>73.5</v>
      </c>
      <c r="X771" s="252">
        <f>49*0.9</f>
        <v>44.1</v>
      </c>
      <c r="Y771" s="266"/>
      <c r="Z771" s="266">
        <f t="shared" si="352"/>
        <v>514.5</v>
      </c>
    </row>
    <row r="772" spans="1:30" ht="15" thickTop="1" thickBot="1">
      <c r="A772" s="390" t="str">
        <f t="shared" si="350"/>
        <v>4249-00</v>
      </c>
      <c r="B772" s="47"/>
      <c r="C772" s="47"/>
      <c r="D772" s="47"/>
      <c r="E772" s="48" t="s">
        <v>23</v>
      </c>
      <c r="F772" s="49" t="str">
        <f>+B765</f>
        <v>Outlander Black</v>
      </c>
      <c r="G772" s="48"/>
      <c r="H772" s="48">
        <f>+H766-H767-H768-H769-H771+H770</f>
        <v>-4</v>
      </c>
      <c r="I772" s="48">
        <f>+I766-I767-I768-I769-I771+I770</f>
        <v>-4</v>
      </c>
      <c r="J772" s="48">
        <f>+J766-J767-J768-J769-J771-J770</f>
        <v>-10</v>
      </c>
      <c r="K772" s="48">
        <f>+K766-K767-K768-K769-K771-K770</f>
        <v>4</v>
      </c>
      <c r="L772" s="48">
        <f>+L766-L767-L768-L769-L771-L770</f>
        <v>-1</v>
      </c>
      <c r="M772" s="48">
        <f>+M766-M767-M768-M769-M771-M770</f>
        <v>13</v>
      </c>
      <c r="N772" s="48"/>
      <c r="O772" s="48">
        <f t="shared" si="351"/>
        <v>-2</v>
      </c>
      <c r="Q772" s="266"/>
      <c r="R772" s="266"/>
      <c r="S772" s="252">
        <f t="shared" ref="S772:X772" si="353">SUM(S768:S771)</f>
        <v>58.8</v>
      </c>
      <c r="T772" s="252">
        <f t="shared" si="353"/>
        <v>102.9</v>
      </c>
      <c r="U772" s="252">
        <f t="shared" si="353"/>
        <v>117.6</v>
      </c>
      <c r="V772" s="252">
        <f t="shared" si="353"/>
        <v>117.6</v>
      </c>
      <c r="W772" s="252">
        <f t="shared" si="353"/>
        <v>73.5</v>
      </c>
      <c r="X772" s="252">
        <f t="shared" si="353"/>
        <v>44.1</v>
      </c>
      <c r="Y772" s="252"/>
      <c r="Z772" s="252">
        <f t="shared" si="352"/>
        <v>514.5</v>
      </c>
    </row>
    <row r="773" spans="1:30" ht="15" thickTop="1" thickBot="1">
      <c r="A773" s="386" t="s">
        <v>7</v>
      </c>
      <c r="B773" s="43" t="s">
        <v>8</v>
      </c>
      <c r="C773" s="43"/>
      <c r="D773" s="43"/>
      <c r="E773" s="44" t="s">
        <v>9</v>
      </c>
      <c r="F773" s="45"/>
      <c r="G773" s="45"/>
      <c r="H773" s="44"/>
      <c r="I773" s="44"/>
      <c r="J773" s="44"/>
      <c r="K773" s="44"/>
      <c r="L773" s="44"/>
      <c r="M773" s="44"/>
      <c r="N773" s="44"/>
      <c r="O773" s="44"/>
    </row>
    <row r="774" spans="1:30" ht="15" thickTop="1" thickBot="1">
      <c r="A774" s="387" t="s">
        <v>222</v>
      </c>
      <c r="B774" s="38" t="s">
        <v>221</v>
      </c>
      <c r="C774" s="9" t="s">
        <v>12</v>
      </c>
      <c r="D774" s="9" t="s">
        <v>13</v>
      </c>
      <c r="E774" s="10"/>
      <c r="F774" s="256" t="s">
        <v>14</v>
      </c>
      <c r="G774" s="257">
        <v>34</v>
      </c>
      <c r="H774" s="257">
        <v>36</v>
      </c>
      <c r="I774" s="257">
        <v>38</v>
      </c>
      <c r="J774" s="257">
        <v>40</v>
      </c>
      <c r="K774" s="257">
        <v>42</v>
      </c>
      <c r="L774" s="257">
        <v>44</v>
      </c>
      <c r="M774" s="257">
        <v>46</v>
      </c>
      <c r="N774" s="257"/>
      <c r="O774" s="258" t="s">
        <v>15</v>
      </c>
      <c r="Q774" s="259" t="s">
        <v>14</v>
      </c>
      <c r="R774" s="259"/>
      <c r="S774" s="259">
        <v>36</v>
      </c>
      <c r="T774" s="259">
        <v>38</v>
      </c>
      <c r="U774" s="259">
        <v>40</v>
      </c>
      <c r="V774" s="259">
        <v>42</v>
      </c>
      <c r="W774" s="259">
        <v>44</v>
      </c>
      <c r="X774" s="259">
        <v>46</v>
      </c>
      <c r="Y774" s="259"/>
      <c r="Z774" s="259" t="s">
        <v>15</v>
      </c>
    </row>
    <row r="775" spans="1:30" ht="15" thickTop="1" thickBot="1">
      <c r="A775" s="388" t="str">
        <f t="shared" ref="A775:A781" si="354">+A774</f>
        <v>4249-60</v>
      </c>
      <c r="B775" s="39" t="s">
        <v>16</v>
      </c>
      <c r="C775" s="39"/>
      <c r="D775" s="39" t="str">
        <f>+B774</f>
        <v>Outlander Black</v>
      </c>
      <c r="E775" s="40"/>
      <c r="F775" s="261" t="s">
        <v>1</v>
      </c>
      <c r="G775" s="261"/>
      <c r="H775" s="262">
        <f>'BASE DATOS'!C89</f>
        <v>6</v>
      </c>
      <c r="I775" s="262">
        <f>'BASE DATOS'!D89</f>
        <v>9</v>
      </c>
      <c r="J775" s="262">
        <f>'BASE DATOS'!E89</f>
        <v>11</v>
      </c>
      <c r="K775" s="262">
        <f>'BASE DATOS'!F89</f>
        <v>9</v>
      </c>
      <c r="L775" s="262">
        <f>'BASE DATOS'!G89</f>
        <v>7</v>
      </c>
      <c r="M775" s="262">
        <f>'BASE DATOS'!H89</f>
        <v>4</v>
      </c>
      <c r="N775" s="262"/>
      <c r="O775" s="263">
        <f t="shared" ref="O775:O781" si="355">SUM(H775:N775)</f>
        <v>46</v>
      </c>
      <c r="Q775" s="264"/>
      <c r="R775" s="264"/>
      <c r="S775" s="264"/>
      <c r="T775" s="264"/>
      <c r="U775" s="264"/>
      <c r="V775" s="264"/>
      <c r="W775" s="264"/>
      <c r="X775" s="264"/>
      <c r="Y775" s="264"/>
      <c r="Z775" s="264">
        <f>SUBTOTAL(9,S775:Y775)</f>
        <v>0</v>
      </c>
    </row>
    <row r="776" spans="1:30" ht="15" thickTop="1" thickBot="1">
      <c r="A776" s="388" t="str">
        <f t="shared" si="354"/>
        <v>4249-60</v>
      </c>
      <c r="B776" s="3"/>
      <c r="C776" s="4" t="s">
        <v>17</v>
      </c>
      <c r="D776" s="4" t="s">
        <v>152</v>
      </c>
      <c r="E776" s="5" t="s">
        <v>3</v>
      </c>
      <c r="F776" s="265">
        <v>11560</v>
      </c>
      <c r="G776" s="2"/>
      <c r="H776" s="7"/>
      <c r="I776" s="7"/>
      <c r="J776" s="7"/>
      <c r="K776" s="7"/>
      <c r="L776" s="7"/>
      <c r="M776" s="7"/>
      <c r="N776" s="8"/>
      <c r="O776" s="14">
        <f t="shared" si="355"/>
        <v>0</v>
      </c>
      <c r="Q776" s="252" t="s">
        <v>19</v>
      </c>
      <c r="R776" s="266"/>
      <c r="S776" s="266"/>
      <c r="T776" s="266"/>
      <c r="U776" s="266"/>
      <c r="V776" s="266"/>
      <c r="W776" s="266"/>
      <c r="X776" s="266"/>
      <c r="Y776" s="267"/>
      <c r="Z776" s="268">
        <f t="shared" ref="Z776:Z781" si="356">SUM(S776:Y776)</f>
        <v>0</v>
      </c>
    </row>
    <row r="777" spans="1:30" ht="15" thickTop="1" thickBot="1">
      <c r="A777" s="388" t="str">
        <f t="shared" si="354"/>
        <v>4249-60</v>
      </c>
      <c r="B777" s="3"/>
      <c r="C777" s="3"/>
      <c r="D777" s="3"/>
      <c r="E777" s="5" t="s">
        <v>3</v>
      </c>
      <c r="F777" s="269"/>
      <c r="G777" s="6"/>
      <c r="H777" s="7"/>
      <c r="I777" s="7"/>
      <c r="J777" s="7"/>
      <c r="K777" s="7"/>
      <c r="L777" s="7"/>
      <c r="M777" s="7"/>
      <c r="N777" s="15"/>
      <c r="O777" s="14">
        <f t="shared" si="355"/>
        <v>0</v>
      </c>
      <c r="Q777" s="252" t="s">
        <v>4</v>
      </c>
      <c r="R777" s="266">
        <f>78/19</f>
        <v>4.1052631578947372</v>
      </c>
      <c r="S777" s="266"/>
      <c r="T777" s="266"/>
      <c r="U777" s="266"/>
      <c r="V777" s="266"/>
      <c r="W777" s="266"/>
      <c r="X777" s="266"/>
      <c r="Y777" s="266"/>
      <c r="Z777" s="266">
        <f t="shared" si="356"/>
        <v>0</v>
      </c>
    </row>
    <row r="778" spans="1:30" ht="15" thickTop="1" thickBot="1">
      <c r="A778" s="388" t="str">
        <f t="shared" si="354"/>
        <v>4249-60</v>
      </c>
      <c r="B778" s="3"/>
      <c r="C778" s="3"/>
      <c r="D778" s="3"/>
      <c r="E778" s="5" t="s">
        <v>3</v>
      </c>
      <c r="F778" s="269"/>
      <c r="G778" s="6"/>
      <c r="H778" s="15"/>
      <c r="I778" s="15"/>
      <c r="J778" s="15"/>
      <c r="K778" s="15"/>
      <c r="L778" s="15"/>
      <c r="M778" s="15"/>
      <c r="N778" s="15"/>
      <c r="O778" s="16">
        <f t="shared" si="355"/>
        <v>0</v>
      </c>
      <c r="Q778" s="252" t="s">
        <v>6</v>
      </c>
      <c r="R778" s="266">
        <f>25/11</f>
        <v>2.2727272727272729</v>
      </c>
      <c r="S778" s="266"/>
      <c r="T778" s="266"/>
      <c r="U778" s="266"/>
      <c r="V778" s="266"/>
      <c r="W778" s="266"/>
      <c r="X778" s="266"/>
      <c r="Y778" s="266"/>
      <c r="Z778" s="266">
        <f t="shared" si="356"/>
        <v>0</v>
      </c>
    </row>
    <row r="779" spans="1:30" ht="15" thickTop="1" thickBot="1">
      <c r="A779" s="388" t="str">
        <f t="shared" si="354"/>
        <v>4249-60</v>
      </c>
      <c r="B779" s="3"/>
      <c r="C779" s="3"/>
      <c r="D779" s="3"/>
      <c r="E779" s="5" t="s">
        <v>3</v>
      </c>
      <c r="F779" s="269"/>
      <c r="G779" s="6"/>
      <c r="H779" s="8"/>
      <c r="I779" s="8"/>
      <c r="J779" s="8"/>
      <c r="K779" s="8"/>
      <c r="L779" s="8"/>
      <c r="M779" s="8"/>
      <c r="N779" s="15"/>
      <c r="O779" s="16">
        <f t="shared" si="355"/>
        <v>0</v>
      </c>
      <c r="Q779" s="266"/>
      <c r="R779" s="266"/>
      <c r="S779" s="266"/>
      <c r="T779" s="266"/>
      <c r="U779" s="266"/>
      <c r="V779" s="266"/>
      <c r="W779" s="266"/>
      <c r="X779" s="266"/>
      <c r="Y779" s="266"/>
      <c r="Z779" s="266">
        <f t="shared" si="356"/>
        <v>0</v>
      </c>
    </row>
    <row r="780" spans="1:30" ht="15" thickTop="1" thickBot="1">
      <c r="A780" s="389" t="str">
        <f t="shared" si="354"/>
        <v>4249-60</v>
      </c>
      <c r="B780" s="19"/>
      <c r="C780" s="19"/>
      <c r="D780" s="19"/>
      <c r="E780" s="20" t="s">
        <v>3</v>
      </c>
      <c r="F780" s="271"/>
      <c r="G780" s="21"/>
      <c r="H780" s="22"/>
      <c r="I780" s="22"/>
      <c r="J780" s="22"/>
      <c r="K780" s="22"/>
      <c r="L780" s="22"/>
      <c r="M780" s="22"/>
      <c r="N780" s="22"/>
      <c r="O780" s="23">
        <f t="shared" si="355"/>
        <v>0</v>
      </c>
      <c r="Q780" s="252" t="s">
        <v>2</v>
      </c>
      <c r="R780" s="272">
        <f>500/10.2</f>
        <v>49.019607843137258</v>
      </c>
      <c r="S780" s="252">
        <f>49*1.2</f>
        <v>58.8</v>
      </c>
      <c r="T780" s="252">
        <f>49*2.1</f>
        <v>102.9</v>
      </c>
      <c r="U780" s="252">
        <f>49*2.4</f>
        <v>117.6</v>
      </c>
      <c r="V780" s="252">
        <f>49*2.4</f>
        <v>117.6</v>
      </c>
      <c r="W780" s="252">
        <f>49*1.5</f>
        <v>73.5</v>
      </c>
      <c r="X780" s="252">
        <f>49*0.9</f>
        <v>44.1</v>
      </c>
      <c r="Y780" s="266"/>
      <c r="Z780" s="266">
        <f t="shared" si="356"/>
        <v>514.5</v>
      </c>
    </row>
    <row r="781" spans="1:30" ht="15" thickTop="1" thickBot="1">
      <c r="A781" s="390" t="str">
        <f t="shared" si="354"/>
        <v>4249-60</v>
      </c>
      <c r="B781" s="47"/>
      <c r="C781" s="47"/>
      <c r="D781" s="47"/>
      <c r="E781" s="48" t="s">
        <v>23</v>
      </c>
      <c r="F781" s="49" t="str">
        <f>+B774</f>
        <v>Outlander Black</v>
      </c>
      <c r="G781" s="48"/>
      <c r="H781" s="48">
        <f>+H775-H776-H777-H778-H780+H779</f>
        <v>6</v>
      </c>
      <c r="I781" s="48">
        <f>+I775-I776-I777-I778-I780+I779</f>
        <v>9</v>
      </c>
      <c r="J781" s="48">
        <f>+J775-J776-J777-J778-J780-J779</f>
        <v>11</v>
      </c>
      <c r="K781" s="48">
        <f>+K775-K776-K777-K778-K780-K779</f>
        <v>9</v>
      </c>
      <c r="L781" s="48">
        <f>+L775-L776-L777-L778-L780-L779</f>
        <v>7</v>
      </c>
      <c r="M781" s="48">
        <f>+M775-M776-M777-M778-M780-M779</f>
        <v>4</v>
      </c>
      <c r="N781" s="48"/>
      <c r="O781" s="48">
        <f t="shared" si="355"/>
        <v>46</v>
      </c>
      <c r="Q781" s="266"/>
      <c r="R781" s="266"/>
      <c r="S781" s="252">
        <f t="shared" ref="S781:X781" si="357">SUM(S777:S780)</f>
        <v>58.8</v>
      </c>
      <c r="T781" s="252">
        <f t="shared" si="357"/>
        <v>102.9</v>
      </c>
      <c r="U781" s="252">
        <f t="shared" si="357"/>
        <v>117.6</v>
      </c>
      <c r="V781" s="252">
        <f t="shared" si="357"/>
        <v>117.6</v>
      </c>
      <c r="W781" s="252">
        <f t="shared" si="357"/>
        <v>73.5</v>
      </c>
      <c r="X781" s="252">
        <f t="shared" si="357"/>
        <v>44.1</v>
      </c>
      <c r="Y781" s="252"/>
      <c r="Z781" s="252">
        <f t="shared" si="356"/>
        <v>514.5</v>
      </c>
    </row>
    <row r="782" spans="1:30" ht="15" thickTop="1" thickBot="1">
      <c r="A782" s="274" t="s">
        <v>7</v>
      </c>
      <c r="B782" s="43" t="s">
        <v>8</v>
      </c>
      <c r="C782" s="43"/>
      <c r="D782" s="43"/>
      <c r="E782" s="44" t="s">
        <v>9</v>
      </c>
      <c r="F782" s="45"/>
      <c r="G782" s="45"/>
      <c r="H782" s="44"/>
      <c r="I782" s="44"/>
      <c r="J782" s="44"/>
      <c r="K782" s="44"/>
      <c r="L782" s="44"/>
      <c r="M782" s="44"/>
      <c r="N782" s="44"/>
      <c r="O782" s="44"/>
    </row>
    <row r="783" spans="1:30" ht="15" thickTop="1" thickBot="1">
      <c r="A783" s="278" t="s">
        <v>223</v>
      </c>
      <c r="B783" s="38"/>
      <c r="C783" s="9" t="s">
        <v>12</v>
      </c>
      <c r="D783" s="9"/>
      <c r="E783" s="10"/>
      <c r="F783" s="256" t="s">
        <v>14</v>
      </c>
      <c r="G783" s="257">
        <v>34</v>
      </c>
      <c r="H783" s="257">
        <v>36</v>
      </c>
      <c r="I783" s="257">
        <v>38</v>
      </c>
      <c r="J783" s="257">
        <v>40</v>
      </c>
      <c r="K783" s="257">
        <v>42</v>
      </c>
      <c r="L783" s="257">
        <v>44</v>
      </c>
      <c r="M783" s="257">
        <v>46</v>
      </c>
      <c r="N783" s="257"/>
      <c r="O783" s="258" t="s">
        <v>15</v>
      </c>
      <c r="Q783" s="259" t="s">
        <v>14</v>
      </c>
      <c r="R783" s="259"/>
      <c r="S783" s="259">
        <v>36</v>
      </c>
      <c r="T783" s="259">
        <v>38</v>
      </c>
      <c r="U783" s="259">
        <v>40</v>
      </c>
      <c r="V783" s="259">
        <v>42</v>
      </c>
      <c r="W783" s="259">
        <v>44</v>
      </c>
      <c r="X783" s="259">
        <v>46</v>
      </c>
      <c r="Y783" s="259"/>
      <c r="Z783" s="259" t="s">
        <v>15</v>
      </c>
    </row>
    <row r="784" spans="1:30" ht="15" thickTop="1" thickBot="1">
      <c r="A784" s="280" t="str">
        <f t="shared" ref="A784:A790" si="358">+A783</f>
        <v>4251-60</v>
      </c>
      <c r="B784" s="39" t="s">
        <v>16</v>
      </c>
      <c r="C784" s="39"/>
      <c r="D784" s="39">
        <f>+B783</f>
        <v>0</v>
      </c>
      <c r="E784" s="40"/>
      <c r="F784" s="261" t="s">
        <v>1</v>
      </c>
      <c r="G784" s="261"/>
      <c r="H784" s="262">
        <f>'BASE DATOS'!C90</f>
        <v>15</v>
      </c>
      <c r="I784" s="262">
        <f>'BASE DATOS'!D90</f>
        <v>25</v>
      </c>
      <c r="J784" s="262">
        <f>'BASE DATOS'!E90</f>
        <v>20</v>
      </c>
      <c r="K784" s="262">
        <f>'BASE DATOS'!F90</f>
        <v>24</v>
      </c>
      <c r="L784" s="262">
        <f>'BASE DATOS'!G90</f>
        <v>9</v>
      </c>
      <c r="M784" s="262">
        <f>'BASE DATOS'!H90</f>
        <v>7</v>
      </c>
      <c r="N784" s="262"/>
      <c r="O784" s="263">
        <f t="shared" ref="O784:O790" si="359">SUM(H784:N784)</f>
        <v>100</v>
      </c>
      <c r="Q784" s="264"/>
      <c r="R784" s="264"/>
      <c r="S784" s="264"/>
      <c r="T784" s="264"/>
      <c r="U784" s="264"/>
      <c r="V784" s="264"/>
      <c r="W784" s="264"/>
      <c r="X784" s="264"/>
      <c r="Y784" s="264"/>
      <c r="Z784" s="264">
        <f>SUBTOTAL(9,S784:Y784)</f>
        <v>0</v>
      </c>
    </row>
    <row r="785" spans="1:37" ht="15" thickTop="1" thickBot="1">
      <c r="A785" s="280" t="str">
        <f t="shared" si="358"/>
        <v>4251-60</v>
      </c>
      <c r="B785" s="3"/>
      <c r="C785" s="4" t="s">
        <v>17</v>
      </c>
      <c r="D785" s="4"/>
      <c r="E785" s="5" t="s">
        <v>3</v>
      </c>
      <c r="F785" s="265" t="s">
        <v>224</v>
      </c>
      <c r="G785" s="2"/>
      <c r="H785" s="7">
        <v>15</v>
      </c>
      <c r="I785" s="7">
        <v>25</v>
      </c>
      <c r="J785" s="7">
        <v>20</v>
      </c>
      <c r="K785" s="7">
        <v>24</v>
      </c>
      <c r="L785" s="7">
        <v>9</v>
      </c>
      <c r="M785" s="7">
        <v>7</v>
      </c>
      <c r="N785" s="8"/>
      <c r="O785" s="14">
        <f t="shared" si="359"/>
        <v>100</v>
      </c>
      <c r="Q785" s="252" t="s">
        <v>19</v>
      </c>
      <c r="R785" s="266"/>
      <c r="S785" s="266"/>
      <c r="T785" s="266"/>
      <c r="U785" s="266"/>
      <c r="V785" s="266"/>
      <c r="W785" s="266"/>
      <c r="X785" s="266"/>
      <c r="Y785" s="267"/>
      <c r="Z785" s="268">
        <f t="shared" ref="Z785:Z790" si="360">SUM(S785:Y785)</f>
        <v>0</v>
      </c>
    </row>
    <row r="786" spans="1:37" ht="15" thickTop="1" thickBot="1">
      <c r="A786" s="280" t="str">
        <f t="shared" si="358"/>
        <v>4251-60</v>
      </c>
      <c r="B786" s="3"/>
      <c r="C786" s="3"/>
      <c r="D786" s="3"/>
      <c r="E786" s="5" t="s">
        <v>3</v>
      </c>
      <c r="F786" s="269"/>
      <c r="G786" s="6"/>
      <c r="H786" s="7"/>
      <c r="I786" s="7"/>
      <c r="J786" s="7"/>
      <c r="K786" s="7"/>
      <c r="L786" s="7"/>
      <c r="M786" s="7"/>
      <c r="N786" s="15"/>
      <c r="O786" s="14">
        <f t="shared" si="359"/>
        <v>0</v>
      </c>
      <c r="Q786" s="252" t="s">
        <v>4</v>
      </c>
      <c r="R786" s="266">
        <f>78/19</f>
        <v>4.1052631578947372</v>
      </c>
      <c r="S786" s="266"/>
      <c r="T786" s="266"/>
      <c r="U786" s="266"/>
      <c r="V786" s="266"/>
      <c r="W786" s="266"/>
      <c r="X786" s="266"/>
      <c r="Y786" s="266"/>
      <c r="Z786" s="266">
        <f t="shared" si="360"/>
        <v>0</v>
      </c>
    </row>
    <row r="787" spans="1:37" ht="15" thickTop="1" thickBot="1">
      <c r="A787" s="280" t="str">
        <f t="shared" si="358"/>
        <v>4251-60</v>
      </c>
      <c r="B787" s="3"/>
      <c r="C787" s="3"/>
      <c r="D787" s="3"/>
      <c r="E787" s="5" t="s">
        <v>3</v>
      </c>
      <c r="F787" s="269"/>
      <c r="G787" s="6"/>
      <c r="H787" s="15"/>
      <c r="I787" s="15"/>
      <c r="J787" s="15"/>
      <c r="K787" s="15"/>
      <c r="L787" s="15"/>
      <c r="M787" s="15"/>
      <c r="N787" s="15"/>
      <c r="O787" s="16">
        <f t="shared" si="359"/>
        <v>0</v>
      </c>
      <c r="Q787" s="252" t="s">
        <v>6</v>
      </c>
      <c r="R787" s="266">
        <f>25/11</f>
        <v>2.2727272727272729</v>
      </c>
      <c r="S787" s="266"/>
      <c r="T787" s="266"/>
      <c r="U787" s="266"/>
      <c r="V787" s="266"/>
      <c r="W787" s="266"/>
      <c r="X787" s="266"/>
      <c r="Y787" s="266"/>
      <c r="Z787" s="266">
        <f t="shared" si="360"/>
        <v>0</v>
      </c>
    </row>
    <row r="788" spans="1:37" ht="15" thickTop="1" thickBot="1">
      <c r="A788" s="280" t="str">
        <f t="shared" si="358"/>
        <v>4251-60</v>
      </c>
      <c r="B788" s="3"/>
      <c r="C788" s="3"/>
      <c r="D788" s="3"/>
      <c r="E788" s="5" t="s">
        <v>3</v>
      </c>
      <c r="F788" s="269"/>
      <c r="G788" s="6"/>
      <c r="H788" s="8"/>
      <c r="I788" s="8"/>
      <c r="J788" s="8"/>
      <c r="K788" s="8"/>
      <c r="L788" s="8"/>
      <c r="M788" s="8"/>
      <c r="N788" s="15"/>
      <c r="O788" s="16">
        <f t="shared" si="359"/>
        <v>0</v>
      </c>
      <c r="Q788" s="266"/>
      <c r="R788" s="266"/>
      <c r="S788" s="266"/>
      <c r="T788" s="266"/>
      <c r="U788" s="266"/>
      <c r="V788" s="266"/>
      <c r="W788" s="266"/>
      <c r="X788" s="266"/>
      <c r="Y788" s="266"/>
      <c r="Z788" s="266">
        <f t="shared" si="360"/>
        <v>0</v>
      </c>
    </row>
    <row r="789" spans="1:37" ht="15" thickTop="1" thickBot="1">
      <c r="A789" s="283" t="str">
        <f t="shared" si="358"/>
        <v>4251-60</v>
      </c>
      <c r="B789" s="19"/>
      <c r="C789" s="19"/>
      <c r="D789" s="19"/>
      <c r="E789" s="20" t="s">
        <v>3</v>
      </c>
      <c r="F789" s="271"/>
      <c r="G789" s="21"/>
      <c r="H789" s="22"/>
      <c r="I789" s="22"/>
      <c r="J789" s="22"/>
      <c r="K789" s="22"/>
      <c r="L789" s="22"/>
      <c r="M789" s="22"/>
      <c r="N789" s="22"/>
      <c r="O789" s="23">
        <f t="shared" si="359"/>
        <v>0</v>
      </c>
      <c r="Q789" s="252" t="s">
        <v>2</v>
      </c>
      <c r="R789" s="272">
        <f>500/10.2</f>
        <v>49.019607843137258</v>
      </c>
      <c r="S789" s="252">
        <f>49*1.2</f>
        <v>58.8</v>
      </c>
      <c r="T789" s="252">
        <f>49*2.1</f>
        <v>102.9</v>
      </c>
      <c r="U789" s="252">
        <f>49*2.4</f>
        <v>117.6</v>
      </c>
      <c r="V789" s="252">
        <f>49*2.4</f>
        <v>117.6</v>
      </c>
      <c r="W789" s="252">
        <f>49*1.5</f>
        <v>73.5</v>
      </c>
      <c r="X789" s="252">
        <f>49*0.9</f>
        <v>44.1</v>
      </c>
      <c r="Y789" s="266"/>
      <c r="Z789" s="266">
        <f t="shared" si="360"/>
        <v>514.5</v>
      </c>
    </row>
    <row r="790" spans="1:37" ht="15" thickTop="1" thickBot="1">
      <c r="A790" s="284" t="str">
        <f t="shared" si="358"/>
        <v>4251-60</v>
      </c>
      <c r="B790" s="47"/>
      <c r="C790" s="47"/>
      <c r="D790" s="47"/>
      <c r="E790" s="48" t="s">
        <v>23</v>
      </c>
      <c r="F790" s="49">
        <f>+B783</f>
        <v>0</v>
      </c>
      <c r="G790" s="48"/>
      <c r="H790" s="48">
        <f>+H784-H785-H786-H787-H789+H788</f>
        <v>0</v>
      </c>
      <c r="I790" s="48">
        <f>+I784-I785-I786-I787-I789+I788</f>
        <v>0</v>
      </c>
      <c r="J790" s="48">
        <f>+J784-J785-J786-J787-J789-J788</f>
        <v>0</v>
      </c>
      <c r="K790" s="48">
        <f>+K784-K785-K786-K787-K789-K788</f>
        <v>0</v>
      </c>
      <c r="L790" s="48">
        <f>+L784-L785-L786-L787-L789-L788</f>
        <v>0</v>
      </c>
      <c r="M790" s="48">
        <f>+M784-M785-M786-M787-M789-M788</f>
        <v>0</v>
      </c>
      <c r="N790" s="48"/>
      <c r="O790" s="48">
        <f t="shared" si="359"/>
        <v>0</v>
      </c>
      <c r="Q790" s="266"/>
      <c r="R790" s="266"/>
      <c r="S790" s="252">
        <f t="shared" ref="S790:X790" si="361">SUM(S786:S789)</f>
        <v>58.8</v>
      </c>
      <c r="T790" s="252">
        <f t="shared" si="361"/>
        <v>102.9</v>
      </c>
      <c r="U790" s="252">
        <f t="shared" si="361"/>
        <v>117.6</v>
      </c>
      <c r="V790" s="252">
        <f t="shared" si="361"/>
        <v>117.6</v>
      </c>
      <c r="W790" s="252">
        <f t="shared" si="361"/>
        <v>73.5</v>
      </c>
      <c r="X790" s="252">
        <f t="shared" si="361"/>
        <v>44.1</v>
      </c>
      <c r="Y790" s="252"/>
      <c r="Z790" s="252">
        <f t="shared" si="360"/>
        <v>514.5</v>
      </c>
    </row>
    <row r="791" spans="1:37" ht="15" thickTop="1" thickBot="1">
      <c r="A791" s="274" t="s">
        <v>7</v>
      </c>
      <c r="B791" s="43" t="s">
        <v>8</v>
      </c>
      <c r="C791" s="43"/>
      <c r="D791" s="43"/>
      <c r="E791" s="44" t="s">
        <v>9</v>
      </c>
      <c r="F791" s="45"/>
      <c r="G791" s="45"/>
      <c r="H791" s="44"/>
      <c r="I791" s="44"/>
      <c r="J791" s="44"/>
      <c r="K791" s="44"/>
      <c r="L791" s="44"/>
      <c r="M791" s="44"/>
      <c r="N791" s="44"/>
      <c r="O791" s="44"/>
    </row>
    <row r="792" spans="1:37" ht="15" thickTop="1" thickBot="1">
      <c r="A792" s="278" t="s">
        <v>225</v>
      </c>
      <c r="B792" s="38"/>
      <c r="C792" s="9" t="s">
        <v>12</v>
      </c>
      <c r="D792" s="9"/>
      <c r="E792" s="10"/>
      <c r="F792" s="256" t="s">
        <v>14</v>
      </c>
      <c r="G792" s="257">
        <v>34</v>
      </c>
      <c r="H792" s="257">
        <v>36</v>
      </c>
      <c r="I792" s="257">
        <v>38</v>
      </c>
      <c r="J792" s="257">
        <v>40</v>
      </c>
      <c r="K792" s="257">
        <v>42</v>
      </c>
      <c r="L792" s="257">
        <v>44</v>
      </c>
      <c r="M792" s="257">
        <v>46</v>
      </c>
      <c r="N792" s="257"/>
      <c r="O792" s="258" t="s">
        <v>15</v>
      </c>
      <c r="Q792" s="259" t="s">
        <v>14</v>
      </c>
      <c r="R792" s="259"/>
      <c r="S792" s="259">
        <v>36</v>
      </c>
      <c r="T792" s="259">
        <v>38</v>
      </c>
      <c r="U792" s="259">
        <v>40</v>
      </c>
      <c r="V792" s="259">
        <v>42</v>
      </c>
      <c r="W792" s="259">
        <v>44</v>
      </c>
      <c r="X792" s="259">
        <v>46</v>
      </c>
      <c r="Y792" s="259"/>
      <c r="Z792" s="259" t="s">
        <v>15</v>
      </c>
    </row>
    <row r="793" spans="1:37" ht="15" thickTop="1" thickBot="1">
      <c r="A793" s="280" t="str">
        <f t="shared" ref="A793:A799" si="362">+A792</f>
        <v>4252-00</v>
      </c>
      <c r="B793" s="39" t="s">
        <v>16</v>
      </c>
      <c r="C793" s="39"/>
      <c r="D793" s="39">
        <f>+B792</f>
        <v>0</v>
      </c>
      <c r="E793" s="40"/>
      <c r="F793" s="261" t="s">
        <v>1</v>
      </c>
      <c r="G793" s="261"/>
      <c r="H793" s="262">
        <f>'BASE DATOS'!C91</f>
        <v>3</v>
      </c>
      <c r="I793" s="262">
        <f>'BASE DATOS'!D91</f>
        <v>5</v>
      </c>
      <c r="J793" s="262">
        <f>'BASE DATOS'!E91</f>
        <v>5</v>
      </c>
      <c r="K793" s="262">
        <f>'BASE DATOS'!F91</f>
        <v>6</v>
      </c>
      <c r="L793" s="262">
        <f>'BASE DATOS'!G91</f>
        <v>5</v>
      </c>
      <c r="M793" s="262">
        <f>'BASE DATOS'!H91</f>
        <v>3</v>
      </c>
      <c r="N793" s="262"/>
      <c r="O793" s="263">
        <f t="shared" ref="O793:O799" si="363">SUM(H793:N793)</f>
        <v>27</v>
      </c>
      <c r="Q793" s="264"/>
      <c r="R793" s="264"/>
      <c r="S793" s="264"/>
      <c r="T793" s="264"/>
      <c r="U793" s="264"/>
      <c r="V793" s="264"/>
      <c r="W793" s="264"/>
      <c r="X793" s="264"/>
      <c r="Y793" s="264"/>
      <c r="Z793" s="264">
        <f>SUBTOTAL(9,S793:Y793)</f>
        <v>0</v>
      </c>
    </row>
    <row r="794" spans="1:37" ht="15" thickTop="1" thickBot="1">
      <c r="A794" s="280" t="str">
        <f t="shared" si="362"/>
        <v>4252-00</v>
      </c>
      <c r="B794" s="3"/>
      <c r="C794" s="4" t="s">
        <v>17</v>
      </c>
      <c r="D794" s="4"/>
      <c r="E794" s="5" t="s">
        <v>3</v>
      </c>
      <c r="F794" s="265"/>
      <c r="G794" s="2"/>
      <c r="H794" s="7"/>
      <c r="I794" s="7"/>
      <c r="J794" s="7"/>
      <c r="K794" s="7"/>
      <c r="L794" s="7"/>
      <c r="M794" s="7"/>
      <c r="N794" s="8"/>
      <c r="O794" s="14">
        <f t="shared" si="363"/>
        <v>0</v>
      </c>
      <c r="Q794" s="252" t="s">
        <v>19</v>
      </c>
      <c r="R794" s="266"/>
      <c r="S794" s="266"/>
      <c r="T794" s="266"/>
      <c r="U794" s="266"/>
      <c r="V794" s="266"/>
      <c r="W794" s="266"/>
      <c r="X794" s="266"/>
      <c r="Y794" s="267"/>
      <c r="Z794" s="268">
        <f t="shared" ref="Z794:Z799" si="364">SUM(S794:Y794)</f>
        <v>0</v>
      </c>
    </row>
    <row r="795" spans="1:37" ht="15" thickTop="1" thickBot="1">
      <c r="A795" s="280" t="str">
        <f t="shared" si="362"/>
        <v>4252-00</v>
      </c>
      <c r="B795" s="3"/>
      <c r="C795" s="3"/>
      <c r="D795" s="3"/>
      <c r="E795" s="5" t="s">
        <v>3</v>
      </c>
      <c r="F795" s="269"/>
      <c r="G795" s="6"/>
      <c r="H795" s="7"/>
      <c r="I795" s="7"/>
      <c r="J795" s="7"/>
      <c r="K795" s="7"/>
      <c r="L795" s="7"/>
      <c r="M795" s="7"/>
      <c r="N795" s="15"/>
      <c r="O795" s="14">
        <f t="shared" si="363"/>
        <v>0</v>
      </c>
      <c r="Q795" s="252" t="s">
        <v>4</v>
      </c>
      <c r="R795" s="266">
        <f>78/19</f>
        <v>4.1052631578947372</v>
      </c>
      <c r="S795" s="266"/>
      <c r="T795" s="266"/>
      <c r="U795" s="266"/>
      <c r="V795" s="266"/>
      <c r="W795" s="266"/>
      <c r="X795" s="266"/>
      <c r="Y795" s="266"/>
      <c r="Z795" s="266">
        <f t="shared" si="364"/>
        <v>0</v>
      </c>
    </row>
    <row r="796" spans="1:37" ht="15" thickTop="1" thickBot="1">
      <c r="A796" s="280" t="str">
        <f t="shared" si="362"/>
        <v>4252-00</v>
      </c>
      <c r="B796" s="3"/>
      <c r="C796" s="3"/>
      <c r="D796" s="3"/>
      <c r="E796" s="5" t="s">
        <v>3</v>
      </c>
      <c r="F796" s="269"/>
      <c r="G796" s="6"/>
      <c r="H796" s="15"/>
      <c r="I796" s="15"/>
      <c r="J796" s="15"/>
      <c r="K796" s="15"/>
      <c r="L796" s="15"/>
      <c r="M796" s="15"/>
      <c r="N796" s="15"/>
      <c r="O796" s="16">
        <f t="shared" si="363"/>
        <v>0</v>
      </c>
      <c r="Q796" s="252" t="s">
        <v>6</v>
      </c>
      <c r="R796" s="266">
        <f>25/11</f>
        <v>2.2727272727272729</v>
      </c>
      <c r="S796" s="266"/>
      <c r="T796" s="266"/>
      <c r="U796" s="266"/>
      <c r="V796" s="266"/>
      <c r="W796" s="266"/>
      <c r="X796" s="266"/>
      <c r="Y796" s="266"/>
      <c r="Z796" s="266">
        <f t="shared" si="364"/>
        <v>0</v>
      </c>
    </row>
    <row r="797" spans="1:37" ht="15" thickTop="1" thickBot="1">
      <c r="A797" s="280" t="str">
        <f t="shared" si="362"/>
        <v>4252-00</v>
      </c>
      <c r="B797" s="3"/>
      <c r="C797" s="3"/>
      <c r="D797" s="3"/>
      <c r="E797" s="5" t="s">
        <v>3</v>
      </c>
      <c r="F797" s="269"/>
      <c r="G797" s="6"/>
      <c r="H797" s="8"/>
      <c r="I797" s="8"/>
      <c r="J797" s="8"/>
      <c r="K797" s="8"/>
      <c r="L797" s="8"/>
      <c r="M797" s="8"/>
      <c r="N797" s="15"/>
      <c r="O797" s="16">
        <f t="shared" si="363"/>
        <v>0</v>
      </c>
      <c r="Q797" s="266"/>
      <c r="R797" s="266"/>
      <c r="S797" s="266"/>
      <c r="T797" s="266"/>
      <c r="U797" s="266"/>
      <c r="V797" s="266"/>
      <c r="W797" s="266"/>
      <c r="X797" s="266"/>
      <c r="Y797" s="266"/>
      <c r="Z797" s="266">
        <f t="shared" si="364"/>
        <v>0</v>
      </c>
    </row>
    <row r="798" spans="1:37" ht="15" thickTop="1" thickBot="1">
      <c r="A798" s="283" t="str">
        <f t="shared" si="362"/>
        <v>4252-00</v>
      </c>
      <c r="B798" s="19"/>
      <c r="C798" s="19"/>
      <c r="D798" s="19"/>
      <c r="E798" s="20" t="s">
        <v>3</v>
      </c>
      <c r="F798" s="271"/>
      <c r="G798" s="21"/>
      <c r="H798" s="22"/>
      <c r="I798" s="22"/>
      <c r="J798" s="22"/>
      <c r="K798" s="22"/>
      <c r="L798" s="22"/>
      <c r="M798" s="22"/>
      <c r="N798" s="22"/>
      <c r="O798" s="23">
        <f t="shared" si="363"/>
        <v>0</v>
      </c>
      <c r="Q798" s="252" t="s">
        <v>2</v>
      </c>
      <c r="R798" s="272">
        <f>500/10.2</f>
        <v>49.019607843137258</v>
      </c>
      <c r="S798" s="252">
        <f>49*1.2</f>
        <v>58.8</v>
      </c>
      <c r="T798" s="252">
        <f>49*2.1</f>
        <v>102.9</v>
      </c>
      <c r="U798" s="252">
        <f>49*2.4</f>
        <v>117.6</v>
      </c>
      <c r="V798" s="252">
        <f>49*2.4</f>
        <v>117.6</v>
      </c>
      <c r="W798" s="252">
        <f>49*1.5</f>
        <v>73.5</v>
      </c>
      <c r="X798" s="252">
        <f>49*0.9</f>
        <v>44.1</v>
      </c>
      <c r="Y798" s="266"/>
      <c r="Z798" s="266">
        <f t="shared" si="364"/>
        <v>514.5</v>
      </c>
    </row>
    <row r="799" spans="1:37" ht="15" thickTop="1" thickBot="1">
      <c r="A799" s="284" t="str">
        <f t="shared" si="362"/>
        <v>4252-00</v>
      </c>
      <c r="B799" s="47"/>
      <c r="C799" s="47"/>
      <c r="D799" s="47"/>
      <c r="E799" s="48" t="s">
        <v>23</v>
      </c>
      <c r="F799" s="49">
        <f>+B792</f>
        <v>0</v>
      </c>
      <c r="G799" s="48"/>
      <c r="H799" s="48">
        <f>+H793-H794-H795-H796-H798+H797</f>
        <v>3</v>
      </c>
      <c r="I799" s="48">
        <f>+I793-I794-I795-I796-I798+I797</f>
        <v>5</v>
      </c>
      <c r="J799" s="48">
        <f>+J793-J794-J795-J796-J798-J797</f>
        <v>5</v>
      </c>
      <c r="K799" s="48">
        <f>+K793-K794-K795-K796-K798-K797</f>
        <v>6</v>
      </c>
      <c r="L799" s="48">
        <f>+L793-L794-L795-L796-L798-L797</f>
        <v>5</v>
      </c>
      <c r="M799" s="48">
        <f>+M793-M794-M795-M796-M798-M797</f>
        <v>3</v>
      </c>
      <c r="N799" s="48"/>
      <c r="O799" s="48">
        <f t="shared" si="363"/>
        <v>27</v>
      </c>
      <c r="Q799" s="266"/>
      <c r="R799" s="266"/>
      <c r="S799" s="252">
        <f t="shared" ref="S799:X799" si="365">SUM(S795:S798)</f>
        <v>58.8</v>
      </c>
      <c r="T799" s="252">
        <f t="shared" si="365"/>
        <v>102.9</v>
      </c>
      <c r="U799" s="252">
        <f t="shared" si="365"/>
        <v>117.6</v>
      </c>
      <c r="V799" s="252">
        <f t="shared" si="365"/>
        <v>117.6</v>
      </c>
      <c r="W799" s="252">
        <f t="shared" si="365"/>
        <v>73.5</v>
      </c>
      <c r="X799" s="252">
        <f t="shared" si="365"/>
        <v>44.1</v>
      </c>
      <c r="Y799" s="252"/>
      <c r="Z799" s="252">
        <f t="shared" si="364"/>
        <v>514.5</v>
      </c>
    </row>
    <row r="800" spans="1:37" ht="15" thickTop="1" thickBot="1">
      <c r="A800" s="274" t="s">
        <v>7</v>
      </c>
      <c r="B800" s="43" t="s">
        <v>8</v>
      </c>
      <c r="C800" s="43"/>
      <c r="D800" s="43"/>
      <c r="E800" s="44" t="s">
        <v>9</v>
      </c>
      <c r="F800" s="45"/>
      <c r="G800" s="45"/>
      <c r="H800" s="44"/>
      <c r="I800" s="44"/>
      <c r="J800" s="44"/>
      <c r="K800" s="44"/>
      <c r="L800" s="44"/>
      <c r="M800" s="44"/>
      <c r="N800" s="44"/>
      <c r="O800" s="44"/>
      <c r="AC800" s="275" t="s">
        <v>3</v>
      </c>
      <c r="AD800" s="276">
        <v>46105</v>
      </c>
      <c r="AE800" s="275">
        <v>36</v>
      </c>
      <c r="AF800" s="275">
        <v>38</v>
      </c>
      <c r="AG800" s="275">
        <v>40</v>
      </c>
      <c r="AH800" s="275">
        <v>42</v>
      </c>
      <c r="AI800" s="277">
        <v>44</v>
      </c>
      <c r="AJ800" s="277">
        <v>46</v>
      </c>
      <c r="AK800" s="277" t="s">
        <v>28</v>
      </c>
    </row>
    <row r="801" spans="1:37" ht="15" thickTop="1" thickBot="1">
      <c r="A801" s="278" t="s">
        <v>226</v>
      </c>
      <c r="B801" s="38" t="s">
        <v>85</v>
      </c>
      <c r="C801" s="9" t="s">
        <v>12</v>
      </c>
      <c r="D801" s="9" t="s">
        <v>13</v>
      </c>
      <c r="E801" s="10"/>
      <c r="F801" s="256" t="s">
        <v>14</v>
      </c>
      <c r="G801" s="257">
        <v>34</v>
      </c>
      <c r="H801" s="257">
        <v>36</v>
      </c>
      <c r="I801" s="257">
        <v>38</v>
      </c>
      <c r="J801" s="257">
        <v>40</v>
      </c>
      <c r="K801" s="257">
        <v>42</v>
      </c>
      <c r="L801" s="257">
        <v>44</v>
      </c>
      <c r="M801" s="257">
        <v>46</v>
      </c>
      <c r="N801" s="257"/>
      <c r="O801" s="258" t="s">
        <v>15</v>
      </c>
      <c r="Q801" s="259" t="s">
        <v>14</v>
      </c>
      <c r="R801" s="259"/>
      <c r="S801" s="259">
        <v>36</v>
      </c>
      <c r="T801" s="259">
        <v>38</v>
      </c>
      <c r="U801" s="259">
        <v>40</v>
      </c>
      <c r="V801" s="259">
        <v>42</v>
      </c>
      <c r="W801" s="259">
        <v>44</v>
      </c>
      <c r="X801" s="259">
        <v>46</v>
      </c>
      <c r="Y801" s="259"/>
      <c r="Z801" s="259" t="s">
        <v>15</v>
      </c>
      <c r="AC801" s="279" t="s">
        <v>29</v>
      </c>
      <c r="AD801" s="275">
        <v>11579</v>
      </c>
      <c r="AE801" s="279">
        <v>18</v>
      </c>
      <c r="AF801" s="279">
        <v>30</v>
      </c>
      <c r="AG801" s="279">
        <v>30</v>
      </c>
      <c r="AH801" s="279">
        <v>30</v>
      </c>
      <c r="AI801" s="279">
        <v>20</v>
      </c>
      <c r="AJ801" s="279">
        <v>16</v>
      </c>
      <c r="AK801" s="275">
        <f>SUM(AE801:AJ801)</f>
        <v>144</v>
      </c>
    </row>
    <row r="802" spans="1:37" ht="15" thickTop="1" thickBot="1">
      <c r="A802" s="280" t="str">
        <f t="shared" ref="A802:A808" si="366">+A801</f>
        <v>4256-00</v>
      </c>
      <c r="B802" s="39" t="s">
        <v>16</v>
      </c>
      <c r="C802" s="39"/>
      <c r="D802" s="39" t="str">
        <f>+B801</f>
        <v>Missy Plus</v>
      </c>
      <c r="E802" s="40"/>
      <c r="F802" s="261" t="s">
        <v>1</v>
      </c>
      <c r="G802" s="261"/>
      <c r="H802" s="262">
        <f>'BASE DATOS'!C92</f>
        <v>13</v>
      </c>
      <c r="I802" s="262">
        <f>'BASE DATOS'!D92</f>
        <v>21</v>
      </c>
      <c r="J802" s="262">
        <f>'BASE DATOS'!E92</f>
        <v>23</v>
      </c>
      <c r="K802" s="262">
        <f>'BASE DATOS'!F92</f>
        <v>22</v>
      </c>
      <c r="L802" s="262">
        <f>'BASE DATOS'!G92</f>
        <v>18</v>
      </c>
      <c r="M802" s="262">
        <f>'BASE DATOS'!H92</f>
        <v>13</v>
      </c>
      <c r="N802" s="262"/>
      <c r="O802" s="263">
        <f t="shared" ref="O802:O808" si="367">SUM(H802:N802)</f>
        <v>110</v>
      </c>
      <c r="Q802" s="264"/>
      <c r="R802" s="264"/>
      <c r="S802" s="264"/>
      <c r="T802" s="264"/>
      <c r="U802" s="264"/>
      <c r="V802" s="264"/>
      <c r="W802" s="264"/>
      <c r="X802" s="264"/>
      <c r="Y802" s="264"/>
      <c r="Z802" s="264">
        <f>SUBTOTAL(9,S802:Y802)</f>
        <v>0</v>
      </c>
      <c r="AC802" s="281" t="s">
        <v>30</v>
      </c>
      <c r="AD802" s="282">
        <v>4256</v>
      </c>
    </row>
    <row r="803" spans="1:37" ht="15" thickTop="1" thickBot="1">
      <c r="A803" s="280" t="str">
        <f t="shared" si="366"/>
        <v>4256-00</v>
      </c>
      <c r="B803" s="3">
        <v>46105</v>
      </c>
      <c r="C803" s="4" t="s">
        <v>17</v>
      </c>
      <c r="D803" s="4" t="s">
        <v>152</v>
      </c>
      <c r="E803" s="5" t="s">
        <v>3</v>
      </c>
      <c r="F803" s="265">
        <v>11579</v>
      </c>
      <c r="G803" s="2"/>
      <c r="H803" s="7">
        <v>18</v>
      </c>
      <c r="I803" s="7">
        <v>30</v>
      </c>
      <c r="J803" s="7">
        <v>30</v>
      </c>
      <c r="K803" s="7">
        <v>30</v>
      </c>
      <c r="L803" s="7">
        <v>20</v>
      </c>
      <c r="M803" s="7">
        <v>16</v>
      </c>
      <c r="N803" s="8"/>
      <c r="O803" s="14">
        <f t="shared" si="367"/>
        <v>144</v>
      </c>
      <c r="Q803" s="252" t="s">
        <v>19</v>
      </c>
      <c r="R803" s="266"/>
      <c r="S803" s="266"/>
      <c r="T803" s="266"/>
      <c r="U803" s="266"/>
      <c r="V803" s="266"/>
      <c r="W803" s="266"/>
      <c r="X803" s="266"/>
      <c r="Y803" s="267"/>
      <c r="Z803" s="268">
        <f t="shared" ref="Z803:Z808" si="368">SUM(S803:Y803)</f>
        <v>0</v>
      </c>
      <c r="AC803" s="279" t="s">
        <v>32</v>
      </c>
      <c r="AD803" s="275" t="s">
        <v>85</v>
      </c>
    </row>
    <row r="804" spans="1:37" ht="15" thickTop="1" thickBot="1">
      <c r="A804" s="280" t="str">
        <f t="shared" si="366"/>
        <v>4256-00</v>
      </c>
      <c r="B804" s="3"/>
      <c r="C804" s="3"/>
      <c r="D804" s="3"/>
      <c r="E804" s="5" t="s">
        <v>3</v>
      </c>
      <c r="F804" s="269"/>
      <c r="G804" s="6"/>
      <c r="H804" s="7"/>
      <c r="I804" s="7"/>
      <c r="J804" s="7"/>
      <c r="K804" s="7"/>
      <c r="L804" s="7"/>
      <c r="M804" s="7"/>
      <c r="N804" s="15"/>
      <c r="O804" s="14">
        <f t="shared" si="367"/>
        <v>0</v>
      </c>
      <c r="Q804" s="252" t="s">
        <v>4</v>
      </c>
      <c r="R804" s="266">
        <f>78/19</f>
        <v>4.1052631578947372</v>
      </c>
      <c r="S804" s="266"/>
      <c r="T804" s="266"/>
      <c r="U804" s="266"/>
      <c r="V804" s="266"/>
      <c r="W804" s="266"/>
      <c r="X804" s="266"/>
      <c r="Y804" s="266"/>
      <c r="Z804" s="266">
        <f t="shared" si="368"/>
        <v>0</v>
      </c>
      <c r="AC804" s="279" t="s">
        <v>12</v>
      </c>
      <c r="AD804" s="275" t="s">
        <v>13</v>
      </c>
    </row>
    <row r="805" spans="1:37" ht="15" thickTop="1" thickBot="1">
      <c r="A805" s="280" t="str">
        <f t="shared" si="366"/>
        <v>4256-00</v>
      </c>
      <c r="B805" s="3"/>
      <c r="C805" s="3"/>
      <c r="D805" s="3"/>
      <c r="E805" s="5" t="s">
        <v>3</v>
      </c>
      <c r="F805" s="269"/>
      <c r="G805" s="6"/>
      <c r="H805" s="15"/>
      <c r="I805" s="15"/>
      <c r="J805" s="15"/>
      <c r="K805" s="15"/>
      <c r="L805" s="15"/>
      <c r="M805" s="15"/>
      <c r="N805" s="15"/>
      <c r="O805" s="16">
        <f t="shared" si="367"/>
        <v>0</v>
      </c>
      <c r="Q805" s="252" t="s">
        <v>6</v>
      </c>
      <c r="R805" s="266">
        <f>25/11</f>
        <v>2.2727272727272729</v>
      </c>
      <c r="S805" s="266"/>
      <c r="T805" s="266"/>
      <c r="U805" s="266"/>
      <c r="V805" s="266"/>
      <c r="W805" s="266"/>
      <c r="X805" s="266"/>
      <c r="Y805" s="266"/>
      <c r="Z805" s="266">
        <f t="shared" si="368"/>
        <v>0</v>
      </c>
      <c r="AC805" s="279" t="s">
        <v>17</v>
      </c>
      <c r="AD805" s="275" t="s">
        <v>152</v>
      </c>
    </row>
    <row r="806" spans="1:37" ht="15" thickTop="1" thickBot="1">
      <c r="A806" s="280" t="str">
        <f t="shared" si="366"/>
        <v>4256-00</v>
      </c>
      <c r="B806" s="3"/>
      <c r="C806" s="3"/>
      <c r="D806" s="3"/>
      <c r="E806" s="5" t="s">
        <v>3</v>
      </c>
      <c r="F806" s="269"/>
      <c r="G806" s="6"/>
      <c r="H806" s="8"/>
      <c r="I806" s="8"/>
      <c r="J806" s="8"/>
      <c r="K806" s="8"/>
      <c r="L806" s="8"/>
      <c r="M806" s="8"/>
      <c r="N806" s="15"/>
      <c r="O806" s="16">
        <f t="shared" si="367"/>
        <v>0</v>
      </c>
      <c r="Q806" s="266"/>
      <c r="R806" s="266"/>
      <c r="S806" s="266"/>
      <c r="T806" s="266"/>
      <c r="U806" s="266"/>
      <c r="V806" s="266"/>
      <c r="W806" s="266"/>
      <c r="X806" s="266"/>
      <c r="Y806" s="266"/>
      <c r="Z806" s="266">
        <f t="shared" si="368"/>
        <v>0</v>
      </c>
    </row>
    <row r="807" spans="1:37" ht="15" thickTop="1" thickBot="1">
      <c r="A807" s="283" t="str">
        <f t="shared" si="366"/>
        <v>4256-00</v>
      </c>
      <c r="B807" s="19"/>
      <c r="C807" s="19"/>
      <c r="D807" s="19"/>
      <c r="E807" s="20" t="s">
        <v>3</v>
      </c>
      <c r="F807" s="271"/>
      <c r="G807" s="21"/>
      <c r="H807" s="22"/>
      <c r="I807" s="22"/>
      <c r="J807" s="22"/>
      <c r="K807" s="22"/>
      <c r="L807" s="22"/>
      <c r="M807" s="22"/>
      <c r="N807" s="22"/>
      <c r="O807" s="23">
        <f t="shared" si="367"/>
        <v>0</v>
      </c>
      <c r="Q807" s="252" t="s">
        <v>2</v>
      </c>
      <c r="R807" s="272">
        <f>500/10.2</f>
        <v>49.019607843137258</v>
      </c>
      <c r="S807" s="252">
        <f>49*1.2</f>
        <v>58.8</v>
      </c>
      <c r="T807" s="252">
        <f>49*2.1</f>
        <v>102.9</v>
      </c>
      <c r="U807" s="252">
        <f>49*2.4</f>
        <v>117.6</v>
      </c>
      <c r="V807" s="252">
        <f>49*2.4</f>
        <v>117.6</v>
      </c>
      <c r="W807" s="252">
        <f>49*1.5</f>
        <v>73.5</v>
      </c>
      <c r="X807" s="252">
        <f>49*0.9</f>
        <v>44.1</v>
      </c>
      <c r="Y807" s="266"/>
      <c r="Z807" s="266">
        <f t="shared" si="368"/>
        <v>514.5</v>
      </c>
    </row>
    <row r="808" spans="1:37" ht="15" thickTop="1" thickBot="1">
      <c r="A808" s="284" t="str">
        <f t="shared" si="366"/>
        <v>4256-00</v>
      </c>
      <c r="B808" s="47"/>
      <c r="C808" s="47"/>
      <c r="D808" s="47"/>
      <c r="E808" s="48" t="s">
        <v>23</v>
      </c>
      <c r="F808" s="49" t="str">
        <f>+B801</f>
        <v>Missy Plus</v>
      </c>
      <c r="G808" s="48"/>
      <c r="H808" s="48">
        <f>+H802-H803-H804-H805-H807+H806</f>
        <v>-5</v>
      </c>
      <c r="I808" s="48">
        <f>+I802-I803-I804-I805-I807+I806</f>
        <v>-9</v>
      </c>
      <c r="J808" s="48">
        <f>+J802-J803-J804-J805-J807-J806</f>
        <v>-7</v>
      </c>
      <c r="K808" s="48">
        <f>+K802-K803-K804-K805-K807-K806</f>
        <v>-8</v>
      </c>
      <c r="L808" s="48">
        <f>+L802-L803-L804-L805-L807-L806</f>
        <v>-2</v>
      </c>
      <c r="M808" s="48">
        <f>+M802-M803-M804-M805-M807-M806</f>
        <v>-3</v>
      </c>
      <c r="N808" s="48"/>
      <c r="O808" s="48">
        <f t="shared" si="367"/>
        <v>-34</v>
      </c>
      <c r="Q808" s="266"/>
      <c r="R808" s="266"/>
      <c r="S808" s="252">
        <f t="shared" ref="S808:X808" si="369">SUM(S804:S807)</f>
        <v>58.8</v>
      </c>
      <c r="T808" s="252">
        <f t="shared" si="369"/>
        <v>102.9</v>
      </c>
      <c r="U808" s="252">
        <f t="shared" si="369"/>
        <v>117.6</v>
      </c>
      <c r="V808" s="252">
        <f t="shared" si="369"/>
        <v>117.6</v>
      </c>
      <c r="W808" s="252">
        <f t="shared" si="369"/>
        <v>73.5</v>
      </c>
      <c r="X808" s="252">
        <f t="shared" si="369"/>
        <v>44.1</v>
      </c>
      <c r="Y808" s="252"/>
      <c r="Z808" s="252">
        <f t="shared" si="368"/>
        <v>514.5</v>
      </c>
    </row>
    <row r="809" spans="1:37" ht="15" thickTop="1" thickBot="1">
      <c r="A809" s="391" t="s">
        <v>7</v>
      </c>
      <c r="B809" s="43" t="s">
        <v>8</v>
      </c>
      <c r="C809" s="43"/>
      <c r="D809" s="43"/>
      <c r="E809" s="44" t="s">
        <v>9</v>
      </c>
      <c r="F809" s="45"/>
      <c r="G809" s="45"/>
      <c r="H809" s="44"/>
      <c r="I809" s="44"/>
      <c r="J809" s="44"/>
      <c r="K809" s="44"/>
      <c r="L809" s="44"/>
      <c r="M809" s="44"/>
      <c r="N809" s="44"/>
      <c r="O809" s="44"/>
      <c r="AI809" s="250"/>
      <c r="AJ809" s="250"/>
    </row>
    <row r="810" spans="1:37" ht="15" thickTop="1" thickBot="1">
      <c r="A810" s="392" t="s">
        <v>227</v>
      </c>
      <c r="B810" s="38" t="s">
        <v>161</v>
      </c>
      <c r="C810" s="9" t="s">
        <v>12</v>
      </c>
      <c r="D810" s="9" t="s">
        <v>13</v>
      </c>
      <c r="E810" s="10"/>
      <c r="F810" s="256" t="s">
        <v>14</v>
      </c>
      <c r="G810" s="257">
        <v>34</v>
      </c>
      <c r="H810" s="257">
        <v>36</v>
      </c>
      <c r="I810" s="257">
        <v>38</v>
      </c>
      <c r="J810" s="257">
        <v>40</v>
      </c>
      <c r="K810" s="257">
        <v>42</v>
      </c>
      <c r="L810" s="257">
        <v>44</v>
      </c>
      <c r="M810" s="257">
        <v>46</v>
      </c>
      <c r="N810" s="257"/>
      <c r="O810" s="258" t="s">
        <v>15</v>
      </c>
      <c r="Q810" s="259" t="s">
        <v>14</v>
      </c>
      <c r="R810" s="259"/>
      <c r="S810" s="259">
        <v>36</v>
      </c>
      <c r="T810" s="259">
        <v>38</v>
      </c>
      <c r="U810" s="259">
        <v>40</v>
      </c>
      <c r="V810" s="259">
        <v>42</v>
      </c>
      <c r="W810" s="259">
        <v>44</v>
      </c>
      <c r="X810" s="259">
        <v>46</v>
      </c>
      <c r="Y810" s="259"/>
      <c r="Z810" s="259" t="s">
        <v>15</v>
      </c>
    </row>
    <row r="811" spans="1:37" ht="15" thickTop="1" thickBot="1">
      <c r="A811" s="393" t="str">
        <f t="shared" ref="A811:A817" si="370">+A810</f>
        <v>4257-04</v>
      </c>
      <c r="B811" s="39" t="s">
        <v>16</v>
      </c>
      <c r="C811" s="39"/>
      <c r="D811" s="39" t="str">
        <f>+B810</f>
        <v>Lavinia</v>
      </c>
      <c r="E811" s="40"/>
      <c r="F811" s="261" t="s">
        <v>1</v>
      </c>
      <c r="G811" s="261"/>
      <c r="H811" s="262">
        <f>'BASE DATOS'!C93</f>
        <v>4</v>
      </c>
      <c r="I811" s="262">
        <f>'BASE DATOS'!D93</f>
        <v>8</v>
      </c>
      <c r="J811" s="262">
        <f>'BASE DATOS'!E93</f>
        <v>11</v>
      </c>
      <c r="K811" s="262">
        <f>'BASE DATOS'!F93</f>
        <v>10</v>
      </c>
      <c r="L811" s="262">
        <f>'BASE DATOS'!G93</f>
        <v>7</v>
      </c>
      <c r="M811" s="262">
        <f>'BASE DATOS'!H93</f>
        <v>5</v>
      </c>
      <c r="N811" s="262"/>
      <c r="O811" s="263">
        <f t="shared" ref="O811:O817" si="371">SUM(H811:N811)</f>
        <v>45</v>
      </c>
      <c r="Q811" s="264"/>
      <c r="R811" s="264"/>
      <c r="S811" s="264"/>
      <c r="T811" s="264"/>
      <c r="U811" s="264"/>
      <c r="V811" s="264"/>
      <c r="W811" s="264"/>
      <c r="X811" s="264"/>
      <c r="Y811" s="264"/>
      <c r="Z811" s="264">
        <f>SUBTOTAL(9,S811:Y811)</f>
        <v>0</v>
      </c>
    </row>
    <row r="812" spans="1:37" ht="15" thickTop="1" thickBot="1">
      <c r="A812" s="393" t="str">
        <f t="shared" si="370"/>
        <v>4257-04</v>
      </c>
      <c r="B812" s="3"/>
      <c r="C812" s="4" t="s">
        <v>17</v>
      </c>
      <c r="D812" s="4" t="s">
        <v>213</v>
      </c>
      <c r="E812" s="5" t="s">
        <v>3</v>
      </c>
      <c r="F812" s="265"/>
      <c r="G812" s="2"/>
      <c r="H812" s="7"/>
      <c r="I812" s="7"/>
      <c r="J812" s="7"/>
      <c r="K812" s="7"/>
      <c r="L812" s="7"/>
      <c r="M812" s="7"/>
      <c r="N812" s="8"/>
      <c r="O812" s="14">
        <f t="shared" si="371"/>
        <v>0</v>
      </c>
      <c r="Q812" s="252" t="s">
        <v>19</v>
      </c>
      <c r="R812" s="266"/>
      <c r="S812" s="266"/>
      <c r="T812" s="266"/>
      <c r="U812" s="266"/>
      <c r="V812" s="266"/>
      <c r="W812" s="266"/>
      <c r="X812" s="266"/>
      <c r="Y812" s="267"/>
      <c r="Z812" s="268">
        <f t="shared" ref="Z812:Z817" si="372">SUM(S812:Y812)</f>
        <v>0</v>
      </c>
    </row>
    <row r="813" spans="1:37" ht="15" thickTop="1" thickBot="1">
      <c r="A813" s="393" t="str">
        <f t="shared" si="370"/>
        <v>4257-04</v>
      </c>
      <c r="B813" s="3"/>
      <c r="C813" s="3"/>
      <c r="D813" s="3"/>
      <c r="E813" s="5" t="s">
        <v>3</v>
      </c>
      <c r="F813" s="269"/>
      <c r="G813" s="6"/>
      <c r="H813" s="7"/>
      <c r="I813" s="7"/>
      <c r="J813" s="7"/>
      <c r="K813" s="7"/>
      <c r="L813" s="7"/>
      <c r="M813" s="7"/>
      <c r="N813" s="15"/>
      <c r="O813" s="14">
        <f t="shared" si="371"/>
        <v>0</v>
      </c>
      <c r="Q813" s="252" t="s">
        <v>4</v>
      </c>
      <c r="R813" s="266">
        <f>78/19</f>
        <v>4.1052631578947372</v>
      </c>
      <c r="S813" s="266"/>
      <c r="T813" s="266"/>
      <c r="U813" s="266"/>
      <c r="V813" s="266"/>
      <c r="W813" s="266"/>
      <c r="X813" s="266"/>
      <c r="Y813" s="266"/>
      <c r="Z813" s="266">
        <f t="shared" si="372"/>
        <v>0</v>
      </c>
    </row>
    <row r="814" spans="1:37" ht="15" thickTop="1" thickBot="1">
      <c r="A814" s="393" t="str">
        <f t="shared" si="370"/>
        <v>4257-04</v>
      </c>
      <c r="B814" s="3"/>
      <c r="C814" s="3"/>
      <c r="D814" s="3"/>
      <c r="E814" s="5" t="s">
        <v>3</v>
      </c>
      <c r="F814" s="269"/>
      <c r="G814" s="6"/>
      <c r="H814" s="15"/>
      <c r="I814" s="15"/>
      <c r="J814" s="15"/>
      <c r="K814" s="15"/>
      <c r="L814" s="15"/>
      <c r="M814" s="15"/>
      <c r="N814" s="15"/>
      <c r="O814" s="16">
        <f t="shared" si="371"/>
        <v>0</v>
      </c>
      <c r="Q814" s="252" t="s">
        <v>6</v>
      </c>
      <c r="R814" s="266">
        <f>25/11</f>
        <v>2.2727272727272729</v>
      </c>
      <c r="S814" s="266"/>
      <c r="T814" s="266"/>
      <c r="U814" s="266"/>
      <c r="V814" s="266"/>
      <c r="W814" s="266"/>
      <c r="X814" s="266"/>
      <c r="Y814" s="266"/>
      <c r="Z814" s="266">
        <f t="shared" si="372"/>
        <v>0</v>
      </c>
    </row>
    <row r="815" spans="1:37" ht="15" thickTop="1" thickBot="1">
      <c r="A815" s="393" t="str">
        <f t="shared" si="370"/>
        <v>4257-04</v>
      </c>
      <c r="B815" s="3"/>
      <c r="C815" s="3"/>
      <c r="D815" s="3"/>
      <c r="E815" s="5" t="s">
        <v>3</v>
      </c>
      <c r="F815" s="269"/>
      <c r="G815" s="6"/>
      <c r="H815" s="8"/>
      <c r="I815" s="8"/>
      <c r="J815" s="8"/>
      <c r="K815" s="8"/>
      <c r="L815" s="8"/>
      <c r="M815" s="8"/>
      <c r="N815" s="15"/>
      <c r="O815" s="16">
        <f t="shared" si="371"/>
        <v>0</v>
      </c>
      <c r="Q815" s="266"/>
      <c r="R815" s="266"/>
      <c r="S815" s="266"/>
      <c r="T815" s="266"/>
      <c r="U815" s="266"/>
      <c r="V815" s="266"/>
      <c r="W815" s="266"/>
      <c r="X815" s="266"/>
      <c r="Y815" s="266"/>
      <c r="Z815" s="266">
        <f t="shared" si="372"/>
        <v>0</v>
      </c>
    </row>
    <row r="816" spans="1:37" ht="15" thickTop="1" thickBot="1">
      <c r="A816" s="394" t="str">
        <f t="shared" si="370"/>
        <v>4257-04</v>
      </c>
      <c r="B816" s="19"/>
      <c r="C816" s="19"/>
      <c r="D816" s="19"/>
      <c r="E816" s="20" t="s">
        <v>3</v>
      </c>
      <c r="F816" s="271"/>
      <c r="G816" s="21"/>
      <c r="H816" s="22"/>
      <c r="I816" s="22"/>
      <c r="J816" s="22"/>
      <c r="K816" s="22"/>
      <c r="L816" s="22"/>
      <c r="M816" s="22"/>
      <c r="N816" s="22"/>
      <c r="O816" s="23">
        <f t="shared" si="371"/>
        <v>0</v>
      </c>
      <c r="Q816" s="252" t="s">
        <v>2</v>
      </c>
      <c r="R816" s="272">
        <f>500/10.2</f>
        <v>49.019607843137258</v>
      </c>
      <c r="S816" s="252">
        <f>49*1.2</f>
        <v>58.8</v>
      </c>
      <c r="T816" s="252">
        <f>49*2.1</f>
        <v>102.9</v>
      </c>
      <c r="U816" s="252">
        <f>49*2.4</f>
        <v>117.6</v>
      </c>
      <c r="V816" s="252">
        <f>49*2.4</f>
        <v>117.6</v>
      </c>
      <c r="W816" s="252">
        <f>49*1.5</f>
        <v>73.5</v>
      </c>
      <c r="X816" s="252">
        <f>49*0.9</f>
        <v>44.1</v>
      </c>
      <c r="Y816" s="266"/>
      <c r="Z816" s="266">
        <f t="shared" si="372"/>
        <v>514.5</v>
      </c>
    </row>
    <row r="817" spans="1:26" ht="15" thickTop="1" thickBot="1">
      <c r="A817" s="395" t="str">
        <f t="shared" si="370"/>
        <v>4257-04</v>
      </c>
      <c r="B817" s="47"/>
      <c r="C817" s="47"/>
      <c r="D817" s="47"/>
      <c r="E817" s="48" t="s">
        <v>23</v>
      </c>
      <c r="F817" s="49" t="str">
        <f>+B810</f>
        <v>Lavinia</v>
      </c>
      <c r="G817" s="48"/>
      <c r="H817" s="48">
        <f>+H811-H812-H813-H814-H816+H815</f>
        <v>4</v>
      </c>
      <c r="I817" s="48">
        <f>+I811-I812-I813-I814-I816+I815</f>
        <v>8</v>
      </c>
      <c r="J817" s="48">
        <f>+J811-J812-J813-J814-J816-J815</f>
        <v>11</v>
      </c>
      <c r="K817" s="48">
        <f>+K811-K812-K813-K814-K816-K815</f>
        <v>10</v>
      </c>
      <c r="L817" s="48">
        <f>+L811-L812-L813-L814-L816-L815</f>
        <v>7</v>
      </c>
      <c r="M817" s="48">
        <f>+M811-M812-M813-M814-M816-M815</f>
        <v>5</v>
      </c>
      <c r="N817" s="48"/>
      <c r="O817" s="48">
        <f t="shared" si="371"/>
        <v>45</v>
      </c>
      <c r="Q817" s="266"/>
      <c r="R817" s="266"/>
      <c r="S817" s="252">
        <f t="shared" ref="S817:X817" si="373">SUM(S813:S816)</f>
        <v>58.8</v>
      </c>
      <c r="T817" s="252">
        <f t="shared" si="373"/>
        <v>102.9</v>
      </c>
      <c r="U817" s="252">
        <f t="shared" si="373"/>
        <v>117.6</v>
      </c>
      <c r="V817" s="252">
        <f t="shared" si="373"/>
        <v>117.6</v>
      </c>
      <c r="W817" s="252">
        <f t="shared" si="373"/>
        <v>73.5</v>
      </c>
      <c r="X817" s="252">
        <f t="shared" si="373"/>
        <v>44.1</v>
      </c>
      <c r="Y817" s="252"/>
      <c r="Z817" s="252">
        <f t="shared" si="372"/>
        <v>514.5</v>
      </c>
    </row>
    <row r="818" spans="1:26" ht="15" thickTop="1" thickBot="1">
      <c r="A818" s="391" t="s">
        <v>7</v>
      </c>
      <c r="B818" s="43" t="s">
        <v>8</v>
      </c>
      <c r="C818" s="43"/>
      <c r="D818" s="43"/>
      <c r="E818" s="44" t="s">
        <v>9</v>
      </c>
      <c r="F818" s="45"/>
      <c r="G818" s="45"/>
      <c r="H818" s="44"/>
      <c r="I818" s="44"/>
      <c r="J818" s="44"/>
      <c r="K818" s="44"/>
      <c r="L818" s="44"/>
      <c r="M818" s="44"/>
      <c r="N818" s="44"/>
      <c r="O818" s="44"/>
    </row>
    <row r="819" spans="1:26" ht="15" thickTop="1" thickBot="1">
      <c r="A819" s="392" t="s">
        <v>228</v>
      </c>
      <c r="B819" s="38" t="s">
        <v>161</v>
      </c>
      <c r="C819" s="9" t="s">
        <v>12</v>
      </c>
      <c r="D819" s="9" t="s">
        <v>13</v>
      </c>
      <c r="E819" s="10"/>
      <c r="F819" s="256" t="s">
        <v>14</v>
      </c>
      <c r="G819" s="257">
        <v>34</v>
      </c>
      <c r="H819" s="257">
        <v>36</v>
      </c>
      <c r="I819" s="257">
        <v>38</v>
      </c>
      <c r="J819" s="257">
        <v>40</v>
      </c>
      <c r="K819" s="257">
        <v>42</v>
      </c>
      <c r="L819" s="257">
        <v>44</v>
      </c>
      <c r="M819" s="257">
        <v>46</v>
      </c>
      <c r="N819" s="257"/>
      <c r="O819" s="258" t="s">
        <v>15</v>
      </c>
      <c r="Q819" s="259" t="s">
        <v>14</v>
      </c>
      <c r="R819" s="259"/>
      <c r="S819" s="259">
        <v>36</v>
      </c>
      <c r="T819" s="259">
        <v>38</v>
      </c>
      <c r="U819" s="259">
        <v>40</v>
      </c>
      <c r="V819" s="259">
        <v>42</v>
      </c>
      <c r="W819" s="259">
        <v>44</v>
      </c>
      <c r="X819" s="259">
        <v>46</v>
      </c>
      <c r="Y819" s="259"/>
      <c r="Z819" s="259" t="s">
        <v>15</v>
      </c>
    </row>
    <row r="820" spans="1:26" ht="15" thickTop="1" thickBot="1">
      <c r="A820" s="393" t="str">
        <f t="shared" ref="A820:A826" si="374">+A819</f>
        <v>4257-08</v>
      </c>
      <c r="B820" s="39" t="s">
        <v>16</v>
      </c>
      <c r="C820" s="39"/>
      <c r="D820" s="39" t="str">
        <f>+B819</f>
        <v>Lavinia</v>
      </c>
      <c r="E820" s="40"/>
      <c r="F820" s="261" t="s">
        <v>1</v>
      </c>
      <c r="G820" s="261"/>
      <c r="H820" s="262">
        <f>'BASE DATOS'!C94</f>
        <v>6</v>
      </c>
      <c r="I820" s="262">
        <f>'BASE DATOS'!D94</f>
        <v>8</v>
      </c>
      <c r="J820" s="262">
        <f>'BASE DATOS'!E94</f>
        <v>4</v>
      </c>
      <c r="K820" s="262">
        <f>'BASE DATOS'!F94</f>
        <v>4</v>
      </c>
      <c r="L820" s="262">
        <f>'BASE DATOS'!G94</f>
        <v>2</v>
      </c>
      <c r="M820" s="262">
        <f>'BASE DATOS'!H94</f>
        <v>0</v>
      </c>
      <c r="N820" s="262"/>
      <c r="O820" s="263">
        <f t="shared" ref="O820:O826" si="375">SUM(H820:N820)</f>
        <v>24</v>
      </c>
      <c r="Q820" s="264"/>
      <c r="R820" s="264"/>
      <c r="S820" s="264"/>
      <c r="T820" s="264"/>
      <c r="U820" s="264"/>
      <c r="V820" s="264"/>
      <c r="W820" s="264"/>
      <c r="X820" s="264"/>
      <c r="Y820" s="264"/>
      <c r="Z820" s="264">
        <f>SUBTOTAL(9,S820:Y820)</f>
        <v>0</v>
      </c>
    </row>
    <row r="821" spans="1:26" ht="15" thickTop="1" thickBot="1">
      <c r="A821" s="393" t="str">
        <f t="shared" si="374"/>
        <v>4257-08</v>
      </c>
      <c r="B821" s="3"/>
      <c r="C821" s="4" t="s">
        <v>17</v>
      </c>
      <c r="D821" s="4" t="s">
        <v>213</v>
      </c>
      <c r="E821" s="5" t="s">
        <v>3</v>
      </c>
      <c r="F821" s="265"/>
      <c r="G821" s="2"/>
      <c r="H821" s="7"/>
      <c r="I821" s="7"/>
      <c r="J821" s="7"/>
      <c r="K821" s="7"/>
      <c r="L821" s="7"/>
      <c r="M821" s="7"/>
      <c r="N821" s="8"/>
      <c r="O821" s="14">
        <f t="shared" si="375"/>
        <v>0</v>
      </c>
      <c r="Q821" s="252" t="s">
        <v>19</v>
      </c>
      <c r="R821" s="266"/>
      <c r="S821" s="266"/>
      <c r="T821" s="266"/>
      <c r="U821" s="266"/>
      <c r="V821" s="266"/>
      <c r="W821" s="266"/>
      <c r="X821" s="266"/>
      <c r="Y821" s="267"/>
      <c r="Z821" s="268">
        <f t="shared" ref="Z821:Z826" si="376">SUM(S821:Y821)</f>
        <v>0</v>
      </c>
    </row>
    <row r="822" spans="1:26" ht="15" thickTop="1" thickBot="1">
      <c r="A822" s="393" t="str">
        <f t="shared" si="374"/>
        <v>4257-08</v>
      </c>
      <c r="B822" s="3"/>
      <c r="C822" s="3"/>
      <c r="D822" s="3"/>
      <c r="E822" s="5" t="s">
        <v>3</v>
      </c>
      <c r="F822" s="269"/>
      <c r="G822" s="6"/>
      <c r="H822" s="7"/>
      <c r="I822" s="7"/>
      <c r="J822" s="7"/>
      <c r="K822" s="7"/>
      <c r="L822" s="7"/>
      <c r="M822" s="7"/>
      <c r="N822" s="15"/>
      <c r="O822" s="14">
        <f t="shared" si="375"/>
        <v>0</v>
      </c>
      <c r="Q822" s="252" t="s">
        <v>4</v>
      </c>
      <c r="R822" s="266">
        <f>78/19</f>
        <v>4.1052631578947372</v>
      </c>
      <c r="S822" s="266"/>
      <c r="T822" s="266"/>
      <c r="U822" s="266"/>
      <c r="V822" s="266"/>
      <c r="W822" s="266"/>
      <c r="X822" s="266"/>
      <c r="Y822" s="266"/>
      <c r="Z822" s="266">
        <f t="shared" si="376"/>
        <v>0</v>
      </c>
    </row>
    <row r="823" spans="1:26" ht="15" thickTop="1" thickBot="1">
      <c r="A823" s="393" t="str">
        <f t="shared" si="374"/>
        <v>4257-08</v>
      </c>
      <c r="B823" s="3"/>
      <c r="C823" s="3"/>
      <c r="D823" s="3"/>
      <c r="E823" s="5" t="s">
        <v>3</v>
      </c>
      <c r="F823" s="269"/>
      <c r="G823" s="6"/>
      <c r="H823" s="15"/>
      <c r="I823" s="15"/>
      <c r="J823" s="15"/>
      <c r="K823" s="15"/>
      <c r="L823" s="15"/>
      <c r="M823" s="15"/>
      <c r="N823" s="15"/>
      <c r="O823" s="16">
        <f t="shared" si="375"/>
        <v>0</v>
      </c>
      <c r="Q823" s="252" t="s">
        <v>6</v>
      </c>
      <c r="R823" s="266">
        <f>25/11</f>
        <v>2.2727272727272729</v>
      </c>
      <c r="S823" s="266"/>
      <c r="T823" s="266"/>
      <c r="U823" s="266"/>
      <c r="V823" s="266"/>
      <c r="W823" s="266"/>
      <c r="X823" s="266"/>
      <c r="Y823" s="266"/>
      <c r="Z823" s="266">
        <f t="shared" si="376"/>
        <v>0</v>
      </c>
    </row>
    <row r="824" spans="1:26" ht="15" thickTop="1" thickBot="1">
      <c r="A824" s="393" t="str">
        <f t="shared" si="374"/>
        <v>4257-08</v>
      </c>
      <c r="B824" s="3"/>
      <c r="C824" s="3"/>
      <c r="D824" s="3"/>
      <c r="E824" s="5" t="s">
        <v>3</v>
      </c>
      <c r="F824" s="269"/>
      <c r="G824" s="6"/>
      <c r="H824" s="8"/>
      <c r="I824" s="8"/>
      <c r="J824" s="8"/>
      <c r="K824" s="8"/>
      <c r="L824" s="8"/>
      <c r="M824" s="8"/>
      <c r="N824" s="15"/>
      <c r="O824" s="16">
        <f t="shared" si="375"/>
        <v>0</v>
      </c>
      <c r="Q824" s="266"/>
      <c r="R824" s="266"/>
      <c r="S824" s="266"/>
      <c r="T824" s="266"/>
      <c r="U824" s="266"/>
      <c r="V824" s="266"/>
      <c r="W824" s="266"/>
      <c r="X824" s="266"/>
      <c r="Y824" s="266"/>
      <c r="Z824" s="266">
        <f t="shared" si="376"/>
        <v>0</v>
      </c>
    </row>
    <row r="825" spans="1:26" ht="15" thickTop="1" thickBot="1">
      <c r="A825" s="394" t="str">
        <f t="shared" si="374"/>
        <v>4257-08</v>
      </c>
      <c r="B825" s="19"/>
      <c r="C825" s="19"/>
      <c r="D825" s="19"/>
      <c r="E825" s="20" t="s">
        <v>3</v>
      </c>
      <c r="F825" s="271"/>
      <c r="G825" s="21"/>
      <c r="H825" s="22"/>
      <c r="I825" s="22"/>
      <c r="J825" s="22"/>
      <c r="K825" s="22"/>
      <c r="L825" s="22"/>
      <c r="M825" s="22"/>
      <c r="N825" s="22"/>
      <c r="O825" s="23">
        <f t="shared" si="375"/>
        <v>0</v>
      </c>
      <c r="Q825" s="252" t="s">
        <v>2</v>
      </c>
      <c r="R825" s="272">
        <f>500/10.2</f>
        <v>49.019607843137258</v>
      </c>
      <c r="S825" s="252">
        <f>49*1.2</f>
        <v>58.8</v>
      </c>
      <c r="T825" s="252">
        <f>49*2.1</f>
        <v>102.9</v>
      </c>
      <c r="U825" s="252">
        <f>49*2.4</f>
        <v>117.6</v>
      </c>
      <c r="V825" s="252">
        <f>49*2.4</f>
        <v>117.6</v>
      </c>
      <c r="W825" s="252">
        <f>49*1.5</f>
        <v>73.5</v>
      </c>
      <c r="X825" s="252">
        <f>49*0.9</f>
        <v>44.1</v>
      </c>
      <c r="Y825" s="266"/>
      <c r="Z825" s="266">
        <f t="shared" si="376"/>
        <v>514.5</v>
      </c>
    </row>
    <row r="826" spans="1:26" ht="15" thickTop="1" thickBot="1">
      <c r="A826" s="395" t="str">
        <f t="shared" si="374"/>
        <v>4257-08</v>
      </c>
      <c r="B826" s="47"/>
      <c r="C826" s="47"/>
      <c r="D826" s="47"/>
      <c r="E826" s="48" t="s">
        <v>23</v>
      </c>
      <c r="F826" s="49" t="str">
        <f>+B819</f>
        <v>Lavinia</v>
      </c>
      <c r="G826" s="48"/>
      <c r="H826" s="48">
        <f>+H820-H821-H822-H823-H825+H824</f>
        <v>6</v>
      </c>
      <c r="I826" s="48">
        <f>+I820-I821-I822-I823-I825+I824</f>
        <v>8</v>
      </c>
      <c r="J826" s="48">
        <f>+J820-J821-J822-J823-J825-J824</f>
        <v>4</v>
      </c>
      <c r="K826" s="48">
        <f>+K820-K821-K822-K823-K825-K824</f>
        <v>4</v>
      </c>
      <c r="L826" s="48">
        <f>+L820-L821-L822-L823-L825-L824</f>
        <v>2</v>
      </c>
      <c r="M826" s="48">
        <f>+M820-M821-M822-M823-M825-M824</f>
        <v>0</v>
      </c>
      <c r="N826" s="48"/>
      <c r="O826" s="48">
        <f t="shared" si="375"/>
        <v>24</v>
      </c>
      <c r="Q826" s="266"/>
      <c r="R826" s="266"/>
      <c r="S826" s="252">
        <f t="shared" ref="S826:X826" si="377">SUM(S822:S825)</f>
        <v>58.8</v>
      </c>
      <c r="T826" s="252">
        <f t="shared" si="377"/>
        <v>102.9</v>
      </c>
      <c r="U826" s="252">
        <f t="shared" si="377"/>
        <v>117.6</v>
      </c>
      <c r="V826" s="252">
        <f t="shared" si="377"/>
        <v>117.6</v>
      </c>
      <c r="W826" s="252">
        <f t="shared" si="377"/>
        <v>73.5</v>
      </c>
      <c r="X826" s="252">
        <f t="shared" si="377"/>
        <v>44.1</v>
      </c>
      <c r="Y826" s="252"/>
      <c r="Z826" s="252">
        <f t="shared" si="376"/>
        <v>514.5</v>
      </c>
    </row>
    <row r="827" spans="1:26" ht="15" thickTop="1" thickBot="1">
      <c r="A827" s="391" t="s">
        <v>7</v>
      </c>
      <c r="B827" s="43" t="s">
        <v>8</v>
      </c>
      <c r="C827" s="43"/>
      <c r="D827" s="43"/>
      <c r="E827" s="44" t="s">
        <v>9</v>
      </c>
      <c r="F827" s="45"/>
      <c r="G827" s="45"/>
      <c r="H827" s="44"/>
      <c r="I827" s="44"/>
      <c r="J827" s="44"/>
      <c r="K827" s="44"/>
      <c r="L827" s="44"/>
      <c r="M827" s="44"/>
      <c r="N827" s="44"/>
      <c r="O827" s="44"/>
    </row>
    <row r="828" spans="1:26" ht="15" thickTop="1" thickBot="1">
      <c r="A828" s="392" t="s">
        <v>229</v>
      </c>
      <c r="B828" s="38" t="s">
        <v>161</v>
      </c>
      <c r="C828" s="9" t="s">
        <v>12</v>
      </c>
      <c r="D828" s="9" t="s">
        <v>13</v>
      </c>
      <c r="E828" s="10"/>
      <c r="F828" s="256" t="s">
        <v>14</v>
      </c>
      <c r="G828" s="257">
        <v>34</v>
      </c>
      <c r="H828" s="257">
        <v>36</v>
      </c>
      <c r="I828" s="257">
        <v>38</v>
      </c>
      <c r="J828" s="257">
        <v>40</v>
      </c>
      <c r="K828" s="257">
        <v>42</v>
      </c>
      <c r="L828" s="257">
        <v>44</v>
      </c>
      <c r="M828" s="257">
        <v>46</v>
      </c>
      <c r="N828" s="257"/>
      <c r="O828" s="258" t="s">
        <v>15</v>
      </c>
      <c r="Q828" s="259" t="s">
        <v>14</v>
      </c>
      <c r="R828" s="259"/>
      <c r="S828" s="259">
        <v>36</v>
      </c>
      <c r="T828" s="259">
        <v>38</v>
      </c>
      <c r="U828" s="259">
        <v>40</v>
      </c>
      <c r="V828" s="259">
        <v>42</v>
      </c>
      <c r="W828" s="259">
        <v>44</v>
      </c>
      <c r="X828" s="259">
        <v>46</v>
      </c>
      <c r="Y828" s="259"/>
      <c r="Z828" s="259" t="s">
        <v>15</v>
      </c>
    </row>
    <row r="829" spans="1:26" ht="15" thickTop="1" thickBot="1">
      <c r="A829" s="393" t="str">
        <f t="shared" ref="A829:A835" si="378">+A828</f>
        <v>4257-09</v>
      </c>
      <c r="B829" s="39" t="s">
        <v>16</v>
      </c>
      <c r="C829" s="39"/>
      <c r="D829" s="39" t="str">
        <f>+B828</f>
        <v>Lavinia</v>
      </c>
      <c r="E829" s="40"/>
      <c r="F829" s="261" t="s">
        <v>1</v>
      </c>
      <c r="G829" s="261"/>
      <c r="H829" s="262">
        <f>'BASE DATOS'!C95</f>
        <v>8</v>
      </c>
      <c r="I829" s="262">
        <f>'BASE DATOS'!D95</f>
        <v>10</v>
      </c>
      <c r="J829" s="262">
        <f>'BASE DATOS'!E95</f>
        <v>6</v>
      </c>
      <c r="K829" s="262">
        <f>'BASE DATOS'!F95</f>
        <v>6</v>
      </c>
      <c r="L829" s="262">
        <f>'BASE DATOS'!G95</f>
        <v>3</v>
      </c>
      <c r="M829" s="262">
        <f>'BASE DATOS'!H95</f>
        <v>0</v>
      </c>
      <c r="N829" s="262"/>
      <c r="O829" s="263">
        <f t="shared" ref="O829:O835" si="379">SUM(H829:N829)</f>
        <v>33</v>
      </c>
      <c r="Q829" s="264"/>
      <c r="R829" s="264"/>
      <c r="S829" s="264"/>
      <c r="T829" s="264"/>
      <c r="U829" s="264"/>
      <c r="V829" s="264"/>
      <c r="W829" s="264"/>
      <c r="X829" s="264"/>
      <c r="Y829" s="264"/>
      <c r="Z829" s="264">
        <f>SUBTOTAL(9,S829:Y829)</f>
        <v>0</v>
      </c>
    </row>
    <row r="830" spans="1:26" ht="15" thickTop="1" thickBot="1">
      <c r="A830" s="393" t="str">
        <f t="shared" si="378"/>
        <v>4257-09</v>
      </c>
      <c r="B830" s="3"/>
      <c r="C830" s="4" t="s">
        <v>17</v>
      </c>
      <c r="D830" s="4" t="s">
        <v>213</v>
      </c>
      <c r="E830" s="5" t="s">
        <v>3</v>
      </c>
      <c r="F830" s="265"/>
      <c r="G830" s="2"/>
      <c r="H830" s="7"/>
      <c r="I830" s="7"/>
      <c r="J830" s="7"/>
      <c r="K830" s="7"/>
      <c r="L830" s="7"/>
      <c r="M830" s="7"/>
      <c r="N830" s="8"/>
      <c r="O830" s="14">
        <f t="shared" si="379"/>
        <v>0</v>
      </c>
      <c r="Q830" s="252" t="s">
        <v>19</v>
      </c>
      <c r="R830" s="266"/>
      <c r="S830" s="266"/>
      <c r="T830" s="266"/>
      <c r="U830" s="266"/>
      <c r="V830" s="266"/>
      <c r="W830" s="266"/>
      <c r="X830" s="266"/>
      <c r="Y830" s="267"/>
      <c r="Z830" s="268">
        <f t="shared" ref="Z830:Z835" si="380">SUM(S830:Y830)</f>
        <v>0</v>
      </c>
    </row>
    <row r="831" spans="1:26" ht="15" thickTop="1" thickBot="1">
      <c r="A831" s="393" t="str">
        <f t="shared" si="378"/>
        <v>4257-09</v>
      </c>
      <c r="B831" s="3"/>
      <c r="C831" s="3"/>
      <c r="D831" s="3"/>
      <c r="E831" s="5" t="s">
        <v>3</v>
      </c>
      <c r="F831" s="269"/>
      <c r="G831" s="6"/>
      <c r="H831" s="7"/>
      <c r="I831" s="7"/>
      <c r="J831" s="7"/>
      <c r="K831" s="7"/>
      <c r="L831" s="7"/>
      <c r="M831" s="7"/>
      <c r="N831" s="15"/>
      <c r="O831" s="14">
        <f t="shared" si="379"/>
        <v>0</v>
      </c>
      <c r="Q831" s="252" t="s">
        <v>4</v>
      </c>
      <c r="R831" s="266">
        <f>78/19</f>
        <v>4.1052631578947372</v>
      </c>
      <c r="S831" s="266"/>
      <c r="T831" s="266"/>
      <c r="U831" s="266"/>
      <c r="V831" s="266"/>
      <c r="W831" s="266"/>
      <c r="X831" s="266"/>
      <c r="Y831" s="266"/>
      <c r="Z831" s="266">
        <f t="shared" si="380"/>
        <v>0</v>
      </c>
    </row>
    <row r="832" spans="1:26" ht="15" thickTop="1" thickBot="1">
      <c r="A832" s="393" t="str">
        <f t="shared" si="378"/>
        <v>4257-09</v>
      </c>
      <c r="B832" s="3"/>
      <c r="C832" s="3"/>
      <c r="D832" s="3"/>
      <c r="E832" s="5" t="s">
        <v>3</v>
      </c>
      <c r="F832" s="269"/>
      <c r="G832" s="6"/>
      <c r="H832" s="15"/>
      <c r="I832" s="15"/>
      <c r="J832" s="15"/>
      <c r="K832" s="15"/>
      <c r="L832" s="15"/>
      <c r="M832" s="15"/>
      <c r="N832" s="15"/>
      <c r="O832" s="16">
        <f t="shared" si="379"/>
        <v>0</v>
      </c>
      <c r="Q832" s="252" t="s">
        <v>6</v>
      </c>
      <c r="R832" s="266">
        <f>25/11</f>
        <v>2.2727272727272729</v>
      </c>
      <c r="S832" s="266"/>
      <c r="T832" s="266"/>
      <c r="U832" s="266"/>
      <c r="V832" s="266"/>
      <c r="W832" s="266"/>
      <c r="X832" s="266"/>
      <c r="Y832" s="266"/>
      <c r="Z832" s="266">
        <f t="shared" si="380"/>
        <v>0</v>
      </c>
    </row>
    <row r="833" spans="1:26" ht="15" thickTop="1" thickBot="1">
      <c r="A833" s="393" t="str">
        <f t="shared" si="378"/>
        <v>4257-09</v>
      </c>
      <c r="B833" s="3"/>
      <c r="C833" s="3"/>
      <c r="D833" s="3"/>
      <c r="E833" s="5" t="s">
        <v>3</v>
      </c>
      <c r="F833" s="269"/>
      <c r="G833" s="6"/>
      <c r="H833" s="8"/>
      <c r="I833" s="8"/>
      <c r="J833" s="8"/>
      <c r="K833" s="8"/>
      <c r="L833" s="8"/>
      <c r="M833" s="8"/>
      <c r="N833" s="15"/>
      <c r="O833" s="16">
        <f t="shared" si="379"/>
        <v>0</v>
      </c>
      <c r="Q833" s="266"/>
      <c r="R833" s="266"/>
      <c r="S833" s="266"/>
      <c r="T833" s="266"/>
      <c r="U833" s="266"/>
      <c r="V833" s="266"/>
      <c r="W833" s="266"/>
      <c r="X833" s="266"/>
      <c r="Y833" s="266"/>
      <c r="Z833" s="266">
        <f t="shared" si="380"/>
        <v>0</v>
      </c>
    </row>
    <row r="834" spans="1:26" ht="15" thickTop="1" thickBot="1">
      <c r="A834" s="394" t="str">
        <f t="shared" si="378"/>
        <v>4257-09</v>
      </c>
      <c r="B834" s="19"/>
      <c r="C834" s="19"/>
      <c r="D834" s="19"/>
      <c r="E834" s="20" t="s">
        <v>3</v>
      </c>
      <c r="F834" s="271"/>
      <c r="G834" s="21"/>
      <c r="H834" s="22"/>
      <c r="I834" s="22"/>
      <c r="J834" s="22"/>
      <c r="K834" s="22"/>
      <c r="L834" s="22"/>
      <c r="M834" s="22"/>
      <c r="N834" s="22"/>
      <c r="O834" s="23">
        <f t="shared" si="379"/>
        <v>0</v>
      </c>
      <c r="Q834" s="252" t="s">
        <v>2</v>
      </c>
      <c r="R834" s="272">
        <f>500/10.2</f>
        <v>49.019607843137258</v>
      </c>
      <c r="S834" s="252">
        <f>49*1.2</f>
        <v>58.8</v>
      </c>
      <c r="T834" s="252">
        <f>49*2.1</f>
        <v>102.9</v>
      </c>
      <c r="U834" s="252">
        <f>49*2.4</f>
        <v>117.6</v>
      </c>
      <c r="V834" s="252">
        <f>49*2.4</f>
        <v>117.6</v>
      </c>
      <c r="W834" s="252">
        <f>49*1.5</f>
        <v>73.5</v>
      </c>
      <c r="X834" s="252">
        <f>49*0.9</f>
        <v>44.1</v>
      </c>
      <c r="Y834" s="266"/>
      <c r="Z834" s="266">
        <f t="shared" si="380"/>
        <v>514.5</v>
      </c>
    </row>
    <row r="835" spans="1:26" ht="15" thickTop="1" thickBot="1">
      <c r="A835" s="395" t="str">
        <f t="shared" si="378"/>
        <v>4257-09</v>
      </c>
      <c r="B835" s="47"/>
      <c r="C835" s="47"/>
      <c r="D835" s="47"/>
      <c r="E835" s="48" t="s">
        <v>23</v>
      </c>
      <c r="F835" s="49" t="str">
        <f>+B828</f>
        <v>Lavinia</v>
      </c>
      <c r="G835" s="48"/>
      <c r="H835" s="48">
        <f>+H829-H830-H831-H832-H834+H833</f>
        <v>8</v>
      </c>
      <c r="I835" s="48">
        <f>+I829-I830-I831-I832-I834+I833</f>
        <v>10</v>
      </c>
      <c r="J835" s="48">
        <f>+J829-J830-J831-J832-J834-J833</f>
        <v>6</v>
      </c>
      <c r="K835" s="48">
        <f>+K829-K830-K831-K832-K834-K833</f>
        <v>6</v>
      </c>
      <c r="L835" s="48">
        <f>+L829-L830-L831-L832-L834-L833</f>
        <v>3</v>
      </c>
      <c r="M835" s="48">
        <f>+M829-M830-M831-M832-M834-M833</f>
        <v>0</v>
      </c>
      <c r="N835" s="48"/>
      <c r="O835" s="48">
        <f t="shared" si="379"/>
        <v>33</v>
      </c>
      <c r="Q835" s="266"/>
      <c r="R835" s="266"/>
      <c r="S835" s="252">
        <f t="shared" ref="S835:X835" si="381">SUM(S831:S834)</f>
        <v>58.8</v>
      </c>
      <c r="T835" s="252">
        <f t="shared" si="381"/>
        <v>102.9</v>
      </c>
      <c r="U835" s="252">
        <f t="shared" si="381"/>
        <v>117.6</v>
      </c>
      <c r="V835" s="252">
        <f t="shared" si="381"/>
        <v>117.6</v>
      </c>
      <c r="W835" s="252">
        <f t="shared" si="381"/>
        <v>73.5</v>
      </c>
      <c r="X835" s="252">
        <f t="shared" si="381"/>
        <v>44.1</v>
      </c>
      <c r="Y835" s="252"/>
      <c r="Z835" s="252">
        <f t="shared" si="380"/>
        <v>514.5</v>
      </c>
    </row>
    <row r="836" spans="1:26" ht="15" thickTop="1" thickBot="1">
      <c r="A836" s="391" t="s">
        <v>7</v>
      </c>
      <c r="B836" s="43" t="s">
        <v>8</v>
      </c>
      <c r="C836" s="43"/>
      <c r="D836" s="43"/>
      <c r="E836" s="44" t="s">
        <v>9</v>
      </c>
      <c r="F836" s="45"/>
      <c r="G836" s="45"/>
      <c r="H836" s="44"/>
      <c r="I836" s="44"/>
      <c r="J836" s="44"/>
      <c r="K836" s="44"/>
      <c r="L836" s="44"/>
      <c r="M836" s="44"/>
      <c r="N836" s="44"/>
      <c r="O836" s="44"/>
    </row>
    <row r="837" spans="1:26" ht="15" thickTop="1" thickBot="1">
      <c r="A837" s="392" t="s">
        <v>230</v>
      </c>
      <c r="B837" s="38" t="s">
        <v>161</v>
      </c>
      <c r="C837" s="9" t="s">
        <v>12</v>
      </c>
      <c r="D837" s="9" t="s">
        <v>13</v>
      </c>
      <c r="E837" s="10"/>
      <c r="F837" s="256" t="s">
        <v>14</v>
      </c>
      <c r="G837" s="257">
        <v>34</v>
      </c>
      <c r="H837" s="257">
        <v>36</v>
      </c>
      <c r="I837" s="257">
        <v>38</v>
      </c>
      <c r="J837" s="257">
        <v>40</v>
      </c>
      <c r="K837" s="257">
        <v>42</v>
      </c>
      <c r="L837" s="257">
        <v>44</v>
      </c>
      <c r="M837" s="257">
        <v>46</v>
      </c>
      <c r="N837" s="257"/>
      <c r="O837" s="258" t="s">
        <v>15</v>
      </c>
      <c r="Q837" s="259" t="s">
        <v>14</v>
      </c>
      <c r="R837" s="259"/>
      <c r="S837" s="259">
        <v>36</v>
      </c>
      <c r="T837" s="259">
        <v>38</v>
      </c>
      <c r="U837" s="259">
        <v>40</v>
      </c>
      <c r="V837" s="259">
        <v>42</v>
      </c>
      <c r="W837" s="259">
        <v>44</v>
      </c>
      <c r="X837" s="259">
        <v>46</v>
      </c>
      <c r="Y837" s="259"/>
      <c r="Z837" s="259" t="s">
        <v>15</v>
      </c>
    </row>
    <row r="838" spans="1:26" ht="15" thickTop="1" thickBot="1">
      <c r="A838" s="393" t="str">
        <f t="shared" ref="A838:A844" si="382">+A837</f>
        <v>4257-16</v>
      </c>
      <c r="B838" s="39" t="s">
        <v>16</v>
      </c>
      <c r="C838" s="39"/>
      <c r="D838" s="39" t="str">
        <f>+B837</f>
        <v>Lavinia</v>
      </c>
      <c r="E838" s="40"/>
      <c r="F838" s="261" t="s">
        <v>1</v>
      </c>
      <c r="G838" s="261"/>
      <c r="H838" s="262">
        <f>'BASE DATOS'!C96</f>
        <v>6</v>
      </c>
      <c r="I838" s="262">
        <f>'BASE DATOS'!D96</f>
        <v>9</v>
      </c>
      <c r="J838" s="262">
        <f>'BASE DATOS'!E96</f>
        <v>7</v>
      </c>
      <c r="K838" s="262">
        <f>'BASE DATOS'!F96</f>
        <v>7</v>
      </c>
      <c r="L838" s="262">
        <f>'BASE DATOS'!G96</f>
        <v>4</v>
      </c>
      <c r="M838" s="262">
        <f>'BASE DATOS'!H96</f>
        <v>2</v>
      </c>
      <c r="N838" s="262"/>
      <c r="O838" s="263">
        <f t="shared" ref="O838:O844" si="383">SUM(H838:N838)</f>
        <v>35</v>
      </c>
      <c r="Q838" s="264"/>
      <c r="R838" s="264"/>
      <c r="S838" s="264"/>
      <c r="T838" s="264"/>
      <c r="U838" s="264"/>
      <c r="V838" s="264"/>
      <c r="W838" s="264"/>
      <c r="X838" s="264"/>
      <c r="Y838" s="264"/>
      <c r="Z838" s="264">
        <f>SUBTOTAL(9,S838:Y838)</f>
        <v>0</v>
      </c>
    </row>
    <row r="839" spans="1:26" ht="15" thickTop="1" thickBot="1">
      <c r="A839" s="393" t="str">
        <f t="shared" si="382"/>
        <v>4257-16</v>
      </c>
      <c r="B839" s="3"/>
      <c r="C839" s="4" t="s">
        <v>17</v>
      </c>
      <c r="D839" s="4" t="s">
        <v>213</v>
      </c>
      <c r="E839" s="5" t="s">
        <v>3</v>
      </c>
      <c r="F839" s="265"/>
      <c r="G839" s="2"/>
      <c r="H839" s="7"/>
      <c r="I839" s="7"/>
      <c r="J839" s="7"/>
      <c r="K839" s="7"/>
      <c r="L839" s="7"/>
      <c r="M839" s="7"/>
      <c r="N839" s="8"/>
      <c r="O839" s="14">
        <f t="shared" si="383"/>
        <v>0</v>
      </c>
      <c r="Q839" s="252" t="s">
        <v>19</v>
      </c>
      <c r="R839" s="266"/>
      <c r="S839" s="266"/>
      <c r="T839" s="266"/>
      <c r="U839" s="266"/>
      <c r="V839" s="266"/>
      <c r="W839" s="266"/>
      <c r="X839" s="266"/>
      <c r="Y839" s="267"/>
      <c r="Z839" s="268">
        <f t="shared" ref="Z839:Z844" si="384">SUM(S839:Y839)</f>
        <v>0</v>
      </c>
    </row>
    <row r="840" spans="1:26" ht="15" thickTop="1" thickBot="1">
      <c r="A840" s="393" t="str">
        <f t="shared" si="382"/>
        <v>4257-16</v>
      </c>
      <c r="B840" s="3"/>
      <c r="C840" s="3"/>
      <c r="D840" s="3"/>
      <c r="E840" s="5" t="s">
        <v>3</v>
      </c>
      <c r="F840" s="269"/>
      <c r="G840" s="6"/>
      <c r="H840" s="7"/>
      <c r="I840" s="7"/>
      <c r="J840" s="7"/>
      <c r="K840" s="7"/>
      <c r="L840" s="7"/>
      <c r="M840" s="7"/>
      <c r="N840" s="15"/>
      <c r="O840" s="14">
        <f t="shared" si="383"/>
        <v>0</v>
      </c>
      <c r="Q840" s="252" t="s">
        <v>4</v>
      </c>
      <c r="R840" s="266">
        <f>78/19</f>
        <v>4.1052631578947372</v>
      </c>
      <c r="S840" s="266"/>
      <c r="T840" s="266"/>
      <c r="U840" s="266"/>
      <c r="V840" s="266"/>
      <c r="W840" s="266"/>
      <c r="X840" s="266"/>
      <c r="Y840" s="266"/>
      <c r="Z840" s="266">
        <f t="shared" si="384"/>
        <v>0</v>
      </c>
    </row>
    <row r="841" spans="1:26" ht="15" thickTop="1" thickBot="1">
      <c r="A841" s="393" t="str">
        <f t="shared" si="382"/>
        <v>4257-16</v>
      </c>
      <c r="B841" s="3"/>
      <c r="C841" s="3"/>
      <c r="D841" s="3"/>
      <c r="E841" s="5" t="s">
        <v>3</v>
      </c>
      <c r="F841" s="269"/>
      <c r="G841" s="6"/>
      <c r="H841" s="15"/>
      <c r="I841" s="15"/>
      <c r="J841" s="15"/>
      <c r="K841" s="15"/>
      <c r="L841" s="15"/>
      <c r="M841" s="15"/>
      <c r="N841" s="15"/>
      <c r="O841" s="16">
        <f t="shared" si="383"/>
        <v>0</v>
      </c>
      <c r="Q841" s="252" t="s">
        <v>6</v>
      </c>
      <c r="R841" s="266">
        <f>25/11</f>
        <v>2.2727272727272729</v>
      </c>
      <c r="S841" s="266"/>
      <c r="T841" s="266"/>
      <c r="U841" s="266"/>
      <c r="V841" s="266"/>
      <c r="W841" s="266"/>
      <c r="X841" s="266"/>
      <c r="Y841" s="266"/>
      <c r="Z841" s="266">
        <f t="shared" si="384"/>
        <v>0</v>
      </c>
    </row>
    <row r="842" spans="1:26" ht="15" thickTop="1" thickBot="1">
      <c r="A842" s="393" t="str">
        <f t="shared" si="382"/>
        <v>4257-16</v>
      </c>
      <c r="B842" s="3"/>
      <c r="C842" s="3"/>
      <c r="D842" s="3"/>
      <c r="E842" s="5" t="s">
        <v>3</v>
      </c>
      <c r="F842" s="269"/>
      <c r="G842" s="6"/>
      <c r="H842" s="8"/>
      <c r="I842" s="8"/>
      <c r="J842" s="8"/>
      <c r="K842" s="8"/>
      <c r="L842" s="8"/>
      <c r="M842" s="8"/>
      <c r="N842" s="15"/>
      <c r="O842" s="16">
        <f t="shared" si="383"/>
        <v>0</v>
      </c>
      <c r="Q842" s="266"/>
      <c r="R842" s="266"/>
      <c r="S842" s="266"/>
      <c r="T842" s="266"/>
      <c r="U842" s="266"/>
      <c r="V842" s="266"/>
      <c r="W842" s="266"/>
      <c r="X842" s="266"/>
      <c r="Y842" s="266"/>
      <c r="Z842" s="266">
        <f t="shared" si="384"/>
        <v>0</v>
      </c>
    </row>
    <row r="843" spans="1:26" ht="15" thickTop="1" thickBot="1">
      <c r="A843" s="394" t="str">
        <f t="shared" si="382"/>
        <v>4257-16</v>
      </c>
      <c r="B843" s="19"/>
      <c r="C843" s="19"/>
      <c r="D843" s="19"/>
      <c r="E843" s="20" t="s">
        <v>3</v>
      </c>
      <c r="F843" s="271"/>
      <c r="G843" s="21"/>
      <c r="H843" s="22"/>
      <c r="I843" s="22"/>
      <c r="J843" s="22"/>
      <c r="K843" s="22"/>
      <c r="L843" s="22"/>
      <c r="M843" s="22"/>
      <c r="N843" s="22"/>
      <c r="O843" s="23">
        <f t="shared" si="383"/>
        <v>0</v>
      </c>
      <c r="Q843" s="252" t="s">
        <v>2</v>
      </c>
      <c r="R843" s="272">
        <f>500/10.2</f>
        <v>49.019607843137258</v>
      </c>
      <c r="S843" s="252">
        <f>49*1.2</f>
        <v>58.8</v>
      </c>
      <c r="T843" s="252">
        <f>49*2.1</f>
        <v>102.9</v>
      </c>
      <c r="U843" s="252">
        <f>49*2.4</f>
        <v>117.6</v>
      </c>
      <c r="V843" s="252">
        <f>49*2.4</f>
        <v>117.6</v>
      </c>
      <c r="W843" s="252">
        <f>49*1.5</f>
        <v>73.5</v>
      </c>
      <c r="X843" s="252">
        <f>49*0.9</f>
        <v>44.1</v>
      </c>
      <c r="Y843" s="266"/>
      <c r="Z843" s="266">
        <f t="shared" si="384"/>
        <v>514.5</v>
      </c>
    </row>
    <row r="844" spans="1:26" ht="15" thickTop="1" thickBot="1">
      <c r="A844" s="395" t="str">
        <f t="shared" si="382"/>
        <v>4257-16</v>
      </c>
      <c r="B844" s="47"/>
      <c r="C844" s="47"/>
      <c r="D844" s="47"/>
      <c r="E844" s="48" t="s">
        <v>23</v>
      </c>
      <c r="F844" s="49" t="str">
        <f>+B837</f>
        <v>Lavinia</v>
      </c>
      <c r="G844" s="48"/>
      <c r="H844" s="48">
        <f>+H838-H839-H840-H841-H843+H842</f>
        <v>6</v>
      </c>
      <c r="I844" s="48">
        <f>+I838-I839-I840-I841-I843+I842</f>
        <v>9</v>
      </c>
      <c r="J844" s="48">
        <f>+J838-J839-J840-J841-J843-J842</f>
        <v>7</v>
      </c>
      <c r="K844" s="48">
        <f>+K838-K839-K840-K841-K843-K842</f>
        <v>7</v>
      </c>
      <c r="L844" s="48">
        <f>+L838-L839-L840-L841-L843-L842</f>
        <v>4</v>
      </c>
      <c r="M844" s="48">
        <f>+M838-M839-M840-M841-M843-M842</f>
        <v>2</v>
      </c>
      <c r="N844" s="48"/>
      <c r="O844" s="48">
        <f t="shared" si="383"/>
        <v>35</v>
      </c>
      <c r="Q844" s="266"/>
      <c r="R844" s="266"/>
      <c r="S844" s="252">
        <f t="shared" ref="S844:X844" si="385">SUM(S840:S843)</f>
        <v>58.8</v>
      </c>
      <c r="T844" s="252">
        <f t="shared" si="385"/>
        <v>102.9</v>
      </c>
      <c r="U844" s="252">
        <f t="shared" si="385"/>
        <v>117.6</v>
      </c>
      <c r="V844" s="252">
        <f t="shared" si="385"/>
        <v>117.6</v>
      </c>
      <c r="W844" s="252">
        <f t="shared" si="385"/>
        <v>73.5</v>
      </c>
      <c r="X844" s="252">
        <f t="shared" si="385"/>
        <v>44.1</v>
      </c>
      <c r="Y844" s="252"/>
      <c r="Z844" s="252">
        <f t="shared" si="384"/>
        <v>514.5</v>
      </c>
    </row>
    <row r="845" spans="1:26" ht="15" thickTop="1" thickBot="1">
      <c r="A845" s="391" t="s">
        <v>7</v>
      </c>
      <c r="B845" s="43" t="s">
        <v>8</v>
      </c>
      <c r="C845" s="43"/>
      <c r="D845" s="43"/>
      <c r="E845" s="44" t="s">
        <v>9</v>
      </c>
      <c r="F845" s="45"/>
      <c r="G845" s="45"/>
      <c r="H845" s="44"/>
      <c r="I845" s="44"/>
      <c r="J845" s="44"/>
      <c r="K845" s="44"/>
      <c r="L845" s="44"/>
      <c r="M845" s="44"/>
      <c r="N845" s="44"/>
      <c r="O845" s="44"/>
    </row>
    <row r="846" spans="1:26" ht="15" thickTop="1" thickBot="1">
      <c r="A846" s="392" t="s">
        <v>231</v>
      </c>
      <c r="B846" s="38" t="s">
        <v>161</v>
      </c>
      <c r="C846" s="9" t="s">
        <v>12</v>
      </c>
      <c r="D846" s="9" t="s">
        <v>13</v>
      </c>
      <c r="E846" s="10"/>
      <c r="F846" s="256" t="s">
        <v>14</v>
      </c>
      <c r="G846" s="257">
        <v>34</v>
      </c>
      <c r="H846" s="257">
        <v>36</v>
      </c>
      <c r="I846" s="257">
        <v>38</v>
      </c>
      <c r="J846" s="257">
        <v>40</v>
      </c>
      <c r="K846" s="257">
        <v>42</v>
      </c>
      <c r="L846" s="257">
        <v>44</v>
      </c>
      <c r="M846" s="257">
        <v>46</v>
      </c>
      <c r="N846" s="257"/>
      <c r="O846" s="258" t="s">
        <v>15</v>
      </c>
      <c r="Q846" s="259" t="s">
        <v>14</v>
      </c>
      <c r="R846" s="259"/>
      <c r="S846" s="259">
        <v>36</v>
      </c>
      <c r="T846" s="259">
        <v>38</v>
      </c>
      <c r="U846" s="259">
        <v>40</v>
      </c>
      <c r="V846" s="259">
        <v>42</v>
      </c>
      <c r="W846" s="259">
        <v>44</v>
      </c>
      <c r="X846" s="259">
        <v>46</v>
      </c>
      <c r="Y846" s="259"/>
      <c r="Z846" s="259" t="s">
        <v>15</v>
      </c>
    </row>
    <row r="847" spans="1:26" ht="15" thickTop="1" thickBot="1">
      <c r="A847" s="393" t="str">
        <f t="shared" ref="A847:A853" si="386">+A846</f>
        <v>4257-48</v>
      </c>
      <c r="B847" s="39" t="s">
        <v>16</v>
      </c>
      <c r="C847" s="39"/>
      <c r="D847" s="39" t="str">
        <f>+B846</f>
        <v>Lavinia</v>
      </c>
      <c r="E847" s="40"/>
      <c r="F847" s="261" t="s">
        <v>1</v>
      </c>
      <c r="G847" s="261"/>
      <c r="H847" s="262">
        <f>'BASE DATOS'!C97</f>
        <v>11</v>
      </c>
      <c r="I847" s="262">
        <f>'BASE DATOS'!D97</f>
        <v>16</v>
      </c>
      <c r="J847" s="262">
        <f>'BASE DATOS'!E97</f>
        <v>13</v>
      </c>
      <c r="K847" s="262">
        <f>'BASE DATOS'!F97</f>
        <v>13</v>
      </c>
      <c r="L847" s="262">
        <f>'BASE DATOS'!G97</f>
        <v>8</v>
      </c>
      <c r="M847" s="262">
        <f>'BASE DATOS'!H97</f>
        <v>4</v>
      </c>
      <c r="N847" s="262"/>
      <c r="O847" s="263">
        <f t="shared" ref="O847:O853" si="387">SUM(H847:N847)</f>
        <v>65</v>
      </c>
      <c r="Q847" s="264"/>
      <c r="R847" s="264"/>
      <c r="S847" s="264"/>
      <c r="T847" s="264"/>
      <c r="U847" s="264"/>
      <c r="V847" s="264"/>
      <c r="W847" s="264"/>
      <c r="X847" s="264"/>
      <c r="Y847" s="264"/>
      <c r="Z847" s="264">
        <f>SUBTOTAL(9,S847:Y847)</f>
        <v>0</v>
      </c>
    </row>
    <row r="848" spans="1:26" ht="15" thickTop="1" thickBot="1">
      <c r="A848" s="393" t="str">
        <f t="shared" si="386"/>
        <v>4257-48</v>
      </c>
      <c r="B848" s="3"/>
      <c r="C848" s="4" t="s">
        <v>17</v>
      </c>
      <c r="D848" s="4" t="s">
        <v>213</v>
      </c>
      <c r="E848" s="5" t="s">
        <v>3</v>
      </c>
      <c r="F848" s="265"/>
      <c r="G848" s="2"/>
      <c r="H848" s="7"/>
      <c r="I848" s="7"/>
      <c r="J848" s="7"/>
      <c r="K848" s="7"/>
      <c r="L848" s="7"/>
      <c r="M848" s="7"/>
      <c r="N848" s="8"/>
      <c r="O848" s="14">
        <f t="shared" si="387"/>
        <v>0</v>
      </c>
      <c r="Q848" s="252" t="s">
        <v>19</v>
      </c>
      <c r="R848" s="266"/>
      <c r="S848" s="266"/>
      <c r="T848" s="266"/>
      <c r="U848" s="266"/>
      <c r="V848" s="266"/>
      <c r="W848" s="266"/>
      <c r="X848" s="266"/>
      <c r="Y848" s="267"/>
      <c r="Z848" s="268">
        <f t="shared" ref="Z848:Z853" si="388">SUM(S848:Y848)</f>
        <v>0</v>
      </c>
    </row>
    <row r="849" spans="1:26" ht="15" thickTop="1" thickBot="1">
      <c r="A849" s="393" t="str">
        <f t="shared" si="386"/>
        <v>4257-48</v>
      </c>
      <c r="B849" s="3"/>
      <c r="C849" s="3"/>
      <c r="D849" s="3"/>
      <c r="E849" s="5" t="s">
        <v>3</v>
      </c>
      <c r="F849" s="269"/>
      <c r="G849" s="6"/>
      <c r="H849" s="7"/>
      <c r="I849" s="7"/>
      <c r="J849" s="7"/>
      <c r="K849" s="7"/>
      <c r="L849" s="7"/>
      <c r="M849" s="7"/>
      <c r="N849" s="15"/>
      <c r="O849" s="14">
        <f t="shared" si="387"/>
        <v>0</v>
      </c>
      <c r="Q849" s="252" t="s">
        <v>4</v>
      </c>
      <c r="R849" s="266">
        <f>78/19</f>
        <v>4.1052631578947372</v>
      </c>
      <c r="S849" s="266"/>
      <c r="T849" s="266"/>
      <c r="U849" s="266"/>
      <c r="V849" s="266"/>
      <c r="W849" s="266"/>
      <c r="X849" s="266"/>
      <c r="Y849" s="266"/>
      <c r="Z849" s="266">
        <f t="shared" si="388"/>
        <v>0</v>
      </c>
    </row>
    <row r="850" spans="1:26" ht="15" thickTop="1" thickBot="1">
      <c r="A850" s="393" t="str">
        <f t="shared" si="386"/>
        <v>4257-48</v>
      </c>
      <c r="B850" s="3"/>
      <c r="C850" s="3"/>
      <c r="D850" s="3"/>
      <c r="E850" s="5" t="s">
        <v>3</v>
      </c>
      <c r="F850" s="269"/>
      <c r="G850" s="6"/>
      <c r="H850" s="15"/>
      <c r="I850" s="15"/>
      <c r="J850" s="15"/>
      <c r="K850" s="15"/>
      <c r="L850" s="15"/>
      <c r="M850" s="15"/>
      <c r="N850" s="15"/>
      <c r="O850" s="16">
        <f t="shared" si="387"/>
        <v>0</v>
      </c>
      <c r="Q850" s="252" t="s">
        <v>6</v>
      </c>
      <c r="R850" s="266">
        <f>25/11</f>
        <v>2.2727272727272729</v>
      </c>
      <c r="S850" s="266"/>
      <c r="T850" s="266"/>
      <c r="U850" s="266"/>
      <c r="V850" s="266"/>
      <c r="W850" s="266"/>
      <c r="X850" s="266"/>
      <c r="Y850" s="266"/>
      <c r="Z850" s="266">
        <f t="shared" si="388"/>
        <v>0</v>
      </c>
    </row>
    <row r="851" spans="1:26" ht="15" thickTop="1" thickBot="1">
      <c r="A851" s="393" t="str">
        <f t="shared" si="386"/>
        <v>4257-48</v>
      </c>
      <c r="B851" s="3"/>
      <c r="C851" s="3"/>
      <c r="D851" s="3"/>
      <c r="E851" s="5" t="s">
        <v>3</v>
      </c>
      <c r="F851" s="269"/>
      <c r="G851" s="6"/>
      <c r="H851" s="8"/>
      <c r="I851" s="8"/>
      <c r="J851" s="8"/>
      <c r="K851" s="8"/>
      <c r="L851" s="8"/>
      <c r="M851" s="8"/>
      <c r="N851" s="15"/>
      <c r="O851" s="16">
        <f t="shared" si="387"/>
        <v>0</v>
      </c>
      <c r="Q851" s="266"/>
      <c r="R851" s="266"/>
      <c r="S851" s="266"/>
      <c r="T851" s="266"/>
      <c r="U851" s="266"/>
      <c r="V851" s="266"/>
      <c r="W851" s="266"/>
      <c r="X851" s="266"/>
      <c r="Y851" s="266"/>
      <c r="Z851" s="266">
        <f t="shared" si="388"/>
        <v>0</v>
      </c>
    </row>
    <row r="852" spans="1:26" ht="15" thickTop="1" thickBot="1">
      <c r="A852" s="394" t="str">
        <f t="shared" si="386"/>
        <v>4257-48</v>
      </c>
      <c r="B852" s="19"/>
      <c r="C852" s="19"/>
      <c r="D852" s="19"/>
      <c r="E852" s="20" t="s">
        <v>3</v>
      </c>
      <c r="F852" s="271"/>
      <c r="G852" s="21"/>
      <c r="H852" s="22"/>
      <c r="I852" s="22"/>
      <c r="J852" s="22"/>
      <c r="K852" s="22"/>
      <c r="L852" s="22"/>
      <c r="M852" s="22"/>
      <c r="N852" s="22"/>
      <c r="O852" s="23">
        <f t="shared" si="387"/>
        <v>0</v>
      </c>
      <c r="Q852" s="252" t="s">
        <v>2</v>
      </c>
      <c r="R852" s="272">
        <f>500/10.2</f>
        <v>49.019607843137258</v>
      </c>
      <c r="S852" s="252">
        <f>49*1.2</f>
        <v>58.8</v>
      </c>
      <c r="T852" s="252">
        <f>49*2.1</f>
        <v>102.9</v>
      </c>
      <c r="U852" s="252">
        <f>49*2.4</f>
        <v>117.6</v>
      </c>
      <c r="V852" s="252">
        <f>49*2.4</f>
        <v>117.6</v>
      </c>
      <c r="W852" s="252">
        <f>49*1.5</f>
        <v>73.5</v>
      </c>
      <c r="X852" s="252">
        <f>49*0.9</f>
        <v>44.1</v>
      </c>
      <c r="Y852" s="266"/>
      <c r="Z852" s="266">
        <f t="shared" si="388"/>
        <v>514.5</v>
      </c>
    </row>
    <row r="853" spans="1:26" ht="15" thickTop="1" thickBot="1">
      <c r="A853" s="395" t="str">
        <f t="shared" si="386"/>
        <v>4257-48</v>
      </c>
      <c r="B853" s="47"/>
      <c r="C853" s="47"/>
      <c r="D853" s="47"/>
      <c r="E853" s="48" t="s">
        <v>23</v>
      </c>
      <c r="F853" s="49" t="str">
        <f>+B846</f>
        <v>Lavinia</v>
      </c>
      <c r="G853" s="48"/>
      <c r="H853" s="48">
        <f>+H847-H848-H849-H850-H852+H851</f>
        <v>11</v>
      </c>
      <c r="I853" s="48">
        <f>+I847-I848-I849-I850-I852+I851</f>
        <v>16</v>
      </c>
      <c r="J853" s="48">
        <f>+J847-J848-J849-J850-J852-J851</f>
        <v>13</v>
      </c>
      <c r="K853" s="48">
        <f>+K847-K848-K849-K850-K852-K851</f>
        <v>13</v>
      </c>
      <c r="L853" s="48">
        <f>+L847-L848-L849-L850-L852-L851</f>
        <v>8</v>
      </c>
      <c r="M853" s="48">
        <f>+M847-M848-M849-M850-M852-M851</f>
        <v>4</v>
      </c>
      <c r="N853" s="48"/>
      <c r="O853" s="48">
        <f t="shared" si="387"/>
        <v>65</v>
      </c>
      <c r="Q853" s="266"/>
      <c r="R853" s="266"/>
      <c r="S853" s="252">
        <f t="shared" ref="S853:X853" si="389">SUM(S849:S852)</f>
        <v>58.8</v>
      </c>
      <c r="T853" s="252">
        <f t="shared" si="389"/>
        <v>102.9</v>
      </c>
      <c r="U853" s="252">
        <f t="shared" si="389"/>
        <v>117.6</v>
      </c>
      <c r="V853" s="252">
        <f t="shared" si="389"/>
        <v>117.6</v>
      </c>
      <c r="W853" s="252">
        <f t="shared" si="389"/>
        <v>73.5</v>
      </c>
      <c r="X853" s="252">
        <f t="shared" si="389"/>
        <v>44.1</v>
      </c>
      <c r="Y853" s="252"/>
      <c r="Z853" s="252">
        <f t="shared" si="388"/>
        <v>514.5</v>
      </c>
    </row>
    <row r="854" spans="1:26" ht="14.25" thickTop="1"/>
    <row r="870" spans="3:6">
      <c r="D870" s="239">
        <v>4224</v>
      </c>
      <c r="F870" s="235" t="s">
        <v>232</v>
      </c>
    </row>
    <row r="871" spans="3:6">
      <c r="C871" s="239">
        <v>12</v>
      </c>
      <c r="D871" s="239">
        <v>4234</v>
      </c>
      <c r="F871" s="235" t="s">
        <v>233</v>
      </c>
    </row>
    <row r="872" spans="3:6">
      <c r="C872" s="239">
        <v>13</v>
      </c>
    </row>
    <row r="873" spans="3:6">
      <c r="D873" s="239">
        <v>8457</v>
      </c>
      <c r="F873" s="235" t="s">
        <v>234</v>
      </c>
    </row>
    <row r="874" spans="3:6">
      <c r="C874" s="239">
        <v>24</v>
      </c>
      <c r="D874" s="239">
        <v>4217</v>
      </c>
      <c r="F874" s="235" t="s">
        <v>235</v>
      </c>
    </row>
    <row r="875" spans="3:6">
      <c r="C875" s="239">
        <v>14</v>
      </c>
    </row>
  </sheetData>
  <autoFilter ref="A4:O853" xr:uid="{00000000-0001-0000-0000-000000000000}"/>
  <mergeCells count="9">
    <mergeCell ref="AE704:AK705"/>
    <mergeCell ref="AE706:AK706"/>
    <mergeCell ref="AE697:AK697"/>
    <mergeCell ref="B1:B2"/>
    <mergeCell ref="A6:A7"/>
    <mergeCell ref="AC69:AD69"/>
    <mergeCell ref="AE443:AK445"/>
    <mergeCell ref="AE695:AK696"/>
    <mergeCell ref="AE668:AK670"/>
  </mergeCells>
  <phoneticPr fontId="30" type="noConversion"/>
  <printOptions horizontalCentered="1" gridLines="1"/>
  <pageMargins left="0.39370078740157483" right="0.27559055118110237" top="0.31496062992125984" bottom="0.27559055118110237" header="0.31496062992125984" footer="0.31496062992125984"/>
  <pageSetup paperSize="9" scale="85" orientation="landscape" verticalDpi="4294967293" r:id="rId1"/>
  <rowBreaks count="2" manualBreakCount="2">
    <brk id="262" max="14" man="1"/>
    <brk id="559" max="1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>
    <tabColor rgb="FF292929"/>
  </sheetPr>
  <dimension ref="A1:LN144"/>
  <sheetViews>
    <sheetView showZeros="0" zoomScale="106" zoomScaleNormal="106" workbookViewId="0">
      <selection activeCell="L4" sqref="L4"/>
    </sheetView>
  </sheetViews>
  <sheetFormatPr defaultColWidth="11.5703125" defaultRowHeight="15.75"/>
  <cols>
    <col min="1" max="1" width="11.140625" style="35" bestFit="1" customWidth="1"/>
    <col min="2" max="2" width="17.140625" style="18" bestFit="1" customWidth="1"/>
    <col min="3" max="3" width="8.42578125" style="18" bestFit="1" customWidth="1"/>
    <col min="4" max="4" width="9.7109375" style="18" bestFit="1" customWidth="1"/>
    <col min="5" max="5" width="14.5703125" style="18" bestFit="1" customWidth="1"/>
    <col min="6" max="7" width="6.140625" style="18" bestFit="1" customWidth="1"/>
    <col min="8" max="8" width="8.42578125" style="18" bestFit="1" customWidth="1"/>
    <col min="9" max="9" width="4.140625" style="18" bestFit="1" customWidth="1"/>
    <col min="10" max="10" width="14.5703125" style="18" bestFit="1" customWidth="1"/>
    <col min="11" max="11" width="13.140625" style="18" bestFit="1" customWidth="1"/>
    <col min="12" max="12" width="10.85546875" style="18" bestFit="1" customWidth="1"/>
    <col min="13" max="13" width="15.28515625" style="122" bestFit="1" customWidth="1"/>
    <col min="14" max="14" width="15.28515625" style="122" customWidth="1"/>
    <col min="15" max="15" width="8.42578125" style="122" bestFit="1" customWidth="1"/>
    <col min="16" max="16" width="17.7109375" style="122" bestFit="1" customWidth="1"/>
    <col min="17" max="17" width="11.85546875" style="122" bestFit="1" customWidth="1"/>
    <col min="18" max="18" width="5.7109375" style="122" customWidth="1"/>
    <col min="19" max="19" width="3.140625" style="122" bestFit="1" customWidth="1"/>
    <col min="20" max="23" width="4.140625" style="122" bestFit="1" customWidth="1"/>
    <col min="24" max="24" width="3.140625" style="122" bestFit="1" customWidth="1"/>
    <col min="25" max="25" width="2" style="122" bestFit="1" customWidth="1"/>
    <col min="26" max="26" width="7.7109375" style="122" bestFit="1" customWidth="1"/>
    <col min="27" max="27" width="8.7109375" style="122" customWidth="1"/>
    <col min="28" max="28" width="8.42578125" style="18" bestFit="1" customWidth="1"/>
    <col min="29" max="29" width="17.7109375" style="18" bestFit="1" customWidth="1"/>
    <col min="30" max="30" width="11.85546875" style="18" bestFit="1" customWidth="1"/>
    <col min="31" max="31" width="3.42578125" style="18" customWidth="1"/>
    <col min="32" max="32" width="3.140625" style="18" bestFit="1" customWidth="1"/>
    <col min="33" max="36" width="4.140625" style="18" bestFit="1" customWidth="1"/>
    <col min="37" max="37" width="3.140625" style="18" bestFit="1" customWidth="1"/>
    <col min="38" max="38" width="2.28515625" style="18" customWidth="1"/>
    <col min="39" max="39" width="6.28515625" style="18" bestFit="1" customWidth="1"/>
    <col min="40" max="40" width="2.140625" style="18" bestFit="1" customWidth="1"/>
    <col min="41" max="41" width="8.42578125" style="18" bestFit="1" customWidth="1"/>
    <col min="42" max="42" width="17.7109375" style="18" bestFit="1" customWidth="1"/>
    <col min="43" max="43" width="11.85546875" style="18" bestFit="1" customWidth="1"/>
    <col min="44" max="44" width="11.5703125" style="18"/>
    <col min="45" max="45" width="3.140625" style="18" bestFit="1" customWidth="1"/>
    <col min="46" max="49" width="4.140625" style="18" bestFit="1" customWidth="1"/>
    <col min="50" max="50" width="3.140625" style="18" bestFit="1" customWidth="1"/>
    <col min="51" max="51" width="11.5703125" style="18"/>
    <col min="52" max="52" width="6.7109375" style="18" bestFit="1" customWidth="1"/>
    <col min="53" max="53" width="11.5703125" style="18"/>
    <col min="54" max="54" width="8.42578125" style="18" bestFit="1" customWidth="1"/>
    <col min="55" max="55" width="17.7109375" style="18" bestFit="1" customWidth="1"/>
    <col min="56" max="56" width="10.42578125" style="18" bestFit="1" customWidth="1"/>
    <col min="57" max="57" width="11.5703125" style="18"/>
    <col min="58" max="58" width="3.140625" style="18" bestFit="1" customWidth="1"/>
    <col min="59" max="62" width="4.140625" style="18" bestFit="1" customWidth="1"/>
    <col min="63" max="63" width="3.140625" style="18" bestFit="1" customWidth="1"/>
    <col min="64" max="64" width="11.5703125" style="18"/>
    <col min="65" max="65" width="6.7109375" style="18" bestFit="1" customWidth="1"/>
    <col min="66" max="66" width="11.5703125" style="18"/>
    <col min="67" max="67" width="8.42578125" style="18" bestFit="1" customWidth="1"/>
    <col min="68" max="68" width="17.7109375" style="18" bestFit="1" customWidth="1"/>
    <col min="69" max="69" width="11.85546875" style="18" bestFit="1" customWidth="1"/>
    <col min="70" max="70" width="11.5703125" style="18"/>
    <col min="71" max="71" width="3.140625" style="18" bestFit="1" customWidth="1"/>
    <col min="72" max="75" width="4.140625" style="18" bestFit="1" customWidth="1"/>
    <col min="76" max="76" width="3.140625" style="18" bestFit="1" customWidth="1"/>
    <col min="77" max="77" width="11.5703125" style="18"/>
    <col min="78" max="78" width="6.7109375" style="18" bestFit="1" customWidth="1"/>
    <col min="79" max="79" width="11.5703125" style="18"/>
    <col min="80" max="80" width="8.42578125" style="18" bestFit="1" customWidth="1"/>
    <col min="81" max="81" width="17.7109375" style="18" bestFit="1" customWidth="1"/>
    <col min="82" max="82" width="11.85546875" style="18" bestFit="1" customWidth="1"/>
    <col min="83" max="83" width="11.5703125" style="18"/>
    <col min="84" max="84" width="3.140625" style="18" bestFit="1" customWidth="1"/>
    <col min="85" max="88" width="4.140625" style="18" bestFit="1" customWidth="1"/>
    <col min="89" max="89" width="3.140625" style="18" bestFit="1" customWidth="1"/>
    <col min="90" max="90" width="11.5703125" style="18"/>
    <col min="91" max="91" width="6.28515625" style="18" bestFit="1" customWidth="1"/>
    <col min="92" max="92" width="11.5703125" style="18"/>
    <col min="93" max="93" width="8.42578125" style="18" bestFit="1" customWidth="1"/>
    <col min="94" max="94" width="17.7109375" style="18" bestFit="1" customWidth="1"/>
    <col min="95" max="95" width="7.7109375" style="18" bestFit="1" customWidth="1"/>
    <col min="96" max="96" width="11.5703125" style="18"/>
    <col min="97" max="97" width="3.140625" style="18" bestFit="1" customWidth="1"/>
    <col min="98" max="101" width="4.140625" style="18" bestFit="1" customWidth="1"/>
    <col min="102" max="102" width="3.140625" style="18" bestFit="1" customWidth="1"/>
    <col min="103" max="103" width="11.5703125" style="18"/>
    <col min="104" max="104" width="6.28515625" style="18" bestFit="1" customWidth="1"/>
    <col min="105" max="105" width="11.5703125" style="18"/>
    <col min="106" max="106" width="8.42578125" style="18" bestFit="1" customWidth="1"/>
    <col min="107" max="107" width="17.7109375" style="18" bestFit="1" customWidth="1"/>
    <col min="108" max="108" width="7.7109375" style="18" bestFit="1" customWidth="1"/>
    <col min="109" max="109" width="11.5703125" style="18"/>
    <col min="110" max="110" width="3.140625" style="18" bestFit="1" customWidth="1"/>
    <col min="111" max="113" width="4.140625" style="18" bestFit="1" customWidth="1"/>
    <col min="114" max="115" width="3.140625" style="18" bestFit="1" customWidth="1"/>
    <col min="116" max="116" width="11.5703125" style="18"/>
    <col min="117" max="117" width="6.7109375" style="18" bestFit="1" customWidth="1"/>
    <col min="118" max="118" width="11.5703125" style="18"/>
    <col min="119" max="119" width="8.42578125" style="18" bestFit="1" customWidth="1"/>
    <col min="120" max="120" width="17.7109375" style="18" bestFit="1" customWidth="1"/>
    <col min="121" max="121" width="7.7109375" style="18" bestFit="1" customWidth="1"/>
    <col min="122" max="122" width="11.5703125" style="18"/>
    <col min="123" max="123" width="3.140625" style="18" bestFit="1" customWidth="1"/>
    <col min="124" max="126" width="4.140625" style="18" bestFit="1" customWidth="1"/>
    <col min="127" max="128" width="3.140625" style="18" bestFit="1" customWidth="1"/>
    <col min="129" max="129" width="11.5703125" style="18"/>
    <col min="130" max="130" width="6.7109375" style="18" bestFit="1" customWidth="1"/>
    <col min="131" max="131" width="11.5703125" style="18"/>
    <col min="132" max="132" width="8.42578125" style="18" bestFit="1" customWidth="1"/>
    <col min="133" max="133" width="17.7109375" style="18" bestFit="1" customWidth="1"/>
    <col min="134" max="134" width="7.7109375" style="18" bestFit="1" customWidth="1"/>
    <col min="135" max="135" width="11.5703125" style="18"/>
    <col min="136" max="136" width="3.140625" style="18" bestFit="1" customWidth="1"/>
    <col min="137" max="139" width="4.140625" style="18" bestFit="1" customWidth="1"/>
    <col min="140" max="141" width="3.140625" style="18" bestFit="1" customWidth="1"/>
    <col min="142" max="142" width="11.5703125" style="18"/>
    <col min="143" max="143" width="6.28515625" style="18" bestFit="1" customWidth="1"/>
    <col min="144" max="144" width="11.5703125" style="18"/>
    <col min="145" max="145" width="8.42578125" style="18" bestFit="1" customWidth="1"/>
    <col min="146" max="146" width="17.7109375" style="18" bestFit="1" customWidth="1"/>
    <col min="147" max="147" width="7.7109375" style="18" bestFit="1" customWidth="1"/>
    <col min="148" max="148" width="11.5703125" style="18"/>
    <col min="149" max="149" width="3.140625" style="18" bestFit="1" customWidth="1"/>
    <col min="150" max="152" width="4.140625" style="18" bestFit="1" customWidth="1"/>
    <col min="153" max="154" width="3.140625" style="18" bestFit="1" customWidth="1"/>
    <col min="155" max="155" width="11.5703125" style="18"/>
    <col min="156" max="156" width="6.7109375" style="18" bestFit="1" customWidth="1"/>
    <col min="157" max="157" width="11.5703125" style="18"/>
    <col min="158" max="158" width="8.42578125" style="18" bestFit="1" customWidth="1"/>
    <col min="159" max="159" width="17.7109375" style="18" bestFit="1" customWidth="1"/>
    <col min="160" max="160" width="11.85546875" style="18" bestFit="1" customWidth="1"/>
    <col min="161" max="161" width="11.5703125" style="18"/>
    <col min="162" max="162" width="3.140625" style="18" bestFit="1" customWidth="1"/>
    <col min="163" max="165" width="4.140625" style="18" bestFit="1" customWidth="1"/>
    <col min="166" max="167" width="3.140625" style="18" bestFit="1" customWidth="1"/>
    <col min="168" max="168" width="11.5703125" style="18"/>
    <col min="169" max="169" width="6.7109375" style="18" bestFit="1" customWidth="1"/>
    <col min="170" max="170" width="11.5703125" style="18"/>
    <col min="171" max="171" width="8.42578125" style="18" bestFit="1" customWidth="1"/>
    <col min="172" max="172" width="17.7109375" style="18" bestFit="1" customWidth="1"/>
    <col min="173" max="173" width="8.28515625" style="18" bestFit="1" customWidth="1"/>
    <col min="174" max="174" width="11.5703125" style="18"/>
    <col min="175" max="176" width="3.140625" style="18" bestFit="1" customWidth="1"/>
    <col min="177" max="178" width="4.140625" style="18" bestFit="1" customWidth="1"/>
    <col min="179" max="180" width="3.140625" style="18" bestFit="1" customWidth="1"/>
    <col min="181" max="181" width="11.5703125" style="18"/>
    <col min="182" max="182" width="6.28515625" style="18" bestFit="1" customWidth="1"/>
    <col min="183" max="183" width="11.5703125" style="18"/>
    <col min="184" max="184" width="8.42578125" style="18" bestFit="1" customWidth="1"/>
    <col min="185" max="185" width="17.7109375" style="18" bestFit="1" customWidth="1"/>
    <col min="186" max="186" width="7.140625" style="18" bestFit="1" customWidth="1"/>
    <col min="187" max="187" width="11.5703125" style="18"/>
    <col min="188" max="193" width="3.140625" style="18" bestFit="1" customWidth="1"/>
    <col min="194" max="194" width="11.5703125" style="18"/>
    <col min="195" max="195" width="5.5703125" style="18" bestFit="1" customWidth="1"/>
    <col min="196" max="196" width="11.5703125" style="18"/>
    <col min="197" max="197" width="8.42578125" style="18" bestFit="1" customWidth="1"/>
    <col min="198" max="198" width="17.7109375" style="18" bestFit="1" customWidth="1"/>
    <col min="199" max="199" width="7.140625" style="18" bestFit="1" customWidth="1"/>
    <col min="200" max="200" width="11.5703125" style="18"/>
    <col min="201" max="206" width="3.140625" style="18" bestFit="1" customWidth="1"/>
    <col min="207" max="207" width="11.5703125" style="18"/>
    <col min="208" max="208" width="5.28515625" style="18" bestFit="1" customWidth="1"/>
    <col min="209" max="16384" width="11.5703125" style="18"/>
  </cols>
  <sheetData>
    <row r="1" spans="1:326" ht="27.75" thickTop="1" thickBot="1">
      <c r="A1" s="37" t="s">
        <v>1</v>
      </c>
      <c r="B1" s="58">
        <v>4200</v>
      </c>
      <c r="C1" s="24"/>
      <c r="D1" s="24" t="s">
        <v>236</v>
      </c>
      <c r="E1" s="24" t="s">
        <v>237</v>
      </c>
      <c r="F1" s="24" t="s">
        <v>238</v>
      </c>
      <c r="G1" s="24" t="s">
        <v>239</v>
      </c>
      <c r="J1" s="25">
        <f>$J$98</f>
        <v>21166</v>
      </c>
      <c r="K1" s="17"/>
      <c r="L1" s="17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</row>
    <row r="2" spans="1:326" ht="19.5" thickTop="1">
      <c r="A2" s="474" t="s">
        <v>30</v>
      </c>
      <c r="B2" s="475"/>
      <c r="C2" s="475">
        <v>36</v>
      </c>
      <c r="D2" s="475">
        <v>38</v>
      </c>
      <c r="E2" s="475">
        <v>40</v>
      </c>
      <c r="F2" s="475">
        <v>42</v>
      </c>
      <c r="G2" s="475">
        <v>44</v>
      </c>
      <c r="H2" s="475">
        <v>46</v>
      </c>
      <c r="I2" s="476"/>
      <c r="J2" s="476" t="s">
        <v>28</v>
      </c>
      <c r="K2" s="460" t="s">
        <v>240</v>
      </c>
      <c r="L2" s="460" t="s">
        <v>241</v>
      </c>
      <c r="M2" s="463" t="s">
        <v>242</v>
      </c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</row>
    <row r="3" spans="1:326" s="27" customFormat="1" ht="18.75">
      <c r="A3" s="458" t="s">
        <v>243</v>
      </c>
      <c r="B3" s="458" t="s">
        <v>244</v>
      </c>
      <c r="C3" s="458" t="s">
        <v>245</v>
      </c>
      <c r="D3" s="458" t="s">
        <v>246</v>
      </c>
      <c r="E3" s="458" t="s">
        <v>247</v>
      </c>
      <c r="F3" s="458" t="s">
        <v>248</v>
      </c>
      <c r="G3" s="458" t="s">
        <v>249</v>
      </c>
      <c r="H3" s="458" t="s">
        <v>250</v>
      </c>
      <c r="I3" s="458" t="s">
        <v>251</v>
      </c>
      <c r="J3" s="458" t="s">
        <v>252</v>
      </c>
      <c r="K3" s="458" t="s">
        <v>253</v>
      </c>
      <c r="L3" s="458" t="s">
        <v>254</v>
      </c>
      <c r="M3" s="462"/>
      <c r="N3" s="499"/>
      <c r="O3" s="499"/>
      <c r="P3" s="64">
        <v>46105</v>
      </c>
      <c r="Q3" s="115" t="s">
        <v>255</v>
      </c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36"/>
      <c r="AC3" s="64">
        <v>46098</v>
      </c>
      <c r="AD3" s="115" t="s">
        <v>256</v>
      </c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64">
        <v>46093</v>
      </c>
      <c r="AQ3" s="115" t="s">
        <v>257</v>
      </c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64">
        <v>46092</v>
      </c>
      <c r="BD3" s="115" t="s">
        <v>258</v>
      </c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64">
        <v>46090</v>
      </c>
      <c r="BQ3" s="115" t="s">
        <v>259</v>
      </c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64">
        <v>46079</v>
      </c>
      <c r="CD3" s="115" t="s">
        <v>260</v>
      </c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64">
        <v>46072</v>
      </c>
      <c r="CQ3" s="115">
        <v>0.55555555555555558</v>
      </c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64">
        <v>46071</v>
      </c>
      <c r="DD3" s="115">
        <v>0.5</v>
      </c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64">
        <v>46070</v>
      </c>
      <c r="DQ3" s="115">
        <v>0.71597222222222223</v>
      </c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64">
        <v>46066</v>
      </c>
      <c r="ED3" s="115">
        <v>0.57986111111111116</v>
      </c>
      <c r="EE3" s="64"/>
      <c r="EF3" s="64"/>
      <c r="EG3" s="64"/>
      <c r="EH3" s="88"/>
      <c r="EI3" s="36"/>
      <c r="EJ3" s="36"/>
      <c r="EK3" s="36"/>
      <c r="EL3" s="36"/>
      <c r="EM3" s="36"/>
      <c r="EN3" s="36"/>
      <c r="EO3" s="36"/>
      <c r="EP3" s="64">
        <v>46065</v>
      </c>
      <c r="EQ3" s="88">
        <v>0.58888888888888891</v>
      </c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64">
        <v>46062</v>
      </c>
      <c r="FD3" s="36" t="s">
        <v>261</v>
      </c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64">
        <v>46062</v>
      </c>
      <c r="FQ3" s="36" t="s">
        <v>262</v>
      </c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64">
        <v>46048</v>
      </c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P3" s="64">
        <v>46045</v>
      </c>
      <c r="GS3" s="28"/>
      <c r="HD3" s="28"/>
      <c r="HP3" s="28"/>
      <c r="HQ3" s="28"/>
      <c r="IA3" s="28"/>
      <c r="IN3" s="28"/>
      <c r="JA3" s="28"/>
      <c r="JN3" s="28"/>
      <c r="KA3" s="28"/>
      <c r="KN3" s="28"/>
      <c r="LA3" s="28"/>
      <c r="LN3" s="28"/>
    </row>
    <row r="4" spans="1:326">
      <c r="A4" s="477">
        <v>1420100</v>
      </c>
      <c r="B4" s="478" t="s">
        <v>11</v>
      </c>
      <c r="C4" s="478">
        <v>72</v>
      </c>
      <c r="D4" s="478">
        <v>158</v>
      </c>
      <c r="E4" s="478">
        <v>165</v>
      </c>
      <c r="F4" s="478">
        <v>158</v>
      </c>
      <c r="G4" s="478">
        <v>108</v>
      </c>
      <c r="H4" s="478">
        <v>87</v>
      </c>
      <c r="I4" s="478"/>
      <c r="J4" s="479">
        <f t="shared" ref="J4:J23" si="0">SUM(C4:H4)</f>
        <v>748</v>
      </c>
      <c r="K4" s="480">
        <f>'CORTE 4200'!$O$16</f>
        <v>-291</v>
      </c>
      <c r="L4" s="480">
        <v>50</v>
      </c>
      <c r="M4" s="481"/>
      <c r="N4" s="500"/>
      <c r="O4">
        <v>1420100</v>
      </c>
      <c r="P4" t="s">
        <v>263</v>
      </c>
      <c r="Q4" t="s">
        <v>264</v>
      </c>
      <c r="R4"/>
      <c r="S4">
        <v>72</v>
      </c>
      <c r="T4">
        <v>158</v>
      </c>
      <c r="U4">
        <v>165</v>
      </c>
      <c r="V4">
        <v>158</v>
      </c>
      <c r="W4">
        <v>108</v>
      </c>
      <c r="X4">
        <v>87</v>
      </c>
      <c r="Y4">
        <v>0</v>
      </c>
      <c r="Z4">
        <f>SUM(S4:Y4)</f>
        <v>748</v>
      </c>
      <c r="AA4" s="500"/>
      <c r="AB4" s="74">
        <v>1420100</v>
      </c>
      <c r="AC4" s="74" t="s">
        <v>263</v>
      </c>
      <c r="AD4" s="74" t="s">
        <v>264</v>
      </c>
      <c r="AE4"/>
      <c r="AF4" s="74">
        <v>74</v>
      </c>
      <c r="AG4" s="74">
        <v>157</v>
      </c>
      <c r="AH4" s="74">
        <v>168</v>
      </c>
      <c r="AI4" s="74">
        <v>156</v>
      </c>
      <c r="AJ4" s="74">
        <v>106</v>
      </c>
      <c r="AK4" s="74">
        <v>80</v>
      </c>
      <c r="AL4" s="74">
        <v>0</v>
      </c>
      <c r="AM4" s="74">
        <f t="shared" ref="AM4:AM67" si="1">SUM(AF4:AL4)</f>
        <v>741</v>
      </c>
      <c r="AN4" s="18">
        <f>+Tabla15[[#This Row],[c10]]-AM4</f>
        <v>7</v>
      </c>
      <c r="AO4" s="74">
        <v>1420100</v>
      </c>
      <c r="AP4" s="74" t="s">
        <v>263</v>
      </c>
      <c r="AQ4" s="74" t="s">
        <v>264</v>
      </c>
      <c r="AR4" s="74"/>
      <c r="AS4" s="74">
        <v>72</v>
      </c>
      <c r="AT4" s="74">
        <v>155</v>
      </c>
      <c r="AU4" s="74">
        <v>166</v>
      </c>
      <c r="AV4" s="74">
        <v>154</v>
      </c>
      <c r="AW4" s="74">
        <v>105</v>
      </c>
      <c r="AX4" s="74">
        <v>79</v>
      </c>
      <c r="AY4" s="74">
        <v>0</v>
      </c>
      <c r="AZ4" s="74">
        <f>SUM(AS4:AY4)</f>
        <v>731</v>
      </c>
      <c r="BB4" s="74">
        <v>1420100</v>
      </c>
      <c r="BC4" s="74" t="s">
        <v>263</v>
      </c>
      <c r="BD4" s="74" t="s">
        <v>264</v>
      </c>
      <c r="BE4" s="74"/>
      <c r="BF4" s="74">
        <v>64</v>
      </c>
      <c r="BG4" s="74">
        <v>143</v>
      </c>
      <c r="BH4" s="74">
        <v>154</v>
      </c>
      <c r="BI4" s="74">
        <v>142</v>
      </c>
      <c r="BJ4" s="74">
        <v>102</v>
      </c>
      <c r="BK4" s="74">
        <v>76</v>
      </c>
      <c r="BL4" s="74">
        <v>0</v>
      </c>
      <c r="BM4" s="74">
        <v>681</v>
      </c>
      <c r="BO4" s="74">
        <v>1420100</v>
      </c>
      <c r="BP4" s="74" t="s">
        <v>263</v>
      </c>
      <c r="BQ4" s="74" t="s">
        <v>264</v>
      </c>
      <c r="BR4" s="74"/>
      <c r="BS4" s="74">
        <v>66</v>
      </c>
      <c r="BT4" s="74">
        <v>146</v>
      </c>
      <c r="BU4" s="74">
        <v>157</v>
      </c>
      <c r="BV4" s="74">
        <v>144</v>
      </c>
      <c r="BW4" s="74">
        <v>103</v>
      </c>
      <c r="BX4" s="74">
        <v>76</v>
      </c>
      <c r="BY4" s="74">
        <v>0</v>
      </c>
      <c r="BZ4" s="74">
        <f>SUM(BS4:BY4)</f>
        <v>692</v>
      </c>
      <c r="CB4" s="74">
        <v>1420100</v>
      </c>
      <c r="CC4" s="74" t="s">
        <v>263</v>
      </c>
      <c r="CD4" s="74" t="s">
        <v>264</v>
      </c>
      <c r="CE4" s="74"/>
      <c r="CF4" s="74">
        <v>64</v>
      </c>
      <c r="CG4" s="74">
        <v>143</v>
      </c>
      <c r="CH4" s="74">
        <v>155</v>
      </c>
      <c r="CI4" s="74">
        <v>142</v>
      </c>
      <c r="CJ4" s="74">
        <v>101</v>
      </c>
      <c r="CK4" s="74">
        <v>75</v>
      </c>
      <c r="CL4" s="74">
        <v>0</v>
      </c>
      <c r="CM4" s="74">
        <f t="shared" ref="CM4:CM67" si="2">SUM(CF4:CL4)</f>
        <v>680</v>
      </c>
      <c r="CO4" s="74">
        <v>1420100</v>
      </c>
      <c r="CP4" s="74" t="s">
        <v>263</v>
      </c>
      <c r="CQ4" s="74" t="s">
        <v>264</v>
      </c>
      <c r="CR4" s="74"/>
      <c r="CS4" s="74">
        <v>60</v>
      </c>
      <c r="CT4" s="74">
        <v>137</v>
      </c>
      <c r="CU4" s="74">
        <v>149</v>
      </c>
      <c r="CV4" s="74">
        <v>137</v>
      </c>
      <c r="CW4" s="74">
        <v>98</v>
      </c>
      <c r="CX4" s="74">
        <v>74</v>
      </c>
      <c r="CY4" s="74">
        <v>0</v>
      </c>
      <c r="CZ4" s="502">
        <v>655</v>
      </c>
      <c r="DB4" s="74">
        <v>1420100</v>
      </c>
      <c r="DC4" s="74" t="s">
        <v>263</v>
      </c>
      <c r="DD4" s="74" t="s">
        <v>264</v>
      </c>
      <c r="DE4" s="74"/>
      <c r="DF4" s="74">
        <v>57</v>
      </c>
      <c r="DG4" s="74">
        <v>132</v>
      </c>
      <c r="DH4" s="74">
        <v>141</v>
      </c>
      <c r="DI4" s="74">
        <v>131</v>
      </c>
      <c r="DJ4" s="74">
        <v>93</v>
      </c>
      <c r="DK4" s="74">
        <v>70</v>
      </c>
      <c r="DL4" s="74">
        <v>0</v>
      </c>
      <c r="DM4" s="502">
        <v>624</v>
      </c>
      <c r="DO4" s="74">
        <v>1420100</v>
      </c>
      <c r="DP4" s="74" t="s">
        <v>263</v>
      </c>
      <c r="DQ4" s="74" t="s">
        <v>264</v>
      </c>
      <c r="DR4" s="74"/>
      <c r="DS4" s="74">
        <v>49</v>
      </c>
      <c r="DT4" s="74">
        <v>117</v>
      </c>
      <c r="DU4" s="74">
        <v>123</v>
      </c>
      <c r="DV4" s="74">
        <v>117</v>
      </c>
      <c r="DW4" s="74">
        <v>83</v>
      </c>
      <c r="DX4" s="74">
        <v>66</v>
      </c>
      <c r="DY4" s="74">
        <v>0</v>
      </c>
      <c r="DZ4" s="74">
        <v>555</v>
      </c>
      <c r="EA4" s="74"/>
      <c r="EB4" s="74">
        <v>1420100</v>
      </c>
      <c r="EC4" s="74" t="s">
        <v>263</v>
      </c>
      <c r="ED4" s="74" t="s">
        <v>264</v>
      </c>
      <c r="EE4" s="74"/>
      <c r="EF4" s="74">
        <v>45</v>
      </c>
      <c r="EG4" s="74">
        <v>107</v>
      </c>
      <c r="EH4" s="74">
        <v>115</v>
      </c>
      <c r="EI4" s="74">
        <v>111</v>
      </c>
      <c r="EJ4" s="74">
        <v>80</v>
      </c>
      <c r="EK4" s="74">
        <v>64</v>
      </c>
      <c r="EL4" s="74">
        <v>0</v>
      </c>
      <c r="EM4" s="74">
        <v>522</v>
      </c>
      <c r="EO4" s="74">
        <v>1420100</v>
      </c>
      <c r="EP4" s="74" t="s">
        <v>263</v>
      </c>
      <c r="EQ4" s="74" t="s">
        <v>264</v>
      </c>
      <c r="ER4" s="74"/>
      <c r="ES4" s="74">
        <v>42</v>
      </c>
      <c r="ET4" s="74">
        <v>102</v>
      </c>
      <c r="EU4" s="74">
        <v>110</v>
      </c>
      <c r="EV4" s="74">
        <v>106</v>
      </c>
      <c r="EW4" s="74">
        <v>77</v>
      </c>
      <c r="EX4" s="74">
        <v>62</v>
      </c>
      <c r="EY4" s="74">
        <v>0</v>
      </c>
      <c r="EZ4" s="74">
        <v>499</v>
      </c>
      <c r="FB4" s="74">
        <v>1420100</v>
      </c>
      <c r="FC4" s="74" t="s">
        <v>263</v>
      </c>
      <c r="FD4" s="74" t="s">
        <v>264</v>
      </c>
      <c r="FE4" s="74"/>
      <c r="FF4" s="74">
        <v>38</v>
      </c>
      <c r="FG4" s="74">
        <v>92</v>
      </c>
      <c r="FH4" s="74">
        <v>99</v>
      </c>
      <c r="FI4" s="74">
        <v>97</v>
      </c>
      <c r="FJ4" s="74">
        <v>70</v>
      </c>
      <c r="FK4" s="74">
        <v>60</v>
      </c>
      <c r="FL4" s="74">
        <v>0</v>
      </c>
      <c r="FM4" s="74">
        <v>456</v>
      </c>
      <c r="FO4" s="74">
        <v>1420100</v>
      </c>
      <c r="FP4" s="74" t="s">
        <v>263</v>
      </c>
      <c r="FQ4" s="74" t="s">
        <v>264</v>
      </c>
      <c r="FR4" s="74"/>
      <c r="FS4" s="74">
        <v>36</v>
      </c>
      <c r="FT4" s="74">
        <v>86</v>
      </c>
      <c r="FU4" s="74">
        <v>93</v>
      </c>
      <c r="FV4" s="74">
        <v>91</v>
      </c>
      <c r="FW4" s="74">
        <v>66</v>
      </c>
      <c r="FX4" s="74">
        <v>56</v>
      </c>
      <c r="FY4" s="74">
        <v>0</v>
      </c>
      <c r="FZ4" s="74">
        <v>428</v>
      </c>
      <c r="GB4" s="74">
        <v>1420100</v>
      </c>
      <c r="GC4" s="74" t="s">
        <v>263</v>
      </c>
      <c r="GD4" s="74" t="s">
        <v>264</v>
      </c>
      <c r="GE4" s="74"/>
      <c r="GF4" s="74">
        <v>19</v>
      </c>
      <c r="GG4" s="74">
        <v>32</v>
      </c>
      <c r="GH4" s="74">
        <v>38</v>
      </c>
      <c r="GI4" s="74">
        <v>36</v>
      </c>
      <c r="GJ4" s="74">
        <v>29</v>
      </c>
      <c r="GK4" s="74">
        <v>20</v>
      </c>
      <c r="GL4" s="74">
        <v>0</v>
      </c>
      <c r="GM4" s="74">
        <v>174</v>
      </c>
      <c r="GO4" s="432">
        <v>1420100</v>
      </c>
      <c r="GP4" s="74" t="s">
        <v>263</v>
      </c>
      <c r="GQ4" s="74" t="s">
        <v>264</v>
      </c>
      <c r="GR4" s="74"/>
      <c r="GS4" s="74">
        <v>18</v>
      </c>
      <c r="GT4" s="74">
        <v>29</v>
      </c>
      <c r="GU4" s="74">
        <v>34</v>
      </c>
      <c r="GV4" s="74">
        <v>33</v>
      </c>
      <c r="GW4" s="74">
        <v>27</v>
      </c>
      <c r="GX4" s="74">
        <v>19</v>
      </c>
      <c r="GY4" s="74">
        <v>0</v>
      </c>
      <c r="GZ4" s="74">
        <f t="shared" ref="GZ4:GZ25" si="3">SUM(GS4:GY4)</f>
        <v>160</v>
      </c>
    </row>
    <row r="5" spans="1:326">
      <c r="A5" s="477">
        <v>1420101</v>
      </c>
      <c r="B5" s="478" t="s">
        <v>11</v>
      </c>
      <c r="C5" s="478">
        <v>34</v>
      </c>
      <c r="D5" s="478">
        <v>53</v>
      </c>
      <c r="E5" s="478">
        <v>60</v>
      </c>
      <c r="F5" s="478">
        <v>57</v>
      </c>
      <c r="G5" s="478">
        <v>41</v>
      </c>
      <c r="H5" s="478">
        <v>26</v>
      </c>
      <c r="I5" s="478"/>
      <c r="J5" s="479">
        <f t="shared" ref="J5:J15" si="4">SUM(C5:H5)</f>
        <v>271</v>
      </c>
      <c r="K5" s="480">
        <f>'CORTE 4200'!$O$25</f>
        <v>-57</v>
      </c>
      <c r="L5" s="480"/>
      <c r="M5" s="481"/>
      <c r="N5" s="500"/>
      <c r="O5">
        <v>1420101</v>
      </c>
      <c r="P5" t="s">
        <v>263</v>
      </c>
      <c r="Q5" t="s">
        <v>264</v>
      </c>
      <c r="R5"/>
      <c r="S5">
        <v>34</v>
      </c>
      <c r="T5">
        <v>53</v>
      </c>
      <c r="U5">
        <v>60</v>
      </c>
      <c r="V5">
        <v>57</v>
      </c>
      <c r="W5">
        <v>41</v>
      </c>
      <c r="X5">
        <v>26</v>
      </c>
      <c r="Y5">
        <v>0</v>
      </c>
      <c r="Z5">
        <f t="shared" ref="Z5:Z68" si="5">SUM(S5:Y5)</f>
        <v>271</v>
      </c>
      <c r="AA5" s="500"/>
      <c r="AB5" s="74">
        <v>1420101</v>
      </c>
      <c r="AC5" s="74" t="s">
        <v>263</v>
      </c>
      <c r="AD5" s="74" t="s">
        <v>264</v>
      </c>
      <c r="AE5"/>
      <c r="AF5" s="74">
        <v>34</v>
      </c>
      <c r="AG5" s="74">
        <v>53</v>
      </c>
      <c r="AH5" s="74">
        <v>60</v>
      </c>
      <c r="AI5" s="74">
        <v>57</v>
      </c>
      <c r="AJ5" s="74">
        <v>41</v>
      </c>
      <c r="AK5" s="74">
        <v>26</v>
      </c>
      <c r="AL5" s="74">
        <v>0</v>
      </c>
      <c r="AM5" s="74">
        <f t="shared" si="1"/>
        <v>271</v>
      </c>
      <c r="AO5" s="74">
        <v>1420101</v>
      </c>
      <c r="AP5" s="74" t="s">
        <v>263</v>
      </c>
      <c r="AQ5" s="74" t="s">
        <v>264</v>
      </c>
      <c r="AR5" s="74"/>
      <c r="AS5" s="74">
        <v>34</v>
      </c>
      <c r="AT5" s="74">
        <v>53</v>
      </c>
      <c r="AU5" s="74">
        <v>60</v>
      </c>
      <c r="AV5" s="74">
        <v>57</v>
      </c>
      <c r="AW5" s="74">
        <v>41</v>
      </c>
      <c r="AX5" s="74">
        <v>26</v>
      </c>
      <c r="AY5" s="74">
        <v>0</v>
      </c>
      <c r="AZ5" s="74">
        <f t="shared" ref="AZ5:AZ68" si="6">SUM(AS5:AY5)</f>
        <v>271</v>
      </c>
      <c r="BB5" s="74">
        <v>1420101</v>
      </c>
      <c r="BC5" s="74" t="s">
        <v>263</v>
      </c>
      <c r="BD5" s="74" t="s">
        <v>264</v>
      </c>
      <c r="BE5" s="74"/>
      <c r="BF5" s="74">
        <v>33</v>
      </c>
      <c r="BG5" s="74">
        <v>50</v>
      </c>
      <c r="BH5" s="74">
        <v>57</v>
      </c>
      <c r="BI5" s="74">
        <v>55</v>
      </c>
      <c r="BJ5" s="74">
        <v>40</v>
      </c>
      <c r="BK5" s="74">
        <v>26</v>
      </c>
      <c r="BL5" s="74">
        <v>0</v>
      </c>
      <c r="BM5" s="74">
        <v>261</v>
      </c>
      <c r="BO5" s="74">
        <v>1420101</v>
      </c>
      <c r="BP5" s="74" t="s">
        <v>263</v>
      </c>
      <c r="BQ5" s="74" t="s">
        <v>264</v>
      </c>
      <c r="BR5" s="74"/>
      <c r="BS5" s="74">
        <v>33</v>
      </c>
      <c r="BT5" s="74">
        <v>50</v>
      </c>
      <c r="BU5" s="74">
        <v>57</v>
      </c>
      <c r="BV5" s="74">
        <v>55</v>
      </c>
      <c r="BW5" s="74">
        <v>40</v>
      </c>
      <c r="BX5" s="74">
        <v>26</v>
      </c>
      <c r="BY5" s="74">
        <v>0</v>
      </c>
      <c r="BZ5" s="74">
        <f t="shared" ref="BZ5:BZ69" si="7">SUM(BS5:BY5)</f>
        <v>261</v>
      </c>
      <c r="CB5" s="74">
        <v>1420101</v>
      </c>
      <c r="CC5" s="74" t="s">
        <v>263</v>
      </c>
      <c r="CD5" s="74" t="s">
        <v>264</v>
      </c>
      <c r="CE5" s="74"/>
      <c r="CF5" s="74">
        <v>33</v>
      </c>
      <c r="CG5" s="74">
        <v>50</v>
      </c>
      <c r="CH5" s="74">
        <v>57</v>
      </c>
      <c r="CI5" s="74">
        <v>55</v>
      </c>
      <c r="CJ5" s="74">
        <v>40</v>
      </c>
      <c r="CK5" s="74">
        <v>26</v>
      </c>
      <c r="CL5" s="74">
        <v>0</v>
      </c>
      <c r="CM5" s="74">
        <f t="shared" si="2"/>
        <v>261</v>
      </c>
      <c r="CO5" s="74">
        <v>1420101</v>
      </c>
      <c r="CP5" s="74" t="s">
        <v>263</v>
      </c>
      <c r="CQ5" s="74" t="s">
        <v>264</v>
      </c>
      <c r="CR5" s="74"/>
      <c r="CS5" s="74">
        <v>33</v>
      </c>
      <c r="CT5" s="74">
        <v>48</v>
      </c>
      <c r="CU5" s="74">
        <v>55</v>
      </c>
      <c r="CV5" s="74">
        <v>52</v>
      </c>
      <c r="CW5" s="74">
        <v>37</v>
      </c>
      <c r="CX5" s="74">
        <v>24</v>
      </c>
      <c r="CY5" s="74">
        <v>0</v>
      </c>
      <c r="CZ5" s="74">
        <v>249</v>
      </c>
      <c r="DB5" s="74">
        <v>1420101</v>
      </c>
      <c r="DC5" s="74" t="s">
        <v>263</v>
      </c>
      <c r="DD5" s="74" t="s">
        <v>264</v>
      </c>
      <c r="DE5" s="74"/>
      <c r="DF5" s="74">
        <v>33</v>
      </c>
      <c r="DG5" s="74">
        <v>48</v>
      </c>
      <c r="DH5" s="74">
        <v>55</v>
      </c>
      <c r="DI5" s="74">
        <v>52</v>
      </c>
      <c r="DJ5" s="74">
        <v>37</v>
      </c>
      <c r="DK5" s="74">
        <v>24</v>
      </c>
      <c r="DL5" s="74">
        <v>0</v>
      </c>
      <c r="DM5" s="74">
        <v>249</v>
      </c>
      <c r="DO5" s="74">
        <v>1420101</v>
      </c>
      <c r="DP5" s="74" t="s">
        <v>263</v>
      </c>
      <c r="DQ5" s="74" t="s">
        <v>264</v>
      </c>
      <c r="DR5" s="74"/>
      <c r="DS5" s="74">
        <v>30</v>
      </c>
      <c r="DT5" s="74">
        <v>44</v>
      </c>
      <c r="DU5" s="74">
        <v>51</v>
      </c>
      <c r="DV5" s="74">
        <v>49</v>
      </c>
      <c r="DW5" s="74">
        <v>35</v>
      </c>
      <c r="DX5" s="74">
        <v>24</v>
      </c>
      <c r="DY5" s="74">
        <v>0</v>
      </c>
      <c r="DZ5" s="74">
        <v>233</v>
      </c>
      <c r="EA5" s="74"/>
      <c r="EB5" s="74">
        <v>1420101</v>
      </c>
      <c r="EC5" s="74" t="s">
        <v>263</v>
      </c>
      <c r="ED5" s="74" t="s">
        <v>264</v>
      </c>
      <c r="EE5" s="74"/>
      <c r="EF5" s="74">
        <v>30</v>
      </c>
      <c r="EG5" s="74">
        <v>44</v>
      </c>
      <c r="EH5" s="74">
        <v>51</v>
      </c>
      <c r="EI5" s="74">
        <v>49</v>
      </c>
      <c r="EJ5" s="74">
        <v>35</v>
      </c>
      <c r="EK5" s="74">
        <v>24</v>
      </c>
      <c r="EL5" s="74">
        <v>0</v>
      </c>
      <c r="EM5" s="74">
        <v>233</v>
      </c>
      <c r="EO5" s="74">
        <v>1420101</v>
      </c>
      <c r="EP5" s="74" t="s">
        <v>263</v>
      </c>
      <c r="EQ5" s="74" t="s">
        <v>264</v>
      </c>
      <c r="ER5" s="74"/>
      <c r="ES5" s="74">
        <v>28</v>
      </c>
      <c r="ET5" s="74">
        <v>41</v>
      </c>
      <c r="EU5" s="74">
        <v>48</v>
      </c>
      <c r="EV5" s="74">
        <v>46</v>
      </c>
      <c r="EW5" s="74">
        <v>33</v>
      </c>
      <c r="EX5" s="74">
        <v>23</v>
      </c>
      <c r="EY5" s="74">
        <v>0</v>
      </c>
      <c r="EZ5" s="74">
        <v>219</v>
      </c>
      <c r="FB5" s="74">
        <v>1420101</v>
      </c>
      <c r="FC5" s="74" t="s">
        <v>263</v>
      </c>
      <c r="FD5" s="74" t="s">
        <v>264</v>
      </c>
      <c r="FE5" s="74"/>
      <c r="FF5" s="74">
        <v>26</v>
      </c>
      <c r="FG5" s="74">
        <v>36</v>
      </c>
      <c r="FH5" s="74">
        <v>43</v>
      </c>
      <c r="FI5" s="74">
        <v>41</v>
      </c>
      <c r="FJ5" s="74">
        <v>30</v>
      </c>
      <c r="FK5" s="74">
        <v>21</v>
      </c>
      <c r="FL5" s="74">
        <v>0</v>
      </c>
      <c r="FM5" s="74">
        <v>197</v>
      </c>
      <c r="FO5" s="74">
        <v>1420101</v>
      </c>
      <c r="FP5" s="74" t="s">
        <v>263</v>
      </c>
      <c r="FQ5" s="74" t="s">
        <v>264</v>
      </c>
      <c r="FR5" s="74"/>
      <c r="FS5" s="74">
        <v>26</v>
      </c>
      <c r="FT5" s="74">
        <v>36</v>
      </c>
      <c r="FU5" s="74">
        <v>43</v>
      </c>
      <c r="FV5" s="74">
        <v>41</v>
      </c>
      <c r="FW5" s="74">
        <v>30</v>
      </c>
      <c r="FX5" s="74">
        <v>21</v>
      </c>
      <c r="FY5" s="74">
        <v>0</v>
      </c>
      <c r="FZ5" s="74">
        <v>197</v>
      </c>
      <c r="GB5" s="74">
        <v>1420101</v>
      </c>
      <c r="GC5" s="74" t="s">
        <v>263</v>
      </c>
      <c r="GD5" s="74" t="s">
        <v>264</v>
      </c>
      <c r="GE5" s="74"/>
      <c r="GF5" s="74">
        <v>21</v>
      </c>
      <c r="GG5" s="74">
        <v>27</v>
      </c>
      <c r="GH5" s="74">
        <v>32</v>
      </c>
      <c r="GI5" s="74">
        <v>31</v>
      </c>
      <c r="GJ5" s="74">
        <v>24</v>
      </c>
      <c r="GK5" s="74">
        <v>18</v>
      </c>
      <c r="GL5" s="74">
        <v>0</v>
      </c>
      <c r="GM5" s="74">
        <v>153</v>
      </c>
      <c r="GO5" s="432">
        <v>1420101</v>
      </c>
      <c r="GP5" s="74" t="s">
        <v>263</v>
      </c>
      <c r="GQ5" s="74" t="s">
        <v>264</v>
      </c>
      <c r="GR5" s="74"/>
      <c r="GS5" s="74">
        <v>18</v>
      </c>
      <c r="GT5" s="74">
        <v>22</v>
      </c>
      <c r="GU5" s="74">
        <v>25</v>
      </c>
      <c r="GV5" s="74">
        <v>25</v>
      </c>
      <c r="GW5" s="74">
        <v>20</v>
      </c>
      <c r="GX5" s="74">
        <v>15</v>
      </c>
      <c r="GY5" s="74">
        <v>0</v>
      </c>
      <c r="GZ5" s="74">
        <f t="shared" si="3"/>
        <v>125</v>
      </c>
    </row>
    <row r="6" spans="1:326">
      <c r="A6" s="477">
        <v>1420160</v>
      </c>
      <c r="B6" s="478" t="s">
        <v>11</v>
      </c>
      <c r="C6" s="478">
        <v>21</v>
      </c>
      <c r="D6" s="478">
        <v>38</v>
      </c>
      <c r="E6" s="478">
        <v>42</v>
      </c>
      <c r="F6" s="478">
        <v>40</v>
      </c>
      <c r="G6" s="478">
        <v>31</v>
      </c>
      <c r="H6" s="478">
        <v>22</v>
      </c>
      <c r="I6" s="478"/>
      <c r="J6" s="479">
        <f t="shared" si="4"/>
        <v>194</v>
      </c>
      <c r="K6" s="480">
        <f>'CORTE 4200'!$O$34</f>
        <v>-18</v>
      </c>
      <c r="L6" s="480"/>
      <c r="M6" s="481"/>
      <c r="N6" s="500"/>
      <c r="O6">
        <v>1420160</v>
      </c>
      <c r="P6" t="s">
        <v>263</v>
      </c>
      <c r="Q6" t="s">
        <v>264</v>
      </c>
      <c r="R6"/>
      <c r="S6">
        <v>21</v>
      </c>
      <c r="T6">
        <v>38</v>
      </c>
      <c r="U6">
        <v>42</v>
      </c>
      <c r="V6">
        <v>40</v>
      </c>
      <c r="W6">
        <v>31</v>
      </c>
      <c r="X6">
        <v>22</v>
      </c>
      <c r="Y6">
        <v>0</v>
      </c>
      <c r="Z6">
        <f t="shared" si="5"/>
        <v>194</v>
      </c>
      <c r="AA6" s="500"/>
      <c r="AB6" s="74">
        <v>1420160</v>
      </c>
      <c r="AC6" s="74" t="s">
        <v>263</v>
      </c>
      <c r="AD6" s="74" t="s">
        <v>264</v>
      </c>
      <c r="AE6"/>
      <c r="AF6" s="74">
        <v>21</v>
      </c>
      <c r="AG6" s="74">
        <v>38</v>
      </c>
      <c r="AH6" s="74">
        <v>42</v>
      </c>
      <c r="AI6" s="74">
        <v>40</v>
      </c>
      <c r="AJ6" s="74">
        <v>31</v>
      </c>
      <c r="AK6" s="74">
        <v>22</v>
      </c>
      <c r="AL6" s="74">
        <v>0</v>
      </c>
      <c r="AM6" s="74">
        <f t="shared" si="1"/>
        <v>194</v>
      </c>
      <c r="AO6" s="74">
        <v>1420160</v>
      </c>
      <c r="AP6" s="74" t="s">
        <v>263</v>
      </c>
      <c r="AQ6" s="74" t="s">
        <v>264</v>
      </c>
      <c r="AR6" s="74"/>
      <c r="AS6" s="74">
        <v>21</v>
      </c>
      <c r="AT6" s="74">
        <v>36</v>
      </c>
      <c r="AU6" s="74">
        <v>40</v>
      </c>
      <c r="AV6" s="74">
        <v>38</v>
      </c>
      <c r="AW6" s="74">
        <v>29</v>
      </c>
      <c r="AX6" s="74">
        <v>20</v>
      </c>
      <c r="AY6" s="74">
        <v>0</v>
      </c>
      <c r="AZ6" s="74">
        <f t="shared" si="6"/>
        <v>184</v>
      </c>
      <c r="BB6" s="74">
        <v>1420160</v>
      </c>
      <c r="BC6" s="74" t="s">
        <v>263</v>
      </c>
      <c r="BD6" s="74" t="s">
        <v>264</v>
      </c>
      <c r="BE6" s="74"/>
      <c r="BF6" s="74">
        <v>21</v>
      </c>
      <c r="BG6" s="74">
        <v>36</v>
      </c>
      <c r="BH6" s="74">
        <v>40</v>
      </c>
      <c r="BI6" s="74">
        <v>38</v>
      </c>
      <c r="BJ6" s="74">
        <v>29</v>
      </c>
      <c r="BK6" s="74">
        <v>20</v>
      </c>
      <c r="BL6" s="74">
        <v>0</v>
      </c>
      <c r="BM6" s="74">
        <f t="shared" ref="BM6:BM69" si="8">SUM(BF6:BL6)</f>
        <v>184</v>
      </c>
      <c r="BO6" s="74">
        <v>1420160</v>
      </c>
      <c r="BP6" s="74" t="s">
        <v>263</v>
      </c>
      <c r="BQ6" s="74" t="s">
        <v>264</v>
      </c>
      <c r="BR6" s="74"/>
      <c r="BS6" s="74">
        <v>21</v>
      </c>
      <c r="BT6" s="74">
        <v>36</v>
      </c>
      <c r="BU6" s="74">
        <v>40</v>
      </c>
      <c r="BV6" s="74">
        <v>38</v>
      </c>
      <c r="BW6" s="74">
        <v>29</v>
      </c>
      <c r="BX6" s="74">
        <v>20</v>
      </c>
      <c r="BY6" s="74">
        <v>0</v>
      </c>
      <c r="BZ6" s="74">
        <f t="shared" si="7"/>
        <v>184</v>
      </c>
      <c r="CB6" s="74">
        <v>1420160</v>
      </c>
      <c r="CC6" s="74" t="s">
        <v>263</v>
      </c>
      <c r="CD6" s="74" t="s">
        <v>264</v>
      </c>
      <c r="CE6" s="74"/>
      <c r="CF6" s="74">
        <v>19</v>
      </c>
      <c r="CG6" s="74">
        <v>33</v>
      </c>
      <c r="CH6" s="74">
        <v>37</v>
      </c>
      <c r="CI6" s="74">
        <v>36</v>
      </c>
      <c r="CJ6" s="74">
        <v>27</v>
      </c>
      <c r="CK6" s="74">
        <v>19</v>
      </c>
      <c r="CL6" s="74">
        <v>0</v>
      </c>
      <c r="CM6" s="74">
        <f t="shared" si="2"/>
        <v>171</v>
      </c>
      <c r="CO6" s="74">
        <v>1420160</v>
      </c>
      <c r="CP6" s="74" t="s">
        <v>263</v>
      </c>
      <c r="CQ6" s="74" t="s">
        <v>264</v>
      </c>
      <c r="CR6" s="74"/>
      <c r="CS6" s="74">
        <v>19</v>
      </c>
      <c r="CT6" s="74">
        <v>33</v>
      </c>
      <c r="CU6" s="74">
        <v>37</v>
      </c>
      <c r="CV6" s="74">
        <v>36</v>
      </c>
      <c r="CW6" s="74">
        <v>27</v>
      </c>
      <c r="CX6" s="74">
        <v>19</v>
      </c>
      <c r="CY6" s="74">
        <v>0</v>
      </c>
      <c r="CZ6" s="74">
        <v>171</v>
      </c>
      <c r="DB6" s="74">
        <v>1420160</v>
      </c>
      <c r="DC6" s="74" t="s">
        <v>263</v>
      </c>
      <c r="DD6" s="74" t="s">
        <v>264</v>
      </c>
      <c r="DE6" s="74"/>
      <c r="DF6" s="74">
        <v>19</v>
      </c>
      <c r="DG6" s="74">
        <v>33</v>
      </c>
      <c r="DH6" s="74">
        <v>37</v>
      </c>
      <c r="DI6" s="74">
        <v>36</v>
      </c>
      <c r="DJ6" s="74">
        <v>27</v>
      </c>
      <c r="DK6" s="74">
        <v>19</v>
      </c>
      <c r="DL6" s="74">
        <v>0</v>
      </c>
      <c r="DM6" s="74">
        <v>171</v>
      </c>
      <c r="DO6" s="74">
        <v>1420160</v>
      </c>
      <c r="DP6" s="74" t="s">
        <v>263</v>
      </c>
      <c r="DQ6" s="74" t="s">
        <v>264</v>
      </c>
      <c r="DR6" s="74"/>
      <c r="DS6" s="74">
        <v>19</v>
      </c>
      <c r="DT6" s="74">
        <v>32</v>
      </c>
      <c r="DU6" s="74">
        <v>36</v>
      </c>
      <c r="DV6" s="74">
        <v>35</v>
      </c>
      <c r="DW6" s="74">
        <v>27</v>
      </c>
      <c r="DX6" s="74">
        <v>19</v>
      </c>
      <c r="DY6" s="74">
        <v>0</v>
      </c>
      <c r="DZ6" s="74">
        <v>168</v>
      </c>
      <c r="EA6" s="74"/>
      <c r="EB6" s="74">
        <v>1420160</v>
      </c>
      <c r="EC6" s="74" t="s">
        <v>263</v>
      </c>
      <c r="ED6" s="74" t="s">
        <v>264</v>
      </c>
      <c r="EE6" s="74"/>
      <c r="EF6" s="74">
        <v>19</v>
      </c>
      <c r="EG6" s="74">
        <v>32</v>
      </c>
      <c r="EH6" s="74">
        <v>36</v>
      </c>
      <c r="EI6" s="74">
        <v>35</v>
      </c>
      <c r="EJ6" s="74">
        <v>27</v>
      </c>
      <c r="EK6" s="74">
        <v>19</v>
      </c>
      <c r="EL6" s="74">
        <v>0</v>
      </c>
      <c r="EM6" s="74">
        <v>168</v>
      </c>
      <c r="EO6" s="74">
        <v>1420160</v>
      </c>
      <c r="EP6" s="74" t="s">
        <v>263</v>
      </c>
      <c r="EQ6" s="74" t="s">
        <v>264</v>
      </c>
      <c r="ER6" s="74"/>
      <c r="ES6" s="74">
        <v>17</v>
      </c>
      <c r="ET6" s="74">
        <v>29</v>
      </c>
      <c r="EU6" s="74">
        <v>33</v>
      </c>
      <c r="EV6" s="74">
        <v>32</v>
      </c>
      <c r="EW6" s="74">
        <v>25</v>
      </c>
      <c r="EX6" s="74">
        <v>18</v>
      </c>
      <c r="EY6" s="74">
        <v>0</v>
      </c>
      <c r="EZ6" s="74">
        <v>154</v>
      </c>
      <c r="FB6" s="74">
        <v>1420160</v>
      </c>
      <c r="FC6" s="74" t="s">
        <v>263</v>
      </c>
      <c r="FD6" s="74" t="s">
        <v>264</v>
      </c>
      <c r="FE6" s="74"/>
      <c r="FF6" s="74">
        <v>13</v>
      </c>
      <c r="FG6" s="74">
        <v>22</v>
      </c>
      <c r="FH6" s="74">
        <v>26</v>
      </c>
      <c r="FI6" s="74">
        <v>25</v>
      </c>
      <c r="FJ6" s="74">
        <v>19</v>
      </c>
      <c r="FK6" s="74">
        <v>14</v>
      </c>
      <c r="FL6" s="74">
        <v>0</v>
      </c>
      <c r="FM6" s="74">
        <v>119</v>
      </c>
      <c r="FO6" s="74">
        <v>1420160</v>
      </c>
      <c r="FP6" s="74" t="s">
        <v>263</v>
      </c>
      <c r="FQ6" s="74" t="s">
        <v>264</v>
      </c>
      <c r="FR6" s="74"/>
      <c r="FS6" s="74">
        <v>13</v>
      </c>
      <c r="FT6" s="74">
        <v>22</v>
      </c>
      <c r="FU6" s="74">
        <v>26</v>
      </c>
      <c r="FV6" s="74">
        <v>25</v>
      </c>
      <c r="FW6" s="74">
        <v>19</v>
      </c>
      <c r="FX6" s="74">
        <v>14</v>
      </c>
      <c r="FY6" s="74">
        <v>0</v>
      </c>
      <c r="FZ6" s="74">
        <v>119</v>
      </c>
      <c r="GB6" s="74">
        <v>1420160</v>
      </c>
      <c r="GC6" s="74" t="s">
        <v>263</v>
      </c>
      <c r="GD6" s="74" t="s">
        <v>264</v>
      </c>
      <c r="GE6" s="74"/>
      <c r="GF6" s="74">
        <v>9</v>
      </c>
      <c r="GG6" s="74">
        <v>14</v>
      </c>
      <c r="GH6" s="74">
        <v>19</v>
      </c>
      <c r="GI6" s="74">
        <v>19</v>
      </c>
      <c r="GJ6" s="74">
        <v>15</v>
      </c>
      <c r="GK6" s="74">
        <v>11</v>
      </c>
      <c r="GL6" s="74">
        <v>0</v>
      </c>
      <c r="GM6" s="74">
        <v>87</v>
      </c>
      <c r="GO6" s="432">
        <v>1420160</v>
      </c>
      <c r="GP6" s="74" t="s">
        <v>263</v>
      </c>
      <c r="GQ6" s="74" t="s">
        <v>264</v>
      </c>
      <c r="GR6" s="74"/>
      <c r="GS6" s="74">
        <v>9</v>
      </c>
      <c r="GT6" s="74">
        <v>14</v>
      </c>
      <c r="GU6" s="74">
        <v>19</v>
      </c>
      <c r="GV6" s="74">
        <v>19</v>
      </c>
      <c r="GW6" s="74">
        <v>15</v>
      </c>
      <c r="GX6" s="74">
        <v>11</v>
      </c>
      <c r="GY6" s="74">
        <v>0</v>
      </c>
      <c r="GZ6" s="74">
        <f t="shared" si="3"/>
        <v>87</v>
      </c>
    </row>
    <row r="7" spans="1:326">
      <c r="A7" s="478">
        <v>1420200</v>
      </c>
      <c r="B7" s="478" t="s">
        <v>11</v>
      </c>
      <c r="C7" s="478">
        <v>85</v>
      </c>
      <c r="D7" s="478">
        <v>181</v>
      </c>
      <c r="E7" s="478">
        <v>196</v>
      </c>
      <c r="F7" s="478">
        <v>188</v>
      </c>
      <c r="G7" s="478">
        <v>127</v>
      </c>
      <c r="H7" s="478">
        <v>99</v>
      </c>
      <c r="I7" s="478"/>
      <c r="J7" s="479">
        <f>SUM(C7:H7)</f>
        <v>876</v>
      </c>
      <c r="K7" s="480">
        <f>'CORTE 4200'!$O$43</f>
        <v>-35</v>
      </c>
      <c r="L7" s="480">
        <v>50</v>
      </c>
      <c r="M7" s="481"/>
      <c r="N7" s="500"/>
      <c r="O7">
        <v>1420200</v>
      </c>
      <c r="P7" t="s">
        <v>265</v>
      </c>
      <c r="Q7" t="s">
        <v>264</v>
      </c>
      <c r="R7"/>
      <c r="S7">
        <v>85</v>
      </c>
      <c r="T7">
        <v>181</v>
      </c>
      <c r="U7">
        <v>196</v>
      </c>
      <c r="V7">
        <v>188</v>
      </c>
      <c r="W7">
        <v>127</v>
      </c>
      <c r="X7">
        <v>99</v>
      </c>
      <c r="Y7">
        <v>0</v>
      </c>
      <c r="Z7">
        <f t="shared" si="5"/>
        <v>876</v>
      </c>
      <c r="AA7" s="500"/>
      <c r="AB7" s="74">
        <v>1420200</v>
      </c>
      <c r="AC7" s="74" t="s">
        <v>265</v>
      </c>
      <c r="AD7" s="74" t="s">
        <v>264</v>
      </c>
      <c r="AE7"/>
      <c r="AF7" s="74">
        <v>84</v>
      </c>
      <c r="AG7" s="74">
        <v>178</v>
      </c>
      <c r="AH7" s="74">
        <v>193</v>
      </c>
      <c r="AI7" s="74">
        <v>185</v>
      </c>
      <c r="AJ7" s="74">
        <v>126</v>
      </c>
      <c r="AK7" s="74">
        <v>98</v>
      </c>
      <c r="AL7" s="74">
        <v>0</v>
      </c>
      <c r="AM7" s="74">
        <f t="shared" si="1"/>
        <v>864</v>
      </c>
      <c r="AO7" s="74">
        <v>1420200</v>
      </c>
      <c r="AP7" s="74" t="s">
        <v>265</v>
      </c>
      <c r="AQ7" s="74" t="s">
        <v>264</v>
      </c>
      <c r="AR7" s="74"/>
      <c r="AS7" s="74">
        <v>84</v>
      </c>
      <c r="AT7" s="74">
        <v>176</v>
      </c>
      <c r="AU7" s="74">
        <v>191</v>
      </c>
      <c r="AV7" s="74">
        <v>183</v>
      </c>
      <c r="AW7" s="74">
        <v>124</v>
      </c>
      <c r="AX7" s="74">
        <v>96</v>
      </c>
      <c r="AY7" s="74">
        <v>0</v>
      </c>
      <c r="AZ7" s="74">
        <f t="shared" si="6"/>
        <v>854</v>
      </c>
      <c r="BB7" s="74">
        <v>1420200</v>
      </c>
      <c r="BC7" s="74" t="s">
        <v>265</v>
      </c>
      <c r="BD7" s="74" t="s">
        <v>264</v>
      </c>
      <c r="BE7" s="74"/>
      <c r="BF7" s="74">
        <v>74</v>
      </c>
      <c r="BG7" s="74">
        <v>159</v>
      </c>
      <c r="BH7" s="74">
        <v>173</v>
      </c>
      <c r="BI7" s="74">
        <v>167</v>
      </c>
      <c r="BJ7" s="74">
        <v>119</v>
      </c>
      <c r="BK7" s="74">
        <v>92</v>
      </c>
      <c r="BL7" s="74">
        <v>0</v>
      </c>
      <c r="BM7" s="74">
        <f t="shared" si="8"/>
        <v>784</v>
      </c>
      <c r="BO7" s="74">
        <v>1420200</v>
      </c>
      <c r="BP7" s="74" t="s">
        <v>265</v>
      </c>
      <c r="BQ7" s="74" t="s">
        <v>264</v>
      </c>
      <c r="BR7" s="74"/>
      <c r="BS7" s="74">
        <v>72</v>
      </c>
      <c r="BT7" s="74">
        <v>156</v>
      </c>
      <c r="BU7" s="74">
        <v>170</v>
      </c>
      <c r="BV7" s="74">
        <v>165</v>
      </c>
      <c r="BW7" s="74">
        <v>118</v>
      </c>
      <c r="BX7" s="74">
        <v>92</v>
      </c>
      <c r="BY7" s="74">
        <v>0</v>
      </c>
      <c r="BZ7" s="74">
        <f t="shared" si="7"/>
        <v>773</v>
      </c>
      <c r="CB7" s="74">
        <v>1420200</v>
      </c>
      <c r="CC7" s="74" t="s">
        <v>265</v>
      </c>
      <c r="CD7" s="74" t="s">
        <v>264</v>
      </c>
      <c r="CE7" s="74"/>
      <c r="CF7" s="74">
        <v>68</v>
      </c>
      <c r="CG7" s="74">
        <v>151</v>
      </c>
      <c r="CH7" s="74">
        <v>165</v>
      </c>
      <c r="CI7" s="74">
        <v>160</v>
      </c>
      <c r="CJ7" s="74">
        <v>114</v>
      </c>
      <c r="CK7" s="74">
        <v>90</v>
      </c>
      <c r="CL7" s="74">
        <v>0</v>
      </c>
      <c r="CM7" s="74">
        <f t="shared" si="2"/>
        <v>748</v>
      </c>
      <c r="CO7" s="74">
        <v>1420200</v>
      </c>
      <c r="CP7" s="74" t="s">
        <v>265</v>
      </c>
      <c r="CQ7" s="74" t="s">
        <v>264</v>
      </c>
      <c r="CR7" s="74"/>
      <c r="CS7" s="74">
        <v>67</v>
      </c>
      <c r="CT7" s="74">
        <v>145</v>
      </c>
      <c r="CU7" s="74">
        <v>159</v>
      </c>
      <c r="CV7" s="74">
        <v>154</v>
      </c>
      <c r="CW7" s="74">
        <v>110</v>
      </c>
      <c r="CX7" s="74">
        <v>88</v>
      </c>
      <c r="CY7" s="74">
        <v>0</v>
      </c>
      <c r="CZ7" s="74">
        <v>723</v>
      </c>
      <c r="DB7" s="74">
        <v>1420200</v>
      </c>
      <c r="DC7" s="74" t="s">
        <v>265</v>
      </c>
      <c r="DD7" s="74" t="s">
        <v>264</v>
      </c>
      <c r="DE7" s="74"/>
      <c r="DF7" s="74">
        <v>63</v>
      </c>
      <c r="DG7" s="74">
        <v>138</v>
      </c>
      <c r="DH7" s="74">
        <v>148</v>
      </c>
      <c r="DI7" s="74">
        <v>141</v>
      </c>
      <c r="DJ7" s="74">
        <v>98</v>
      </c>
      <c r="DK7" s="74">
        <v>79</v>
      </c>
      <c r="DL7" s="74">
        <v>0</v>
      </c>
      <c r="DM7" s="74">
        <v>667</v>
      </c>
      <c r="DO7" s="74">
        <v>1420200</v>
      </c>
      <c r="DP7" s="74" t="s">
        <v>265</v>
      </c>
      <c r="DQ7" s="74" t="s">
        <v>264</v>
      </c>
      <c r="DR7" s="74"/>
      <c r="DS7" s="74">
        <v>56</v>
      </c>
      <c r="DT7" s="74">
        <v>123</v>
      </c>
      <c r="DU7" s="74">
        <v>128</v>
      </c>
      <c r="DV7" s="74">
        <v>126</v>
      </c>
      <c r="DW7" s="74">
        <v>87</v>
      </c>
      <c r="DX7" s="74">
        <v>73</v>
      </c>
      <c r="DY7" s="74">
        <v>0</v>
      </c>
      <c r="DZ7" s="74">
        <v>593</v>
      </c>
      <c r="EA7" s="74"/>
      <c r="EB7" s="74">
        <v>1420200</v>
      </c>
      <c r="EC7" s="74" t="s">
        <v>265</v>
      </c>
      <c r="ED7" s="74" t="s">
        <v>264</v>
      </c>
      <c r="EE7" s="74"/>
      <c r="EF7" s="74">
        <v>53</v>
      </c>
      <c r="EG7" s="74">
        <v>117</v>
      </c>
      <c r="EH7" s="74">
        <v>123</v>
      </c>
      <c r="EI7" s="74">
        <v>121</v>
      </c>
      <c r="EJ7" s="74">
        <v>83</v>
      </c>
      <c r="EK7" s="74">
        <v>70</v>
      </c>
      <c r="EL7" s="74">
        <v>0</v>
      </c>
      <c r="EM7" s="74">
        <v>567</v>
      </c>
      <c r="EO7" s="74">
        <v>1420200</v>
      </c>
      <c r="EP7" s="74" t="s">
        <v>265</v>
      </c>
      <c r="EQ7" s="74" t="s">
        <v>264</v>
      </c>
      <c r="ER7" s="74"/>
      <c r="ES7" s="74">
        <v>50</v>
      </c>
      <c r="ET7" s="74">
        <v>112</v>
      </c>
      <c r="EU7" s="74">
        <v>118</v>
      </c>
      <c r="EV7" s="74">
        <v>116</v>
      </c>
      <c r="EW7" s="74">
        <v>80</v>
      </c>
      <c r="EX7" s="74">
        <v>68</v>
      </c>
      <c r="EY7" s="74">
        <v>0</v>
      </c>
      <c r="EZ7" s="74">
        <v>544</v>
      </c>
      <c r="FB7" s="74">
        <v>1420200</v>
      </c>
      <c r="FC7" s="74" t="s">
        <v>265</v>
      </c>
      <c r="FD7" s="74" t="s">
        <v>264</v>
      </c>
      <c r="FE7" s="74"/>
      <c r="FF7" s="74">
        <v>41</v>
      </c>
      <c r="FG7" s="74">
        <v>97</v>
      </c>
      <c r="FH7" s="74">
        <v>103</v>
      </c>
      <c r="FI7" s="74">
        <v>101</v>
      </c>
      <c r="FJ7" s="74">
        <v>69</v>
      </c>
      <c r="FK7" s="74">
        <v>61</v>
      </c>
      <c r="FL7" s="74">
        <v>0</v>
      </c>
      <c r="FM7" s="74">
        <v>472</v>
      </c>
      <c r="FO7" s="74">
        <v>1420200</v>
      </c>
      <c r="FP7" s="74" t="s">
        <v>265</v>
      </c>
      <c r="FQ7" s="74" t="s">
        <v>264</v>
      </c>
      <c r="FR7" s="74"/>
      <c r="FS7" s="74">
        <v>39</v>
      </c>
      <c r="FT7" s="74">
        <v>91</v>
      </c>
      <c r="FU7" s="74">
        <v>97</v>
      </c>
      <c r="FV7" s="74">
        <v>95</v>
      </c>
      <c r="FW7" s="74">
        <v>65</v>
      </c>
      <c r="FX7" s="74">
        <v>57</v>
      </c>
      <c r="FY7" s="74">
        <v>0</v>
      </c>
      <c r="FZ7" s="74">
        <v>444</v>
      </c>
      <c r="GB7" s="74">
        <v>1420200</v>
      </c>
      <c r="GC7" s="74" t="s">
        <v>265</v>
      </c>
      <c r="GD7" s="74" t="s">
        <v>264</v>
      </c>
      <c r="GE7" s="74"/>
      <c r="GF7" s="74">
        <v>12</v>
      </c>
      <c r="GG7" s="74">
        <v>21</v>
      </c>
      <c r="GH7" s="74">
        <v>25</v>
      </c>
      <c r="GI7" s="74">
        <v>23</v>
      </c>
      <c r="GJ7" s="74">
        <v>18</v>
      </c>
      <c r="GK7" s="74">
        <v>13</v>
      </c>
      <c r="GL7" s="74">
        <v>0</v>
      </c>
      <c r="GM7" s="74">
        <v>112</v>
      </c>
      <c r="GO7" s="74">
        <v>1420200</v>
      </c>
      <c r="GP7" s="74" t="s">
        <v>265</v>
      </c>
      <c r="GQ7" s="74" t="s">
        <v>264</v>
      </c>
      <c r="GR7" s="74"/>
      <c r="GS7" s="74">
        <v>9</v>
      </c>
      <c r="GT7" s="74">
        <v>16</v>
      </c>
      <c r="GU7" s="74">
        <v>18</v>
      </c>
      <c r="GV7" s="74">
        <v>17</v>
      </c>
      <c r="GW7" s="74">
        <v>14</v>
      </c>
      <c r="GX7" s="74">
        <v>10</v>
      </c>
      <c r="GY7" s="74">
        <v>0</v>
      </c>
      <c r="GZ7" s="74">
        <f t="shared" si="3"/>
        <v>84</v>
      </c>
    </row>
    <row r="8" spans="1:326">
      <c r="A8" s="478">
        <v>1420300</v>
      </c>
      <c r="B8" s="478" t="s">
        <v>36</v>
      </c>
      <c r="C8" s="478">
        <v>4</v>
      </c>
      <c r="D8" s="478">
        <v>9</v>
      </c>
      <c r="E8" s="478">
        <v>9</v>
      </c>
      <c r="F8" s="478">
        <v>7</v>
      </c>
      <c r="G8" s="478">
        <v>2</v>
      </c>
      <c r="H8" s="478">
        <v>1</v>
      </c>
      <c r="I8" s="478"/>
      <c r="J8" s="479">
        <f t="shared" si="4"/>
        <v>32</v>
      </c>
      <c r="K8" s="480">
        <f>'CORTE 4200'!$O$52</f>
        <v>-1</v>
      </c>
      <c r="L8" s="480"/>
      <c r="M8" s="481"/>
      <c r="N8" s="500"/>
      <c r="O8">
        <v>1420300</v>
      </c>
      <c r="P8" t="s">
        <v>266</v>
      </c>
      <c r="Q8" t="s">
        <v>264</v>
      </c>
      <c r="R8"/>
      <c r="S8">
        <v>4</v>
      </c>
      <c r="T8">
        <v>9</v>
      </c>
      <c r="U8">
        <v>9</v>
      </c>
      <c r="V8">
        <v>7</v>
      </c>
      <c r="W8">
        <v>2</v>
      </c>
      <c r="X8">
        <v>1</v>
      </c>
      <c r="Y8">
        <v>0</v>
      </c>
      <c r="Z8">
        <f t="shared" si="5"/>
        <v>32</v>
      </c>
      <c r="AA8" s="500"/>
      <c r="AB8" s="74">
        <v>1420300</v>
      </c>
      <c r="AC8" s="74" t="s">
        <v>266</v>
      </c>
      <c r="AD8" s="74" t="s">
        <v>264</v>
      </c>
      <c r="AE8"/>
      <c r="AF8" s="74">
        <v>4</v>
      </c>
      <c r="AG8" s="74">
        <v>9</v>
      </c>
      <c r="AH8" s="74">
        <v>9</v>
      </c>
      <c r="AI8" s="74">
        <v>7</v>
      </c>
      <c r="AJ8" s="74">
        <v>2</v>
      </c>
      <c r="AK8" s="74">
        <v>1</v>
      </c>
      <c r="AL8" s="74">
        <v>0</v>
      </c>
      <c r="AM8" s="74">
        <f t="shared" si="1"/>
        <v>32</v>
      </c>
      <c r="AO8" s="74">
        <v>1420300</v>
      </c>
      <c r="AP8" s="74" t="s">
        <v>266</v>
      </c>
      <c r="AQ8" s="74" t="s">
        <v>264</v>
      </c>
      <c r="AR8" s="74"/>
      <c r="AS8" s="74">
        <v>4</v>
      </c>
      <c r="AT8" s="74">
        <v>9</v>
      </c>
      <c r="AU8" s="74">
        <v>9</v>
      </c>
      <c r="AV8" s="74">
        <v>7</v>
      </c>
      <c r="AW8" s="74">
        <v>2</v>
      </c>
      <c r="AX8" s="74">
        <v>1</v>
      </c>
      <c r="AY8" s="74">
        <v>0</v>
      </c>
      <c r="AZ8" s="74">
        <f t="shared" si="6"/>
        <v>32</v>
      </c>
      <c r="BB8" s="74">
        <v>1420300</v>
      </c>
      <c r="BC8" s="74" t="s">
        <v>266</v>
      </c>
      <c r="BD8" s="74" t="s">
        <v>264</v>
      </c>
      <c r="BE8" s="74"/>
      <c r="BF8" s="74">
        <v>4</v>
      </c>
      <c r="BG8" s="74">
        <v>9</v>
      </c>
      <c r="BH8" s="74">
        <v>9</v>
      </c>
      <c r="BI8" s="74">
        <v>7</v>
      </c>
      <c r="BJ8" s="74">
        <v>2</v>
      </c>
      <c r="BK8" s="74">
        <v>1</v>
      </c>
      <c r="BL8" s="74">
        <v>0</v>
      </c>
      <c r="BM8" s="74">
        <f t="shared" si="8"/>
        <v>32</v>
      </c>
      <c r="BO8" s="74">
        <v>1420300</v>
      </c>
      <c r="BP8" s="74" t="s">
        <v>266</v>
      </c>
      <c r="BQ8" s="74" t="s">
        <v>264</v>
      </c>
      <c r="BR8" s="74"/>
      <c r="BS8" s="74">
        <v>4</v>
      </c>
      <c r="BT8" s="74">
        <v>9</v>
      </c>
      <c r="BU8" s="74">
        <v>9</v>
      </c>
      <c r="BV8" s="74">
        <v>7</v>
      </c>
      <c r="BW8" s="74">
        <v>2</v>
      </c>
      <c r="BX8" s="74">
        <v>1</v>
      </c>
      <c r="BY8" s="74">
        <v>0</v>
      </c>
      <c r="BZ8" s="74">
        <f t="shared" si="7"/>
        <v>32</v>
      </c>
      <c r="CB8" s="74">
        <v>1420300</v>
      </c>
      <c r="CC8" s="74" t="s">
        <v>266</v>
      </c>
      <c r="CD8" s="74" t="s">
        <v>264</v>
      </c>
      <c r="CE8" s="74"/>
      <c r="CF8" s="74">
        <v>4</v>
      </c>
      <c r="CG8" s="74">
        <v>9</v>
      </c>
      <c r="CH8" s="74">
        <v>9</v>
      </c>
      <c r="CI8" s="74">
        <v>7</v>
      </c>
      <c r="CJ8" s="74">
        <v>2</v>
      </c>
      <c r="CK8" s="74">
        <v>1</v>
      </c>
      <c r="CL8" s="74">
        <v>0</v>
      </c>
      <c r="CM8" s="74">
        <f t="shared" si="2"/>
        <v>32</v>
      </c>
      <c r="CO8" s="74">
        <v>1420300</v>
      </c>
      <c r="CP8" s="74" t="s">
        <v>266</v>
      </c>
      <c r="CQ8" s="74" t="s">
        <v>264</v>
      </c>
      <c r="CR8" s="74"/>
      <c r="CS8" s="74">
        <v>4</v>
      </c>
      <c r="CT8" s="74">
        <v>9</v>
      </c>
      <c r="CU8" s="74">
        <v>9</v>
      </c>
      <c r="CV8" s="74">
        <v>7</v>
      </c>
      <c r="CW8" s="74">
        <v>2</v>
      </c>
      <c r="CX8" s="74">
        <v>1</v>
      </c>
      <c r="CY8" s="74">
        <v>0</v>
      </c>
      <c r="CZ8" s="74">
        <v>32</v>
      </c>
      <c r="DB8" s="74">
        <v>1420300</v>
      </c>
      <c r="DC8" s="74" t="s">
        <v>266</v>
      </c>
      <c r="DD8" s="74" t="s">
        <v>264</v>
      </c>
      <c r="DE8" s="74"/>
      <c r="DF8" s="74">
        <v>4</v>
      </c>
      <c r="DG8" s="74">
        <v>9</v>
      </c>
      <c r="DH8" s="74">
        <v>9</v>
      </c>
      <c r="DI8" s="74">
        <v>7</v>
      </c>
      <c r="DJ8" s="74">
        <v>2</v>
      </c>
      <c r="DK8" s="74">
        <v>1</v>
      </c>
      <c r="DL8" s="74">
        <v>0</v>
      </c>
      <c r="DM8" s="74">
        <v>32</v>
      </c>
      <c r="DO8" s="74">
        <v>1420300</v>
      </c>
      <c r="DP8" s="74" t="s">
        <v>266</v>
      </c>
      <c r="DQ8" s="74" t="s">
        <v>264</v>
      </c>
      <c r="DR8" s="74"/>
      <c r="DS8" s="74">
        <v>4</v>
      </c>
      <c r="DT8" s="74">
        <v>9</v>
      </c>
      <c r="DU8" s="74">
        <v>9</v>
      </c>
      <c r="DV8" s="74">
        <v>7</v>
      </c>
      <c r="DW8" s="74">
        <v>2</v>
      </c>
      <c r="DX8" s="74">
        <v>1</v>
      </c>
      <c r="DY8" s="74">
        <v>0</v>
      </c>
      <c r="DZ8" s="74">
        <v>32</v>
      </c>
      <c r="EA8" s="74"/>
      <c r="EB8" s="74">
        <v>1420300</v>
      </c>
      <c r="EC8" s="74" t="s">
        <v>266</v>
      </c>
      <c r="ED8" s="74" t="s">
        <v>264</v>
      </c>
      <c r="EE8" s="74"/>
      <c r="EF8" s="74">
        <v>4</v>
      </c>
      <c r="EG8" s="74">
        <v>9</v>
      </c>
      <c r="EH8" s="74">
        <v>9</v>
      </c>
      <c r="EI8" s="74">
        <v>7</v>
      </c>
      <c r="EJ8" s="74">
        <v>2</v>
      </c>
      <c r="EK8" s="74">
        <v>1</v>
      </c>
      <c r="EL8" s="74">
        <v>0</v>
      </c>
      <c r="EM8" s="74">
        <v>32</v>
      </c>
      <c r="EO8" s="74">
        <v>1420300</v>
      </c>
      <c r="EP8" s="74" t="s">
        <v>266</v>
      </c>
      <c r="EQ8" s="74" t="s">
        <v>264</v>
      </c>
      <c r="ER8" s="74"/>
      <c r="ES8" s="74">
        <v>4</v>
      </c>
      <c r="ET8" s="74">
        <v>9</v>
      </c>
      <c r="EU8" s="74">
        <v>9</v>
      </c>
      <c r="EV8" s="74">
        <v>7</v>
      </c>
      <c r="EW8" s="74">
        <v>2</v>
      </c>
      <c r="EX8" s="74">
        <v>1</v>
      </c>
      <c r="EY8" s="74">
        <v>0</v>
      </c>
      <c r="EZ8" s="74">
        <v>32</v>
      </c>
      <c r="FB8" s="74">
        <v>1420300</v>
      </c>
      <c r="FC8" s="74" t="s">
        <v>266</v>
      </c>
      <c r="FD8" s="74" t="s">
        <v>264</v>
      </c>
      <c r="FE8" s="74"/>
      <c r="FF8" s="74">
        <v>1</v>
      </c>
      <c r="FG8" s="74">
        <v>3</v>
      </c>
      <c r="FH8" s="74">
        <v>3</v>
      </c>
      <c r="FI8" s="74">
        <v>2</v>
      </c>
      <c r="FJ8" s="74">
        <v>1</v>
      </c>
      <c r="FK8" s="74">
        <v>1</v>
      </c>
      <c r="FL8" s="74">
        <v>0</v>
      </c>
      <c r="FM8" s="74">
        <v>11</v>
      </c>
      <c r="FO8" s="74">
        <v>1420300</v>
      </c>
      <c r="FP8" s="74" t="s">
        <v>266</v>
      </c>
      <c r="FQ8" s="74" t="s">
        <v>264</v>
      </c>
      <c r="FR8" s="74"/>
      <c r="FS8" s="74">
        <v>1</v>
      </c>
      <c r="FT8" s="74">
        <v>3</v>
      </c>
      <c r="FU8" s="74">
        <v>3</v>
      </c>
      <c r="FV8" s="74">
        <v>2</v>
      </c>
      <c r="FW8" s="74">
        <v>1</v>
      </c>
      <c r="FX8" s="74">
        <v>1</v>
      </c>
      <c r="FY8" s="74">
        <v>0</v>
      </c>
      <c r="FZ8" s="74">
        <v>11</v>
      </c>
      <c r="GB8" s="74">
        <v>1420300</v>
      </c>
      <c r="GC8" s="74" t="s">
        <v>266</v>
      </c>
      <c r="GD8" s="74" t="s">
        <v>264</v>
      </c>
      <c r="GE8" s="74"/>
      <c r="GF8" s="74">
        <v>1</v>
      </c>
      <c r="GG8" s="74">
        <v>3</v>
      </c>
      <c r="GH8" s="74">
        <v>3</v>
      </c>
      <c r="GI8" s="74">
        <v>2</v>
      </c>
      <c r="GJ8" s="74">
        <v>1</v>
      </c>
      <c r="GK8" s="74">
        <v>1</v>
      </c>
      <c r="GL8" s="74">
        <v>0</v>
      </c>
      <c r="GM8" s="74">
        <v>11</v>
      </c>
      <c r="GO8" s="74">
        <v>1420300</v>
      </c>
      <c r="GP8" s="74" t="s">
        <v>266</v>
      </c>
      <c r="GQ8" s="74" t="s">
        <v>264</v>
      </c>
      <c r="GR8" s="74"/>
      <c r="GS8" s="74">
        <v>1</v>
      </c>
      <c r="GT8" s="74">
        <v>3</v>
      </c>
      <c r="GU8" s="74">
        <v>3</v>
      </c>
      <c r="GV8" s="74">
        <v>2</v>
      </c>
      <c r="GW8" s="74">
        <v>1</v>
      </c>
      <c r="GX8" s="74">
        <v>1</v>
      </c>
      <c r="GY8" s="74">
        <v>0</v>
      </c>
      <c r="GZ8" s="74">
        <f t="shared" si="3"/>
        <v>11</v>
      </c>
    </row>
    <row r="9" spans="1:326">
      <c r="A9" s="478">
        <v>1420301</v>
      </c>
      <c r="B9" s="478" t="s">
        <v>36</v>
      </c>
      <c r="C9" s="478">
        <v>31</v>
      </c>
      <c r="D9" s="478">
        <v>62</v>
      </c>
      <c r="E9" s="478">
        <v>59</v>
      </c>
      <c r="F9" s="478">
        <v>58</v>
      </c>
      <c r="G9" s="478">
        <v>40</v>
      </c>
      <c r="H9" s="478">
        <v>35</v>
      </c>
      <c r="I9" s="478"/>
      <c r="J9" s="479">
        <f>SUM(C9:H9)</f>
        <v>285</v>
      </c>
      <c r="K9" s="480">
        <f>'CORTE 4200'!$O$61</f>
        <v>-88</v>
      </c>
      <c r="L9" s="480"/>
      <c r="M9" s="481"/>
      <c r="N9" s="500"/>
      <c r="O9">
        <v>1420301</v>
      </c>
      <c r="P9" t="s">
        <v>266</v>
      </c>
      <c r="Q9" t="s">
        <v>264</v>
      </c>
      <c r="R9"/>
      <c r="S9">
        <v>31</v>
      </c>
      <c r="T9">
        <v>62</v>
      </c>
      <c r="U9">
        <v>59</v>
      </c>
      <c r="V9">
        <v>58</v>
      </c>
      <c r="W9">
        <v>40</v>
      </c>
      <c r="X9">
        <v>35</v>
      </c>
      <c r="Y9">
        <v>0</v>
      </c>
      <c r="Z9">
        <f t="shared" si="5"/>
        <v>285</v>
      </c>
      <c r="AA9" s="500"/>
      <c r="AB9" s="74">
        <v>1420301</v>
      </c>
      <c r="AC9" s="74" t="s">
        <v>266</v>
      </c>
      <c r="AD9" s="74" t="s">
        <v>264</v>
      </c>
      <c r="AE9"/>
      <c r="AF9" s="74">
        <v>31</v>
      </c>
      <c r="AG9" s="74">
        <v>62</v>
      </c>
      <c r="AH9" s="74">
        <v>59</v>
      </c>
      <c r="AI9" s="74">
        <v>58</v>
      </c>
      <c r="AJ9" s="74">
        <v>40</v>
      </c>
      <c r="AK9" s="74">
        <v>35</v>
      </c>
      <c r="AL9" s="74">
        <v>0</v>
      </c>
      <c r="AM9" s="74">
        <f t="shared" si="1"/>
        <v>285</v>
      </c>
      <c r="AO9" s="74">
        <v>1420301</v>
      </c>
      <c r="AP9" s="74" t="s">
        <v>266</v>
      </c>
      <c r="AQ9" s="74" t="s">
        <v>264</v>
      </c>
      <c r="AR9" s="74"/>
      <c r="AS9" s="74">
        <v>31</v>
      </c>
      <c r="AT9" s="74">
        <v>62</v>
      </c>
      <c r="AU9" s="74">
        <v>59</v>
      </c>
      <c r="AV9" s="74">
        <v>58</v>
      </c>
      <c r="AW9" s="74">
        <v>40</v>
      </c>
      <c r="AX9" s="74">
        <v>35</v>
      </c>
      <c r="AY9" s="74">
        <v>0</v>
      </c>
      <c r="AZ9" s="74">
        <f t="shared" si="6"/>
        <v>285</v>
      </c>
      <c r="BB9" s="74">
        <v>1420301</v>
      </c>
      <c r="BC9" s="74" t="s">
        <v>266</v>
      </c>
      <c r="BD9" s="74" t="s">
        <v>264</v>
      </c>
      <c r="BE9" s="74"/>
      <c r="BF9" s="74">
        <v>31</v>
      </c>
      <c r="BG9" s="74">
        <v>62</v>
      </c>
      <c r="BH9" s="74">
        <v>59</v>
      </c>
      <c r="BI9" s="74">
        <v>58</v>
      </c>
      <c r="BJ9" s="74">
        <v>40</v>
      </c>
      <c r="BK9" s="74">
        <v>35</v>
      </c>
      <c r="BL9" s="74">
        <v>0</v>
      </c>
      <c r="BM9" s="74">
        <f t="shared" si="8"/>
        <v>285</v>
      </c>
      <c r="BO9" s="74">
        <v>1420301</v>
      </c>
      <c r="BP9" s="74" t="s">
        <v>266</v>
      </c>
      <c r="BQ9" s="74" t="s">
        <v>264</v>
      </c>
      <c r="BR9" s="74"/>
      <c r="BS9" s="74">
        <v>31</v>
      </c>
      <c r="BT9" s="74">
        <v>62</v>
      </c>
      <c r="BU9" s="74">
        <v>59</v>
      </c>
      <c r="BV9" s="74">
        <v>58</v>
      </c>
      <c r="BW9" s="74">
        <v>40</v>
      </c>
      <c r="BX9" s="74">
        <v>35</v>
      </c>
      <c r="BY9" s="74">
        <v>0</v>
      </c>
      <c r="BZ9" s="74">
        <f t="shared" si="7"/>
        <v>285</v>
      </c>
      <c r="CB9" s="74">
        <v>1420301</v>
      </c>
      <c r="CC9" s="74" t="s">
        <v>266</v>
      </c>
      <c r="CD9" s="74" t="s">
        <v>264</v>
      </c>
      <c r="CE9" s="74"/>
      <c r="CF9" s="74">
        <v>31</v>
      </c>
      <c r="CG9" s="74">
        <v>62</v>
      </c>
      <c r="CH9" s="74">
        <v>59</v>
      </c>
      <c r="CI9" s="74">
        <v>58</v>
      </c>
      <c r="CJ9" s="74">
        <v>40</v>
      </c>
      <c r="CK9" s="74">
        <v>35</v>
      </c>
      <c r="CL9" s="74">
        <v>0</v>
      </c>
      <c r="CM9" s="74">
        <f t="shared" si="2"/>
        <v>285</v>
      </c>
      <c r="CO9" s="74">
        <v>1420301</v>
      </c>
      <c r="CP9" s="74" t="s">
        <v>266</v>
      </c>
      <c r="CQ9" s="74" t="s">
        <v>264</v>
      </c>
      <c r="CR9" s="74"/>
      <c r="CS9" s="74">
        <v>31</v>
      </c>
      <c r="CT9" s="74">
        <v>62</v>
      </c>
      <c r="CU9" s="74">
        <v>59</v>
      </c>
      <c r="CV9" s="74">
        <v>58</v>
      </c>
      <c r="CW9" s="74">
        <v>40</v>
      </c>
      <c r="CX9" s="74">
        <v>35</v>
      </c>
      <c r="CY9" s="74">
        <v>0</v>
      </c>
      <c r="CZ9" s="74">
        <v>285</v>
      </c>
      <c r="DB9" s="74">
        <v>1420301</v>
      </c>
      <c r="DC9" s="74" t="s">
        <v>266</v>
      </c>
      <c r="DD9" s="74" t="s">
        <v>264</v>
      </c>
      <c r="DE9" s="74"/>
      <c r="DF9" s="74">
        <v>31</v>
      </c>
      <c r="DG9" s="74">
        <v>62</v>
      </c>
      <c r="DH9" s="74">
        <v>59</v>
      </c>
      <c r="DI9" s="74">
        <v>58</v>
      </c>
      <c r="DJ9" s="74">
        <v>40</v>
      </c>
      <c r="DK9" s="74">
        <v>35</v>
      </c>
      <c r="DL9" s="74">
        <v>0</v>
      </c>
      <c r="DM9" s="74">
        <v>285</v>
      </c>
      <c r="DO9" s="74">
        <v>1420301</v>
      </c>
      <c r="DP9" s="74" t="s">
        <v>266</v>
      </c>
      <c r="DQ9" s="74" t="s">
        <v>264</v>
      </c>
      <c r="DR9" s="74"/>
      <c r="DS9" s="74">
        <v>31</v>
      </c>
      <c r="DT9" s="74">
        <v>62</v>
      </c>
      <c r="DU9" s="74">
        <v>59</v>
      </c>
      <c r="DV9" s="74">
        <v>58</v>
      </c>
      <c r="DW9" s="74">
        <v>40</v>
      </c>
      <c r="DX9" s="74">
        <v>35</v>
      </c>
      <c r="DY9" s="74">
        <v>0</v>
      </c>
      <c r="DZ9" s="74">
        <v>285</v>
      </c>
      <c r="EA9" s="74"/>
      <c r="EB9" s="74">
        <v>1420301</v>
      </c>
      <c r="EC9" s="74" t="s">
        <v>266</v>
      </c>
      <c r="ED9" s="74" t="s">
        <v>264</v>
      </c>
      <c r="EE9" s="74"/>
      <c r="EF9" s="74">
        <v>31</v>
      </c>
      <c r="EG9" s="74">
        <v>62</v>
      </c>
      <c r="EH9" s="74">
        <v>59</v>
      </c>
      <c r="EI9" s="74">
        <v>58</v>
      </c>
      <c r="EJ9" s="74">
        <v>40</v>
      </c>
      <c r="EK9" s="74">
        <v>35</v>
      </c>
      <c r="EL9" s="74">
        <v>0</v>
      </c>
      <c r="EM9" s="74">
        <v>285</v>
      </c>
      <c r="EO9" s="74">
        <v>1420301</v>
      </c>
      <c r="EP9" s="74" t="s">
        <v>266</v>
      </c>
      <c r="EQ9" s="74" t="s">
        <v>264</v>
      </c>
      <c r="ER9" s="74"/>
      <c r="ES9" s="74">
        <v>30</v>
      </c>
      <c r="ET9" s="74">
        <v>60</v>
      </c>
      <c r="EU9" s="74">
        <v>57</v>
      </c>
      <c r="EV9" s="74">
        <v>56</v>
      </c>
      <c r="EW9" s="74">
        <v>39</v>
      </c>
      <c r="EX9" s="74">
        <v>34</v>
      </c>
      <c r="EY9" s="74">
        <v>0</v>
      </c>
      <c r="EZ9" s="74">
        <v>276</v>
      </c>
      <c r="FB9" s="74">
        <v>1420301</v>
      </c>
      <c r="FC9" s="74" t="s">
        <v>266</v>
      </c>
      <c r="FD9" s="74" t="s">
        <v>264</v>
      </c>
      <c r="FE9" s="74"/>
      <c r="FF9" s="74">
        <v>26</v>
      </c>
      <c r="FG9" s="74">
        <v>54</v>
      </c>
      <c r="FH9" s="74">
        <v>51</v>
      </c>
      <c r="FI9" s="74">
        <v>50</v>
      </c>
      <c r="FJ9" s="74">
        <v>35</v>
      </c>
      <c r="FK9" s="74">
        <v>30</v>
      </c>
      <c r="FL9" s="74">
        <v>0</v>
      </c>
      <c r="FM9" s="74">
        <v>246</v>
      </c>
      <c r="FO9" s="74">
        <v>1420301</v>
      </c>
      <c r="FP9" s="74" t="s">
        <v>266</v>
      </c>
      <c r="FQ9" s="74" t="s">
        <v>264</v>
      </c>
      <c r="FR9" s="74"/>
      <c r="FS9" s="74">
        <v>26</v>
      </c>
      <c r="FT9" s="74">
        <v>54</v>
      </c>
      <c r="FU9" s="74">
        <v>51</v>
      </c>
      <c r="FV9" s="74">
        <v>50</v>
      </c>
      <c r="FW9" s="74">
        <v>35</v>
      </c>
      <c r="FX9" s="74">
        <v>30</v>
      </c>
      <c r="FY9" s="74">
        <v>0</v>
      </c>
      <c r="FZ9" s="74">
        <v>246</v>
      </c>
      <c r="GB9" s="74">
        <v>1420301</v>
      </c>
      <c r="GC9" s="74" t="s">
        <v>266</v>
      </c>
      <c r="GD9" s="74" t="s">
        <v>264</v>
      </c>
      <c r="GE9" s="74"/>
      <c r="GF9" s="74">
        <v>15</v>
      </c>
      <c r="GG9" s="74">
        <v>21</v>
      </c>
      <c r="GH9" s="74">
        <v>18</v>
      </c>
      <c r="GI9" s="74">
        <v>17</v>
      </c>
      <c r="GJ9" s="74">
        <v>13</v>
      </c>
      <c r="GK9" s="74">
        <v>8</v>
      </c>
      <c r="GL9" s="74">
        <v>0</v>
      </c>
      <c r="GM9" s="74">
        <v>92</v>
      </c>
      <c r="GO9" s="74">
        <v>1420301</v>
      </c>
      <c r="GP9" s="74" t="s">
        <v>266</v>
      </c>
      <c r="GQ9" s="74" t="s">
        <v>264</v>
      </c>
      <c r="GR9" s="74"/>
      <c r="GS9" s="74">
        <v>15</v>
      </c>
      <c r="GT9" s="74">
        <v>21</v>
      </c>
      <c r="GU9" s="74">
        <v>18</v>
      </c>
      <c r="GV9" s="74">
        <v>17</v>
      </c>
      <c r="GW9" s="74">
        <v>13</v>
      </c>
      <c r="GX9" s="74">
        <v>8</v>
      </c>
      <c r="GY9" s="74">
        <v>0</v>
      </c>
      <c r="GZ9" s="74">
        <f t="shared" si="3"/>
        <v>92</v>
      </c>
    </row>
    <row r="10" spans="1:326">
      <c r="A10" s="482">
        <v>1420400</v>
      </c>
      <c r="B10" s="478" t="s">
        <v>36</v>
      </c>
      <c r="C10" s="478">
        <v>39</v>
      </c>
      <c r="D10" s="478">
        <v>82</v>
      </c>
      <c r="E10" s="478">
        <v>90</v>
      </c>
      <c r="F10" s="478">
        <v>81</v>
      </c>
      <c r="G10" s="478">
        <v>54</v>
      </c>
      <c r="H10" s="478">
        <v>40</v>
      </c>
      <c r="I10" s="478"/>
      <c r="J10" s="479">
        <f t="shared" si="4"/>
        <v>386</v>
      </c>
      <c r="K10" s="480">
        <f>'CORTE 4200'!$O$70</f>
        <v>-27</v>
      </c>
      <c r="L10" s="480">
        <v>50</v>
      </c>
      <c r="M10" s="481"/>
      <c r="N10" s="500"/>
      <c r="O10">
        <v>1420400</v>
      </c>
      <c r="P10" t="s">
        <v>267</v>
      </c>
      <c r="Q10" t="s">
        <v>264</v>
      </c>
      <c r="R10"/>
      <c r="S10">
        <v>39</v>
      </c>
      <c r="T10">
        <v>82</v>
      </c>
      <c r="U10">
        <v>90</v>
      </c>
      <c r="V10">
        <v>81</v>
      </c>
      <c r="W10">
        <v>54</v>
      </c>
      <c r="X10">
        <v>40</v>
      </c>
      <c r="Y10">
        <v>0</v>
      </c>
      <c r="Z10">
        <f t="shared" si="5"/>
        <v>386</v>
      </c>
      <c r="AA10" s="500"/>
      <c r="AB10" s="74">
        <v>1420400</v>
      </c>
      <c r="AC10" s="74" t="s">
        <v>267</v>
      </c>
      <c r="AD10" s="74" t="s">
        <v>264</v>
      </c>
      <c r="AE10"/>
      <c r="AF10" s="74">
        <v>39</v>
      </c>
      <c r="AG10" s="74">
        <v>82</v>
      </c>
      <c r="AH10" s="74">
        <v>90</v>
      </c>
      <c r="AI10" s="74">
        <v>81</v>
      </c>
      <c r="AJ10" s="74">
        <v>54</v>
      </c>
      <c r="AK10" s="74">
        <v>40</v>
      </c>
      <c r="AL10" s="74">
        <v>0</v>
      </c>
      <c r="AM10" s="74">
        <f t="shared" si="1"/>
        <v>386</v>
      </c>
      <c r="AO10" s="74">
        <v>1420400</v>
      </c>
      <c r="AP10" s="74" t="s">
        <v>267</v>
      </c>
      <c r="AQ10" s="74" t="s">
        <v>264</v>
      </c>
      <c r="AR10" s="74"/>
      <c r="AS10" s="74">
        <v>39</v>
      </c>
      <c r="AT10" s="74">
        <v>80</v>
      </c>
      <c r="AU10" s="74">
        <v>88</v>
      </c>
      <c r="AV10" s="74">
        <v>79</v>
      </c>
      <c r="AW10" s="74">
        <v>52</v>
      </c>
      <c r="AX10" s="74">
        <v>38</v>
      </c>
      <c r="AY10" s="74">
        <v>0</v>
      </c>
      <c r="AZ10" s="74">
        <f t="shared" si="6"/>
        <v>376</v>
      </c>
      <c r="BB10" s="74">
        <v>1420400</v>
      </c>
      <c r="BC10" s="74" t="s">
        <v>267</v>
      </c>
      <c r="BD10" s="74" t="s">
        <v>264</v>
      </c>
      <c r="BE10" s="74"/>
      <c r="BF10" s="74">
        <v>31</v>
      </c>
      <c r="BG10" s="74">
        <v>68</v>
      </c>
      <c r="BH10" s="74">
        <v>76</v>
      </c>
      <c r="BI10" s="74">
        <v>67</v>
      </c>
      <c r="BJ10" s="74">
        <v>49</v>
      </c>
      <c r="BK10" s="74">
        <v>35</v>
      </c>
      <c r="BL10" s="74">
        <v>0</v>
      </c>
      <c r="BM10" s="74">
        <f t="shared" si="8"/>
        <v>326</v>
      </c>
      <c r="BO10" s="74">
        <v>1420400</v>
      </c>
      <c r="BP10" s="74" t="s">
        <v>267</v>
      </c>
      <c r="BQ10" s="74" t="s">
        <v>264</v>
      </c>
      <c r="BR10" s="74"/>
      <c r="BS10" s="74">
        <v>31</v>
      </c>
      <c r="BT10" s="74">
        <v>68</v>
      </c>
      <c r="BU10" s="74">
        <v>76</v>
      </c>
      <c r="BV10" s="74">
        <v>67</v>
      </c>
      <c r="BW10" s="74">
        <v>49</v>
      </c>
      <c r="BX10" s="74">
        <v>35</v>
      </c>
      <c r="BY10" s="74">
        <v>0</v>
      </c>
      <c r="BZ10" s="74">
        <f t="shared" si="7"/>
        <v>326</v>
      </c>
      <c r="CB10" s="74">
        <v>1420400</v>
      </c>
      <c r="CC10" s="74" t="s">
        <v>267</v>
      </c>
      <c r="CD10" s="74" t="s">
        <v>264</v>
      </c>
      <c r="CE10" s="74"/>
      <c r="CF10" s="74">
        <v>29</v>
      </c>
      <c r="CG10" s="74">
        <v>66</v>
      </c>
      <c r="CH10" s="74">
        <v>74</v>
      </c>
      <c r="CI10" s="74">
        <v>65</v>
      </c>
      <c r="CJ10" s="74">
        <v>47</v>
      </c>
      <c r="CK10" s="74">
        <v>33</v>
      </c>
      <c r="CL10" s="74">
        <v>0</v>
      </c>
      <c r="CM10" s="74">
        <f t="shared" si="2"/>
        <v>314</v>
      </c>
      <c r="CO10" s="74">
        <v>1420400</v>
      </c>
      <c r="CP10" s="74" t="s">
        <v>267</v>
      </c>
      <c r="CQ10" s="74" t="s">
        <v>264</v>
      </c>
      <c r="CR10" s="74"/>
      <c r="CS10" s="74">
        <v>29</v>
      </c>
      <c r="CT10" s="74">
        <v>66</v>
      </c>
      <c r="CU10" s="74">
        <v>74</v>
      </c>
      <c r="CV10" s="74">
        <v>65</v>
      </c>
      <c r="CW10" s="74">
        <v>47</v>
      </c>
      <c r="CX10" s="74">
        <v>33</v>
      </c>
      <c r="CY10" s="74">
        <v>0</v>
      </c>
      <c r="CZ10" s="74">
        <v>314</v>
      </c>
      <c r="DB10" s="74">
        <v>1420400</v>
      </c>
      <c r="DC10" s="74" t="s">
        <v>267</v>
      </c>
      <c r="DD10" s="74" t="s">
        <v>264</v>
      </c>
      <c r="DE10" s="74"/>
      <c r="DF10" s="74">
        <v>28</v>
      </c>
      <c r="DG10" s="74">
        <v>64</v>
      </c>
      <c r="DH10" s="74">
        <v>72</v>
      </c>
      <c r="DI10" s="74">
        <v>63</v>
      </c>
      <c r="DJ10" s="74">
        <v>45</v>
      </c>
      <c r="DK10" s="74">
        <v>32</v>
      </c>
      <c r="DL10" s="74">
        <v>0</v>
      </c>
      <c r="DM10" s="74">
        <v>304</v>
      </c>
      <c r="DO10" s="74">
        <v>1420400</v>
      </c>
      <c r="DP10" s="74" t="s">
        <v>267</v>
      </c>
      <c r="DQ10" s="74" t="s">
        <v>264</v>
      </c>
      <c r="DR10" s="74"/>
      <c r="DS10" s="74">
        <v>21</v>
      </c>
      <c r="DT10" s="74">
        <v>51</v>
      </c>
      <c r="DU10" s="74">
        <v>55</v>
      </c>
      <c r="DV10" s="74">
        <v>52</v>
      </c>
      <c r="DW10" s="74">
        <v>39</v>
      </c>
      <c r="DX10" s="74">
        <v>28</v>
      </c>
      <c r="DY10" s="74">
        <v>0</v>
      </c>
      <c r="DZ10" s="74">
        <v>246</v>
      </c>
      <c r="EA10" s="74"/>
      <c r="EB10" s="74">
        <v>1420400</v>
      </c>
      <c r="EC10" s="74" t="s">
        <v>267</v>
      </c>
      <c r="ED10" s="74" t="s">
        <v>264</v>
      </c>
      <c r="EE10" s="74"/>
      <c r="EF10" s="74">
        <v>18</v>
      </c>
      <c r="EG10" s="74">
        <v>44</v>
      </c>
      <c r="EH10" s="74">
        <v>49</v>
      </c>
      <c r="EI10" s="74">
        <v>46</v>
      </c>
      <c r="EJ10" s="74">
        <v>35</v>
      </c>
      <c r="EK10" s="74">
        <v>25</v>
      </c>
      <c r="EL10" s="74">
        <v>0</v>
      </c>
      <c r="EM10" s="74">
        <v>217</v>
      </c>
      <c r="EO10" s="74">
        <v>1420400</v>
      </c>
      <c r="EP10" s="74" t="s">
        <v>267</v>
      </c>
      <c r="EQ10" s="74" t="s">
        <v>264</v>
      </c>
      <c r="ER10" s="74"/>
      <c r="ES10" s="74">
        <v>18</v>
      </c>
      <c r="ET10" s="74">
        <v>44</v>
      </c>
      <c r="EU10" s="74">
        <v>49</v>
      </c>
      <c r="EV10" s="74">
        <v>46</v>
      </c>
      <c r="EW10" s="74">
        <v>35</v>
      </c>
      <c r="EX10" s="74">
        <v>25</v>
      </c>
      <c r="EY10" s="74">
        <v>0</v>
      </c>
      <c r="EZ10" s="74">
        <v>217</v>
      </c>
      <c r="FB10" s="74">
        <v>1420400</v>
      </c>
      <c r="FC10" s="74" t="s">
        <v>267</v>
      </c>
      <c r="FD10" s="74" t="s">
        <v>264</v>
      </c>
      <c r="FE10" s="74"/>
      <c r="FF10" s="74">
        <v>15</v>
      </c>
      <c r="FG10" s="74">
        <v>39</v>
      </c>
      <c r="FH10" s="74">
        <v>44</v>
      </c>
      <c r="FI10" s="74">
        <v>41</v>
      </c>
      <c r="FJ10" s="74">
        <v>30</v>
      </c>
      <c r="FK10" s="74">
        <v>23</v>
      </c>
      <c r="FL10" s="74">
        <v>0</v>
      </c>
      <c r="FM10" s="74">
        <v>192</v>
      </c>
      <c r="FO10" s="74">
        <v>1420400</v>
      </c>
      <c r="FP10" s="74" t="s">
        <v>267</v>
      </c>
      <c r="FQ10" s="74" t="s">
        <v>264</v>
      </c>
      <c r="FR10" s="74"/>
      <c r="FS10" s="74">
        <v>15</v>
      </c>
      <c r="FT10" s="74">
        <v>39</v>
      </c>
      <c r="FU10" s="74">
        <v>44</v>
      </c>
      <c r="FV10" s="74">
        <v>41</v>
      </c>
      <c r="FW10" s="74">
        <v>30</v>
      </c>
      <c r="FX10" s="74">
        <v>23</v>
      </c>
      <c r="FY10" s="74">
        <v>0</v>
      </c>
      <c r="FZ10" s="74">
        <v>192</v>
      </c>
      <c r="GB10" s="74">
        <v>1420400</v>
      </c>
      <c r="GC10" s="74" t="s">
        <v>267</v>
      </c>
      <c r="GD10" s="74" t="s">
        <v>264</v>
      </c>
      <c r="GE10" s="74"/>
      <c r="GF10" s="74">
        <v>8</v>
      </c>
      <c r="GG10" s="74">
        <v>23</v>
      </c>
      <c r="GH10" s="74">
        <v>28</v>
      </c>
      <c r="GI10" s="74">
        <v>25</v>
      </c>
      <c r="GJ10" s="74">
        <v>19</v>
      </c>
      <c r="GK10" s="74">
        <v>12</v>
      </c>
      <c r="GL10" s="74">
        <v>0</v>
      </c>
      <c r="GM10" s="74">
        <v>115</v>
      </c>
      <c r="GO10" s="433">
        <v>1420400</v>
      </c>
      <c r="GP10" s="74" t="s">
        <v>267</v>
      </c>
      <c r="GQ10" s="74" t="s">
        <v>264</v>
      </c>
      <c r="GR10" s="74"/>
      <c r="GS10" s="74">
        <v>7</v>
      </c>
      <c r="GT10" s="74">
        <v>20</v>
      </c>
      <c r="GU10" s="74">
        <v>24</v>
      </c>
      <c r="GV10" s="74">
        <v>22</v>
      </c>
      <c r="GW10" s="74">
        <v>17</v>
      </c>
      <c r="GX10" s="74">
        <v>11</v>
      </c>
      <c r="GY10" s="74">
        <v>0</v>
      </c>
      <c r="GZ10" s="74">
        <f t="shared" si="3"/>
        <v>101</v>
      </c>
    </row>
    <row r="11" spans="1:326">
      <c r="A11" s="482">
        <v>1420401</v>
      </c>
      <c r="B11" s="478" t="s">
        <v>36</v>
      </c>
      <c r="C11" s="478">
        <v>2</v>
      </c>
      <c r="D11" s="478">
        <v>6</v>
      </c>
      <c r="E11" s="478">
        <v>9</v>
      </c>
      <c r="F11" s="478">
        <v>8</v>
      </c>
      <c r="G11" s="478">
        <v>7</v>
      </c>
      <c r="H11" s="478">
        <v>5</v>
      </c>
      <c r="I11" s="478"/>
      <c r="J11" s="479">
        <f>SUM(C11:H11)</f>
        <v>37</v>
      </c>
      <c r="K11" s="480">
        <f>'CORTE 4200'!$O$79</f>
        <v>2</v>
      </c>
      <c r="L11" s="480"/>
      <c r="M11" s="481"/>
      <c r="N11" s="500"/>
      <c r="O11">
        <v>1420401</v>
      </c>
      <c r="P11" t="s">
        <v>267</v>
      </c>
      <c r="Q11" t="s">
        <v>264</v>
      </c>
      <c r="R11"/>
      <c r="S11">
        <v>2</v>
      </c>
      <c r="T11">
        <v>6</v>
      </c>
      <c r="U11">
        <v>9</v>
      </c>
      <c r="V11">
        <v>8</v>
      </c>
      <c r="W11">
        <v>7</v>
      </c>
      <c r="X11">
        <v>5</v>
      </c>
      <c r="Y11">
        <v>0</v>
      </c>
      <c r="Z11">
        <f t="shared" si="5"/>
        <v>37</v>
      </c>
      <c r="AA11" s="500"/>
      <c r="AB11" s="74">
        <v>1420401</v>
      </c>
      <c r="AC11" s="74" t="s">
        <v>267</v>
      </c>
      <c r="AD11" s="74" t="s">
        <v>264</v>
      </c>
      <c r="AE11"/>
      <c r="AF11" s="74">
        <v>0</v>
      </c>
      <c r="AG11" s="74">
        <v>4</v>
      </c>
      <c r="AH11" s="74">
        <v>8</v>
      </c>
      <c r="AI11" s="74">
        <v>8</v>
      </c>
      <c r="AJ11" s="74">
        <v>7</v>
      </c>
      <c r="AK11" s="74">
        <v>5</v>
      </c>
      <c r="AL11" s="74">
        <v>0</v>
      </c>
      <c r="AM11" s="74">
        <f t="shared" si="1"/>
        <v>32</v>
      </c>
      <c r="AO11" s="74">
        <v>1420401</v>
      </c>
      <c r="AP11" s="74" t="s">
        <v>267</v>
      </c>
      <c r="AQ11" s="74" t="s">
        <v>264</v>
      </c>
      <c r="AR11" s="74"/>
      <c r="AS11" s="74">
        <v>0</v>
      </c>
      <c r="AT11" s="74">
        <v>4</v>
      </c>
      <c r="AU11" s="74">
        <v>8</v>
      </c>
      <c r="AV11" s="74">
        <v>8</v>
      </c>
      <c r="AW11" s="74">
        <v>7</v>
      </c>
      <c r="AX11" s="74">
        <v>5</v>
      </c>
      <c r="AY11" s="74">
        <v>0</v>
      </c>
      <c r="AZ11" s="74">
        <f t="shared" si="6"/>
        <v>32</v>
      </c>
      <c r="BB11" s="74">
        <v>1420401</v>
      </c>
      <c r="BC11" s="74" t="s">
        <v>267</v>
      </c>
      <c r="BD11" s="74" t="s">
        <v>264</v>
      </c>
      <c r="BE11" s="74"/>
      <c r="BF11" s="74">
        <v>0</v>
      </c>
      <c r="BG11" s="74">
        <v>4</v>
      </c>
      <c r="BH11" s="74">
        <v>8</v>
      </c>
      <c r="BI11" s="74">
        <v>8</v>
      </c>
      <c r="BJ11" s="74">
        <v>7</v>
      </c>
      <c r="BK11" s="74">
        <v>5</v>
      </c>
      <c r="BL11" s="74">
        <v>0</v>
      </c>
      <c r="BM11" s="74">
        <f t="shared" si="8"/>
        <v>32</v>
      </c>
      <c r="BO11" s="74">
        <v>1420401</v>
      </c>
      <c r="BP11" s="74" t="s">
        <v>267</v>
      </c>
      <c r="BQ11" s="74" t="s">
        <v>264</v>
      </c>
      <c r="BR11" s="74"/>
      <c r="BS11" s="74">
        <v>0</v>
      </c>
      <c r="BT11" s="74">
        <v>4</v>
      </c>
      <c r="BU11" s="74">
        <v>8</v>
      </c>
      <c r="BV11" s="74">
        <v>8</v>
      </c>
      <c r="BW11" s="74">
        <v>7</v>
      </c>
      <c r="BX11" s="74">
        <v>5</v>
      </c>
      <c r="BY11" s="74">
        <v>0</v>
      </c>
      <c r="BZ11" s="74">
        <f t="shared" si="7"/>
        <v>32</v>
      </c>
      <c r="CB11" s="74">
        <v>1420401</v>
      </c>
      <c r="CC11" s="74" t="s">
        <v>267</v>
      </c>
      <c r="CD11" s="74" t="s">
        <v>264</v>
      </c>
      <c r="CE11" s="74"/>
      <c r="CF11" s="74">
        <v>0</v>
      </c>
      <c r="CG11" s="74">
        <v>4</v>
      </c>
      <c r="CH11" s="74">
        <v>8</v>
      </c>
      <c r="CI11" s="74">
        <v>8</v>
      </c>
      <c r="CJ11" s="74">
        <v>7</v>
      </c>
      <c r="CK11" s="74">
        <v>5</v>
      </c>
      <c r="CL11" s="74">
        <v>0</v>
      </c>
      <c r="CM11" s="74">
        <f t="shared" si="2"/>
        <v>32</v>
      </c>
      <c r="CO11" s="74">
        <v>1420401</v>
      </c>
      <c r="CP11" s="74" t="s">
        <v>267</v>
      </c>
      <c r="CQ11" s="74" t="s">
        <v>264</v>
      </c>
      <c r="CR11" s="74"/>
      <c r="CS11" s="74">
        <v>0</v>
      </c>
      <c r="CT11" s="74">
        <v>4</v>
      </c>
      <c r="CU11" s="74">
        <v>8</v>
      </c>
      <c r="CV11" s="74">
        <v>8</v>
      </c>
      <c r="CW11" s="74">
        <v>7</v>
      </c>
      <c r="CX11" s="74">
        <v>5</v>
      </c>
      <c r="CY11" s="74">
        <v>0</v>
      </c>
      <c r="CZ11" s="74">
        <v>32</v>
      </c>
      <c r="DB11" s="74">
        <v>1420401</v>
      </c>
      <c r="DC11" s="74" t="s">
        <v>267</v>
      </c>
      <c r="DD11" s="74" t="s">
        <v>264</v>
      </c>
      <c r="DE11" s="74"/>
      <c r="DF11" s="74">
        <v>0</v>
      </c>
      <c r="DG11" s="74">
        <v>4</v>
      </c>
      <c r="DH11" s="74">
        <v>8</v>
      </c>
      <c r="DI11" s="74">
        <v>8</v>
      </c>
      <c r="DJ11" s="74">
        <v>7</v>
      </c>
      <c r="DK11" s="74">
        <v>5</v>
      </c>
      <c r="DL11" s="74">
        <v>0</v>
      </c>
      <c r="DM11" s="74">
        <v>32</v>
      </c>
      <c r="DO11" s="74">
        <v>1420401</v>
      </c>
      <c r="DP11" s="74" t="s">
        <v>267</v>
      </c>
      <c r="DQ11" s="74" t="s">
        <v>264</v>
      </c>
      <c r="DR11" s="74"/>
      <c r="DS11" s="74">
        <v>0</v>
      </c>
      <c r="DT11" s="74">
        <v>4</v>
      </c>
      <c r="DU11" s="74">
        <v>8</v>
      </c>
      <c r="DV11" s="74">
        <v>8</v>
      </c>
      <c r="DW11" s="74">
        <v>7</v>
      </c>
      <c r="DX11" s="74">
        <v>5</v>
      </c>
      <c r="DY11" s="74">
        <v>0</v>
      </c>
      <c r="DZ11" s="74">
        <v>32</v>
      </c>
      <c r="EA11" s="74"/>
      <c r="EB11" s="74">
        <v>1420401</v>
      </c>
      <c r="EC11" s="74" t="s">
        <v>267</v>
      </c>
      <c r="ED11" s="74" t="s">
        <v>264</v>
      </c>
      <c r="EE11" s="74"/>
      <c r="EF11" s="74">
        <v>0</v>
      </c>
      <c r="EG11" s="74">
        <v>4</v>
      </c>
      <c r="EH11" s="74">
        <v>8</v>
      </c>
      <c r="EI11" s="74">
        <v>8</v>
      </c>
      <c r="EJ11" s="74">
        <v>7</v>
      </c>
      <c r="EK11" s="74">
        <v>5</v>
      </c>
      <c r="EL11" s="74">
        <v>0</v>
      </c>
      <c r="EM11" s="74">
        <v>32</v>
      </c>
      <c r="EO11" s="74">
        <v>1420401</v>
      </c>
      <c r="EP11" s="74" t="s">
        <v>267</v>
      </c>
      <c r="EQ11" s="74" t="s">
        <v>264</v>
      </c>
      <c r="ER11" s="74"/>
      <c r="ES11" s="74">
        <v>0</v>
      </c>
      <c r="ET11" s="74">
        <v>4</v>
      </c>
      <c r="EU11" s="74">
        <v>8</v>
      </c>
      <c r="EV11" s="74">
        <v>8</v>
      </c>
      <c r="EW11" s="74">
        <v>7</v>
      </c>
      <c r="EX11" s="74">
        <v>5</v>
      </c>
      <c r="EY11" s="74">
        <v>0</v>
      </c>
      <c r="EZ11" s="74">
        <v>32</v>
      </c>
      <c r="FB11" s="74">
        <v>1420401</v>
      </c>
      <c r="FC11" s="74" t="s">
        <v>267</v>
      </c>
      <c r="FD11" s="74" t="s">
        <v>264</v>
      </c>
      <c r="FE11" s="74"/>
      <c r="FF11" s="74">
        <v>0</v>
      </c>
      <c r="FG11" s="74">
        <v>4</v>
      </c>
      <c r="FH11" s="74">
        <v>8</v>
      </c>
      <c r="FI11" s="74">
        <v>8</v>
      </c>
      <c r="FJ11" s="74">
        <v>7</v>
      </c>
      <c r="FK11" s="74">
        <v>5</v>
      </c>
      <c r="FL11" s="74">
        <v>0</v>
      </c>
      <c r="FM11" s="74">
        <v>32</v>
      </c>
      <c r="FO11" s="74">
        <v>1420401</v>
      </c>
      <c r="FP11" s="74" t="s">
        <v>267</v>
      </c>
      <c r="FQ11" s="74" t="s">
        <v>264</v>
      </c>
      <c r="FR11" s="74"/>
      <c r="FS11" s="74">
        <v>0</v>
      </c>
      <c r="FT11" s="74">
        <v>4</v>
      </c>
      <c r="FU11" s="74">
        <v>8</v>
      </c>
      <c r="FV11" s="74">
        <v>8</v>
      </c>
      <c r="FW11" s="74">
        <v>7</v>
      </c>
      <c r="FX11" s="74">
        <v>5</v>
      </c>
      <c r="FY11" s="74">
        <v>0</v>
      </c>
      <c r="FZ11" s="74">
        <v>32</v>
      </c>
      <c r="GB11" s="74">
        <v>1420401</v>
      </c>
      <c r="GC11" s="74" t="s">
        <v>267</v>
      </c>
      <c r="GD11" s="74" t="s">
        <v>264</v>
      </c>
      <c r="GE11" s="74"/>
      <c r="GF11" s="74">
        <v>0</v>
      </c>
      <c r="GG11" s="74">
        <v>4</v>
      </c>
      <c r="GH11" s="74">
        <v>8</v>
      </c>
      <c r="GI11" s="74">
        <v>8</v>
      </c>
      <c r="GJ11" s="74">
        <v>7</v>
      </c>
      <c r="GK11" s="74">
        <v>5</v>
      </c>
      <c r="GL11" s="74">
        <v>0</v>
      </c>
      <c r="GM11" s="74">
        <v>32</v>
      </c>
      <c r="GO11" s="433">
        <v>1420401</v>
      </c>
      <c r="GP11" s="74" t="s">
        <v>267</v>
      </c>
      <c r="GQ11" s="74" t="s">
        <v>264</v>
      </c>
      <c r="GR11" s="74"/>
      <c r="GS11" s="74">
        <v>0</v>
      </c>
      <c r="GT11" s="74">
        <v>4</v>
      </c>
      <c r="GU11" s="74">
        <v>8</v>
      </c>
      <c r="GV11" s="74">
        <v>8</v>
      </c>
      <c r="GW11" s="74">
        <v>7</v>
      </c>
      <c r="GX11" s="74">
        <v>5</v>
      </c>
      <c r="GY11" s="74">
        <v>0</v>
      </c>
      <c r="GZ11" s="74">
        <f t="shared" si="3"/>
        <v>32</v>
      </c>
    </row>
    <row r="12" spans="1:326">
      <c r="A12" s="482">
        <v>1420402</v>
      </c>
      <c r="B12" s="478" t="s">
        <v>36</v>
      </c>
      <c r="C12" s="478">
        <v>31</v>
      </c>
      <c r="D12" s="478">
        <v>78</v>
      </c>
      <c r="E12" s="478">
        <v>83</v>
      </c>
      <c r="F12" s="478">
        <v>80</v>
      </c>
      <c r="G12" s="478">
        <v>56</v>
      </c>
      <c r="H12" s="478">
        <v>48</v>
      </c>
      <c r="I12" s="478"/>
      <c r="J12" s="479">
        <f>SUM(C12:H12)</f>
        <v>376</v>
      </c>
      <c r="K12" s="480">
        <f>'CORTE 4200'!$O$88</f>
        <v>-16</v>
      </c>
      <c r="L12" s="480"/>
      <c r="M12" s="481"/>
      <c r="N12" s="500"/>
      <c r="O12">
        <v>1420402</v>
      </c>
      <c r="P12" t="s">
        <v>267</v>
      </c>
      <c r="Q12" t="s">
        <v>264</v>
      </c>
      <c r="R12"/>
      <c r="S12">
        <v>31</v>
      </c>
      <c r="T12">
        <v>78</v>
      </c>
      <c r="U12">
        <v>83</v>
      </c>
      <c r="V12">
        <v>80</v>
      </c>
      <c r="W12">
        <v>56</v>
      </c>
      <c r="X12">
        <v>48</v>
      </c>
      <c r="Y12">
        <v>0</v>
      </c>
      <c r="Z12">
        <f t="shared" si="5"/>
        <v>376</v>
      </c>
      <c r="AA12" s="500"/>
      <c r="AB12" s="74">
        <v>1420402</v>
      </c>
      <c r="AC12" s="74" t="s">
        <v>267</v>
      </c>
      <c r="AD12" s="74" t="s">
        <v>264</v>
      </c>
      <c r="AE12"/>
      <c r="AF12" s="74">
        <v>33</v>
      </c>
      <c r="AG12" s="74">
        <v>83</v>
      </c>
      <c r="AH12" s="74">
        <v>88</v>
      </c>
      <c r="AI12" s="74">
        <v>82</v>
      </c>
      <c r="AJ12" s="74">
        <v>57</v>
      </c>
      <c r="AK12" s="74">
        <v>48</v>
      </c>
      <c r="AL12" s="74">
        <v>0</v>
      </c>
      <c r="AM12" s="74">
        <f t="shared" si="1"/>
        <v>391</v>
      </c>
      <c r="AO12" s="74">
        <v>1420402</v>
      </c>
      <c r="AP12" s="74" t="s">
        <v>267</v>
      </c>
      <c r="AQ12" s="74" t="s">
        <v>264</v>
      </c>
      <c r="AR12" s="74"/>
      <c r="AS12" s="74">
        <v>33</v>
      </c>
      <c r="AT12" s="74">
        <v>81</v>
      </c>
      <c r="AU12" s="74">
        <v>86</v>
      </c>
      <c r="AV12" s="74">
        <v>80</v>
      </c>
      <c r="AW12" s="74">
        <v>55</v>
      </c>
      <c r="AX12" s="74">
        <v>46</v>
      </c>
      <c r="AY12" s="74">
        <v>0</v>
      </c>
      <c r="AZ12" s="74">
        <f t="shared" si="6"/>
        <v>381</v>
      </c>
      <c r="BB12" s="74">
        <v>1420402</v>
      </c>
      <c r="BC12" s="74" t="s">
        <v>267</v>
      </c>
      <c r="BD12" s="74" t="s">
        <v>264</v>
      </c>
      <c r="BE12" s="74"/>
      <c r="BF12" s="74">
        <v>33</v>
      </c>
      <c r="BG12" s="74">
        <v>81</v>
      </c>
      <c r="BH12" s="74">
        <v>86</v>
      </c>
      <c r="BI12" s="74">
        <v>80</v>
      </c>
      <c r="BJ12" s="74">
        <v>55</v>
      </c>
      <c r="BK12" s="74">
        <v>46</v>
      </c>
      <c r="BL12" s="74">
        <v>0</v>
      </c>
      <c r="BM12" s="74">
        <f t="shared" si="8"/>
        <v>381</v>
      </c>
      <c r="BO12" s="74">
        <v>1420402</v>
      </c>
      <c r="BP12" s="74" t="s">
        <v>267</v>
      </c>
      <c r="BQ12" s="74" t="s">
        <v>264</v>
      </c>
      <c r="BR12" s="74"/>
      <c r="BS12" s="74">
        <v>33</v>
      </c>
      <c r="BT12" s="74">
        <v>81</v>
      </c>
      <c r="BU12" s="74">
        <v>86</v>
      </c>
      <c r="BV12" s="74">
        <v>80</v>
      </c>
      <c r="BW12" s="74">
        <v>55</v>
      </c>
      <c r="BX12" s="74">
        <v>46</v>
      </c>
      <c r="BY12" s="74">
        <v>0</v>
      </c>
      <c r="BZ12" s="74">
        <f t="shared" si="7"/>
        <v>381</v>
      </c>
      <c r="CB12" s="74">
        <v>1420402</v>
      </c>
      <c r="CC12" s="74" t="s">
        <v>267</v>
      </c>
      <c r="CD12" s="74" t="s">
        <v>264</v>
      </c>
      <c r="CE12" s="74"/>
      <c r="CF12" s="74">
        <v>33</v>
      </c>
      <c r="CG12" s="74">
        <v>81</v>
      </c>
      <c r="CH12" s="74">
        <v>86</v>
      </c>
      <c r="CI12" s="74">
        <v>80</v>
      </c>
      <c r="CJ12" s="74">
        <v>55</v>
      </c>
      <c r="CK12" s="74">
        <v>46</v>
      </c>
      <c r="CL12" s="74">
        <v>0</v>
      </c>
      <c r="CM12" s="74">
        <f t="shared" si="2"/>
        <v>381</v>
      </c>
      <c r="CO12" s="74">
        <v>1420402</v>
      </c>
      <c r="CP12" s="74" t="s">
        <v>267</v>
      </c>
      <c r="CQ12" s="74" t="s">
        <v>264</v>
      </c>
      <c r="CR12" s="74"/>
      <c r="CS12" s="74">
        <v>33</v>
      </c>
      <c r="CT12" s="74">
        <v>81</v>
      </c>
      <c r="CU12" s="74">
        <v>86</v>
      </c>
      <c r="CV12" s="74">
        <v>80</v>
      </c>
      <c r="CW12" s="74">
        <v>55</v>
      </c>
      <c r="CX12" s="74">
        <v>46</v>
      </c>
      <c r="CY12" s="74">
        <v>0</v>
      </c>
      <c r="CZ12" s="74">
        <v>381</v>
      </c>
      <c r="DB12" s="74">
        <v>1420402</v>
      </c>
      <c r="DC12" s="74" t="s">
        <v>267</v>
      </c>
      <c r="DD12" s="74" t="s">
        <v>264</v>
      </c>
      <c r="DE12" s="74"/>
      <c r="DF12" s="74">
        <v>31</v>
      </c>
      <c r="DG12" s="74">
        <v>78</v>
      </c>
      <c r="DH12" s="74">
        <v>83</v>
      </c>
      <c r="DI12" s="74">
        <v>77</v>
      </c>
      <c r="DJ12" s="74">
        <v>53</v>
      </c>
      <c r="DK12" s="74">
        <v>45</v>
      </c>
      <c r="DL12" s="74">
        <v>0</v>
      </c>
      <c r="DM12" s="74">
        <v>367</v>
      </c>
      <c r="DO12" s="74">
        <v>1420402</v>
      </c>
      <c r="DP12" s="74" t="s">
        <v>267</v>
      </c>
      <c r="DQ12" s="74" t="s">
        <v>264</v>
      </c>
      <c r="DR12" s="74"/>
      <c r="DS12" s="74">
        <v>28</v>
      </c>
      <c r="DT12" s="74">
        <v>74</v>
      </c>
      <c r="DU12" s="74">
        <v>79</v>
      </c>
      <c r="DV12" s="74">
        <v>74</v>
      </c>
      <c r="DW12" s="74">
        <v>51</v>
      </c>
      <c r="DX12" s="74">
        <v>45</v>
      </c>
      <c r="DY12" s="74">
        <v>0</v>
      </c>
      <c r="DZ12" s="74">
        <v>351</v>
      </c>
      <c r="EA12" s="74"/>
      <c r="EB12" s="74">
        <v>1420402</v>
      </c>
      <c r="EC12" s="74" t="s">
        <v>267</v>
      </c>
      <c r="ED12" s="74" t="s">
        <v>264</v>
      </c>
      <c r="EE12" s="74"/>
      <c r="EF12" s="74">
        <v>26</v>
      </c>
      <c r="EG12" s="74">
        <v>69</v>
      </c>
      <c r="EH12" s="74">
        <v>74</v>
      </c>
      <c r="EI12" s="74">
        <v>72</v>
      </c>
      <c r="EJ12" s="74">
        <v>50</v>
      </c>
      <c r="EK12" s="74">
        <v>45</v>
      </c>
      <c r="EL12" s="74">
        <v>0</v>
      </c>
      <c r="EM12" s="74">
        <v>336</v>
      </c>
      <c r="EO12" s="74">
        <v>1420402</v>
      </c>
      <c r="EP12" s="74" t="s">
        <v>267</v>
      </c>
      <c r="EQ12" s="74" t="s">
        <v>264</v>
      </c>
      <c r="ER12" s="74"/>
      <c r="ES12" s="74">
        <v>26</v>
      </c>
      <c r="ET12" s="74">
        <v>69</v>
      </c>
      <c r="EU12" s="74">
        <v>74</v>
      </c>
      <c r="EV12" s="74">
        <v>72</v>
      </c>
      <c r="EW12" s="74">
        <v>50</v>
      </c>
      <c r="EX12" s="74">
        <v>45</v>
      </c>
      <c r="EY12" s="74">
        <v>0</v>
      </c>
      <c r="EZ12" s="74">
        <v>336</v>
      </c>
      <c r="FB12" s="74">
        <v>1420402</v>
      </c>
      <c r="FC12" s="74" t="s">
        <v>267</v>
      </c>
      <c r="FD12" s="74" t="s">
        <v>264</v>
      </c>
      <c r="FE12" s="74"/>
      <c r="FF12" s="74">
        <v>24</v>
      </c>
      <c r="FG12" s="74">
        <v>66</v>
      </c>
      <c r="FH12" s="74">
        <v>71</v>
      </c>
      <c r="FI12" s="74">
        <v>69</v>
      </c>
      <c r="FJ12" s="74">
        <v>48</v>
      </c>
      <c r="FK12" s="74">
        <v>43</v>
      </c>
      <c r="FL12" s="74">
        <v>0</v>
      </c>
      <c r="FM12" s="74">
        <v>321</v>
      </c>
      <c r="FO12" s="74">
        <v>1420402</v>
      </c>
      <c r="FP12" s="74" t="s">
        <v>267</v>
      </c>
      <c r="FQ12" s="74" t="s">
        <v>264</v>
      </c>
      <c r="FR12" s="74"/>
      <c r="FS12" s="74">
        <v>22</v>
      </c>
      <c r="FT12" s="74">
        <v>60</v>
      </c>
      <c r="FU12" s="74">
        <v>65</v>
      </c>
      <c r="FV12" s="74">
        <v>63</v>
      </c>
      <c r="FW12" s="74">
        <v>44</v>
      </c>
      <c r="FX12" s="74">
        <v>39</v>
      </c>
      <c r="FY12" s="74">
        <v>0</v>
      </c>
      <c r="FZ12" s="74">
        <v>293</v>
      </c>
      <c r="GB12" s="74">
        <v>1420402</v>
      </c>
      <c r="GC12" s="74" t="s">
        <v>267</v>
      </c>
      <c r="GD12" s="74" t="s">
        <v>264</v>
      </c>
      <c r="GE12" s="74"/>
      <c r="GF12" s="74">
        <v>8</v>
      </c>
      <c r="GG12" s="74">
        <v>18</v>
      </c>
      <c r="GH12" s="74">
        <v>23</v>
      </c>
      <c r="GI12" s="74">
        <v>21</v>
      </c>
      <c r="GJ12" s="74">
        <v>16</v>
      </c>
      <c r="GK12" s="74">
        <v>11</v>
      </c>
      <c r="GL12" s="74">
        <v>0</v>
      </c>
      <c r="GM12" s="74">
        <v>97</v>
      </c>
      <c r="GO12" s="433">
        <v>1420402</v>
      </c>
      <c r="GP12" s="74" t="s">
        <v>267</v>
      </c>
      <c r="GQ12" s="74" t="s">
        <v>264</v>
      </c>
      <c r="GR12" s="74"/>
      <c r="GS12" s="74">
        <v>7</v>
      </c>
      <c r="GT12" s="74">
        <v>15</v>
      </c>
      <c r="GU12" s="74">
        <v>19</v>
      </c>
      <c r="GV12" s="74">
        <v>18</v>
      </c>
      <c r="GW12" s="74">
        <v>14</v>
      </c>
      <c r="GX12" s="74">
        <v>10</v>
      </c>
      <c r="GY12" s="74">
        <v>0</v>
      </c>
      <c r="GZ12" s="74">
        <f t="shared" si="3"/>
        <v>83</v>
      </c>
    </row>
    <row r="13" spans="1:326">
      <c r="A13" s="483">
        <v>1420500</v>
      </c>
      <c r="B13" s="478" t="s">
        <v>50</v>
      </c>
      <c r="C13" s="478">
        <v>60</v>
      </c>
      <c r="D13" s="478">
        <v>119</v>
      </c>
      <c r="E13" s="478">
        <v>124</v>
      </c>
      <c r="F13" s="478">
        <v>121</v>
      </c>
      <c r="G13" s="478">
        <v>80</v>
      </c>
      <c r="H13" s="478">
        <v>66</v>
      </c>
      <c r="I13" s="478"/>
      <c r="J13" s="479">
        <f>SUM(C13:H13)</f>
        <v>570</v>
      </c>
      <c r="K13" s="480">
        <f>'CORTE 4200'!$O$97</f>
        <v>-148</v>
      </c>
      <c r="L13" s="480">
        <v>50</v>
      </c>
      <c r="M13" s="481"/>
      <c r="N13" s="500"/>
      <c r="O13">
        <v>1420500</v>
      </c>
      <c r="P13" t="s">
        <v>268</v>
      </c>
      <c r="Q13" t="s">
        <v>264</v>
      </c>
      <c r="R13"/>
      <c r="S13">
        <v>60</v>
      </c>
      <c r="T13">
        <v>119</v>
      </c>
      <c r="U13">
        <v>124</v>
      </c>
      <c r="V13">
        <v>121</v>
      </c>
      <c r="W13">
        <v>80</v>
      </c>
      <c r="X13">
        <v>66</v>
      </c>
      <c r="Y13">
        <v>0</v>
      </c>
      <c r="Z13">
        <f t="shared" si="5"/>
        <v>570</v>
      </c>
      <c r="AA13" s="500"/>
      <c r="AB13" s="74">
        <v>1420500</v>
      </c>
      <c r="AC13" s="74" t="s">
        <v>268</v>
      </c>
      <c r="AD13" s="74" t="s">
        <v>264</v>
      </c>
      <c r="AE13"/>
      <c r="AF13" s="74">
        <v>60</v>
      </c>
      <c r="AG13" s="74">
        <v>119</v>
      </c>
      <c r="AH13" s="74">
        <v>123</v>
      </c>
      <c r="AI13" s="74">
        <v>120</v>
      </c>
      <c r="AJ13" s="74">
        <v>80</v>
      </c>
      <c r="AK13" s="74">
        <v>66</v>
      </c>
      <c r="AL13" s="74">
        <v>0</v>
      </c>
      <c r="AM13" s="74">
        <f t="shared" si="1"/>
        <v>568</v>
      </c>
      <c r="AO13" s="74">
        <v>1420500</v>
      </c>
      <c r="AP13" s="74" t="s">
        <v>268</v>
      </c>
      <c r="AQ13" s="74" t="s">
        <v>264</v>
      </c>
      <c r="AR13" s="74"/>
      <c r="AS13" s="74">
        <v>60</v>
      </c>
      <c r="AT13" s="74">
        <v>117</v>
      </c>
      <c r="AU13" s="74">
        <v>121</v>
      </c>
      <c r="AV13" s="74">
        <v>118</v>
      </c>
      <c r="AW13" s="74">
        <v>78</v>
      </c>
      <c r="AX13" s="74">
        <v>64</v>
      </c>
      <c r="AY13" s="74">
        <v>0</v>
      </c>
      <c r="AZ13" s="74">
        <f t="shared" si="6"/>
        <v>558</v>
      </c>
      <c r="BB13" s="74">
        <v>1420500</v>
      </c>
      <c r="BC13" s="74" t="s">
        <v>268</v>
      </c>
      <c r="BD13" s="74" t="s">
        <v>264</v>
      </c>
      <c r="BE13" s="74"/>
      <c r="BF13" s="74">
        <v>52</v>
      </c>
      <c r="BG13" s="74">
        <v>105</v>
      </c>
      <c r="BH13" s="74">
        <v>109</v>
      </c>
      <c r="BI13" s="74">
        <v>106</v>
      </c>
      <c r="BJ13" s="74">
        <v>75</v>
      </c>
      <c r="BK13" s="74">
        <v>61</v>
      </c>
      <c r="BL13" s="74">
        <v>0</v>
      </c>
      <c r="BM13" s="74">
        <f t="shared" si="8"/>
        <v>508</v>
      </c>
      <c r="BO13" s="74">
        <v>1420500</v>
      </c>
      <c r="BP13" s="74" t="s">
        <v>268</v>
      </c>
      <c r="BQ13" s="74" t="s">
        <v>264</v>
      </c>
      <c r="BR13" s="74"/>
      <c r="BS13" s="74">
        <v>52</v>
      </c>
      <c r="BT13" s="74">
        <v>105</v>
      </c>
      <c r="BU13" s="74">
        <v>109</v>
      </c>
      <c r="BV13" s="74">
        <v>106</v>
      </c>
      <c r="BW13" s="74">
        <v>75</v>
      </c>
      <c r="BX13" s="74">
        <v>61</v>
      </c>
      <c r="BY13" s="74">
        <v>0</v>
      </c>
      <c r="BZ13" s="74">
        <f t="shared" si="7"/>
        <v>508</v>
      </c>
      <c r="CB13" s="74">
        <v>1420500</v>
      </c>
      <c r="CC13" s="74" t="s">
        <v>268</v>
      </c>
      <c r="CD13" s="74" t="s">
        <v>264</v>
      </c>
      <c r="CE13" s="74"/>
      <c r="CF13" s="74">
        <v>52</v>
      </c>
      <c r="CG13" s="74">
        <v>105</v>
      </c>
      <c r="CH13" s="74">
        <v>109</v>
      </c>
      <c r="CI13" s="74">
        <v>106</v>
      </c>
      <c r="CJ13" s="74">
        <v>75</v>
      </c>
      <c r="CK13" s="74">
        <v>61</v>
      </c>
      <c r="CL13" s="74">
        <v>0</v>
      </c>
      <c r="CM13" s="74">
        <f t="shared" si="2"/>
        <v>508</v>
      </c>
      <c r="CO13" s="74">
        <v>1420500</v>
      </c>
      <c r="CP13" s="74" t="s">
        <v>268</v>
      </c>
      <c r="CQ13" s="74" t="s">
        <v>264</v>
      </c>
      <c r="CR13" s="74"/>
      <c r="CS13" s="74">
        <v>52</v>
      </c>
      <c r="CT13" s="74">
        <v>104</v>
      </c>
      <c r="CU13" s="74">
        <v>108</v>
      </c>
      <c r="CV13" s="74">
        <v>105</v>
      </c>
      <c r="CW13" s="74">
        <v>74</v>
      </c>
      <c r="CX13" s="74">
        <v>61</v>
      </c>
      <c r="CY13" s="74">
        <v>0</v>
      </c>
      <c r="CZ13" s="74">
        <v>504</v>
      </c>
      <c r="DB13" s="74">
        <v>1420500</v>
      </c>
      <c r="DC13" s="74" t="s">
        <v>268</v>
      </c>
      <c r="DD13" s="74" t="s">
        <v>264</v>
      </c>
      <c r="DE13" s="74"/>
      <c r="DF13" s="74">
        <v>51</v>
      </c>
      <c r="DG13" s="74">
        <v>101</v>
      </c>
      <c r="DH13" s="74">
        <v>104</v>
      </c>
      <c r="DI13" s="74">
        <v>101</v>
      </c>
      <c r="DJ13" s="74">
        <v>70</v>
      </c>
      <c r="DK13" s="74">
        <v>59</v>
      </c>
      <c r="DL13" s="74">
        <v>0</v>
      </c>
      <c r="DM13" s="74">
        <v>486</v>
      </c>
      <c r="DO13" s="74">
        <v>1420500</v>
      </c>
      <c r="DP13" s="74" t="s">
        <v>268</v>
      </c>
      <c r="DQ13" s="74" t="s">
        <v>264</v>
      </c>
      <c r="DR13" s="74"/>
      <c r="DS13" s="74">
        <v>51</v>
      </c>
      <c r="DT13" s="74">
        <v>99</v>
      </c>
      <c r="DU13" s="74">
        <v>101</v>
      </c>
      <c r="DV13" s="74">
        <v>98</v>
      </c>
      <c r="DW13" s="74">
        <v>67</v>
      </c>
      <c r="DX13" s="74">
        <v>57</v>
      </c>
      <c r="DY13" s="74">
        <v>0</v>
      </c>
      <c r="DZ13" s="74">
        <v>473</v>
      </c>
      <c r="EA13" s="74"/>
      <c r="EB13" s="74">
        <v>1420500</v>
      </c>
      <c r="EC13" s="74" t="s">
        <v>268</v>
      </c>
      <c r="ED13" s="74" t="s">
        <v>264</v>
      </c>
      <c r="EE13" s="74"/>
      <c r="EF13" s="74">
        <v>51</v>
      </c>
      <c r="EG13" s="74">
        <v>99</v>
      </c>
      <c r="EH13" s="74">
        <v>101</v>
      </c>
      <c r="EI13" s="74">
        <v>98</v>
      </c>
      <c r="EJ13" s="74">
        <v>67</v>
      </c>
      <c r="EK13" s="74">
        <v>57</v>
      </c>
      <c r="EL13" s="74">
        <v>0</v>
      </c>
      <c r="EM13" s="74">
        <v>473</v>
      </c>
      <c r="EO13" s="74">
        <v>1420500</v>
      </c>
      <c r="EP13" s="74" t="s">
        <v>268</v>
      </c>
      <c r="EQ13" s="74" t="s">
        <v>264</v>
      </c>
      <c r="ER13" s="74"/>
      <c r="ES13" s="74">
        <v>46</v>
      </c>
      <c r="ET13" s="74">
        <v>93</v>
      </c>
      <c r="EU13" s="74">
        <v>95</v>
      </c>
      <c r="EV13" s="74">
        <v>93</v>
      </c>
      <c r="EW13" s="74">
        <v>64</v>
      </c>
      <c r="EX13" s="74">
        <v>54</v>
      </c>
      <c r="EY13" s="74">
        <v>0</v>
      </c>
      <c r="EZ13" s="74">
        <v>445</v>
      </c>
      <c r="FB13" s="74">
        <v>1420500</v>
      </c>
      <c r="FC13" s="74" t="s">
        <v>268</v>
      </c>
      <c r="FD13" s="74" t="s">
        <v>264</v>
      </c>
      <c r="FE13" s="74"/>
      <c r="FF13" s="74">
        <v>46</v>
      </c>
      <c r="FG13" s="74">
        <v>93</v>
      </c>
      <c r="FH13" s="74">
        <v>95</v>
      </c>
      <c r="FI13" s="74">
        <v>93</v>
      </c>
      <c r="FJ13" s="74">
        <v>64</v>
      </c>
      <c r="FK13" s="74">
        <v>54</v>
      </c>
      <c r="FL13" s="74">
        <v>0</v>
      </c>
      <c r="FM13" s="74">
        <v>445</v>
      </c>
      <c r="FO13" s="74">
        <v>1420500</v>
      </c>
      <c r="FP13" s="74" t="s">
        <v>268</v>
      </c>
      <c r="FQ13" s="74" t="s">
        <v>264</v>
      </c>
      <c r="FR13" s="74"/>
      <c r="FS13" s="74">
        <v>44</v>
      </c>
      <c r="FT13" s="74">
        <v>87</v>
      </c>
      <c r="FU13" s="74">
        <v>89</v>
      </c>
      <c r="FV13" s="74">
        <v>87</v>
      </c>
      <c r="FW13" s="74">
        <v>60</v>
      </c>
      <c r="FX13" s="74">
        <v>50</v>
      </c>
      <c r="FY13" s="74">
        <v>0</v>
      </c>
      <c r="FZ13" s="74">
        <v>417</v>
      </c>
      <c r="GB13" s="74">
        <v>1420500</v>
      </c>
      <c r="GC13" s="74" t="s">
        <v>268</v>
      </c>
      <c r="GD13" s="74" t="s">
        <v>264</v>
      </c>
      <c r="GE13" s="74"/>
      <c r="GF13" s="74">
        <v>21</v>
      </c>
      <c r="GG13" s="74">
        <v>31</v>
      </c>
      <c r="GH13" s="74">
        <v>33</v>
      </c>
      <c r="GI13" s="74">
        <v>30</v>
      </c>
      <c r="GJ13" s="74">
        <v>22</v>
      </c>
      <c r="GK13" s="74">
        <v>14</v>
      </c>
      <c r="GL13" s="74">
        <v>0</v>
      </c>
      <c r="GM13" s="74">
        <v>151</v>
      </c>
      <c r="GO13" s="434">
        <v>1420500</v>
      </c>
      <c r="GP13" s="74" t="s">
        <v>268</v>
      </c>
      <c r="GQ13" s="74" t="s">
        <v>264</v>
      </c>
      <c r="GR13" s="74"/>
      <c r="GS13" s="74">
        <v>18</v>
      </c>
      <c r="GT13" s="74">
        <v>26</v>
      </c>
      <c r="GU13" s="74">
        <v>26</v>
      </c>
      <c r="GV13" s="74">
        <f>14+10</f>
        <v>24</v>
      </c>
      <c r="GW13" s="74">
        <f>20-10+8</f>
        <v>18</v>
      </c>
      <c r="GX13" s="74">
        <f>13-8+6</f>
        <v>11</v>
      </c>
      <c r="GY13" s="74"/>
      <c r="GZ13" s="74">
        <f t="shared" si="3"/>
        <v>123</v>
      </c>
    </row>
    <row r="14" spans="1:326">
      <c r="A14" s="483">
        <v>1420501</v>
      </c>
      <c r="B14" s="478" t="s">
        <v>50</v>
      </c>
      <c r="C14" s="478">
        <v>35</v>
      </c>
      <c r="D14" s="478">
        <v>78</v>
      </c>
      <c r="E14" s="478">
        <v>87</v>
      </c>
      <c r="F14" s="478">
        <v>85</v>
      </c>
      <c r="G14" s="478">
        <v>62</v>
      </c>
      <c r="H14" s="478">
        <v>54</v>
      </c>
      <c r="I14" s="478"/>
      <c r="J14" s="479">
        <f t="shared" si="4"/>
        <v>401</v>
      </c>
      <c r="K14" s="480">
        <f>'CORTE 4200'!$O$106</f>
        <v>-6</v>
      </c>
      <c r="L14" s="480"/>
      <c r="M14" s="481"/>
      <c r="N14" s="500"/>
      <c r="O14">
        <v>1420501</v>
      </c>
      <c r="P14" t="s">
        <v>268</v>
      </c>
      <c r="Q14" t="s">
        <v>264</v>
      </c>
      <c r="R14"/>
      <c r="S14">
        <v>35</v>
      </c>
      <c r="T14">
        <v>78</v>
      </c>
      <c r="U14">
        <v>87</v>
      </c>
      <c r="V14">
        <v>85</v>
      </c>
      <c r="W14">
        <v>62</v>
      </c>
      <c r="X14">
        <v>54</v>
      </c>
      <c r="Y14">
        <v>0</v>
      </c>
      <c r="Z14">
        <f t="shared" si="5"/>
        <v>401</v>
      </c>
      <c r="AA14" s="500"/>
      <c r="AB14" s="74">
        <v>1420501</v>
      </c>
      <c r="AC14" s="74" t="s">
        <v>268</v>
      </c>
      <c r="AD14" s="74" t="s">
        <v>264</v>
      </c>
      <c r="AE14"/>
      <c r="AF14" s="74">
        <v>35</v>
      </c>
      <c r="AG14" s="74">
        <v>78</v>
      </c>
      <c r="AH14" s="74">
        <v>87</v>
      </c>
      <c r="AI14" s="74">
        <v>85</v>
      </c>
      <c r="AJ14" s="74">
        <v>62</v>
      </c>
      <c r="AK14" s="74">
        <v>54</v>
      </c>
      <c r="AL14" s="74">
        <v>0</v>
      </c>
      <c r="AM14" s="74">
        <f t="shared" si="1"/>
        <v>401</v>
      </c>
      <c r="AO14" s="74">
        <v>1420501</v>
      </c>
      <c r="AP14" s="74" t="s">
        <v>268</v>
      </c>
      <c r="AQ14" s="74" t="s">
        <v>264</v>
      </c>
      <c r="AR14" s="74"/>
      <c r="AS14" s="74">
        <v>35</v>
      </c>
      <c r="AT14" s="74">
        <v>78</v>
      </c>
      <c r="AU14" s="74">
        <v>87</v>
      </c>
      <c r="AV14" s="74">
        <v>85</v>
      </c>
      <c r="AW14" s="74">
        <v>62</v>
      </c>
      <c r="AX14" s="74">
        <v>54</v>
      </c>
      <c r="AY14" s="74">
        <v>0</v>
      </c>
      <c r="AZ14" s="74">
        <f t="shared" si="6"/>
        <v>401</v>
      </c>
      <c r="BB14" s="74">
        <v>1420501</v>
      </c>
      <c r="BC14" s="74" t="s">
        <v>268</v>
      </c>
      <c r="BD14" s="74" t="s">
        <v>264</v>
      </c>
      <c r="BE14" s="74"/>
      <c r="BF14" s="74">
        <v>34</v>
      </c>
      <c r="BG14" s="74">
        <v>76</v>
      </c>
      <c r="BH14" s="74">
        <v>84</v>
      </c>
      <c r="BI14" s="74">
        <v>83</v>
      </c>
      <c r="BJ14" s="74">
        <v>61</v>
      </c>
      <c r="BK14" s="74">
        <v>53</v>
      </c>
      <c r="BL14" s="74">
        <v>0</v>
      </c>
      <c r="BM14" s="74">
        <f t="shared" si="8"/>
        <v>391</v>
      </c>
      <c r="BO14" s="74">
        <v>1420501</v>
      </c>
      <c r="BP14" s="74" t="s">
        <v>268</v>
      </c>
      <c r="BQ14" s="74" t="s">
        <v>264</v>
      </c>
      <c r="BR14" s="74"/>
      <c r="BS14" s="74">
        <v>32</v>
      </c>
      <c r="BT14" s="74">
        <v>72</v>
      </c>
      <c r="BU14" s="74">
        <v>80</v>
      </c>
      <c r="BV14" s="74">
        <v>80</v>
      </c>
      <c r="BW14" s="74">
        <v>59</v>
      </c>
      <c r="BX14" s="74">
        <v>52</v>
      </c>
      <c r="BY14" s="74">
        <v>0</v>
      </c>
      <c r="BZ14" s="74">
        <f t="shared" si="7"/>
        <v>375</v>
      </c>
      <c r="CB14" s="74">
        <v>1420501</v>
      </c>
      <c r="CC14" s="74" t="s">
        <v>268</v>
      </c>
      <c r="CD14" s="74" t="s">
        <v>264</v>
      </c>
      <c r="CE14" s="74"/>
      <c r="CF14" s="74">
        <v>30</v>
      </c>
      <c r="CG14" s="74">
        <v>70</v>
      </c>
      <c r="CH14" s="74">
        <v>78</v>
      </c>
      <c r="CI14" s="74">
        <v>77</v>
      </c>
      <c r="CJ14" s="74">
        <v>57</v>
      </c>
      <c r="CK14" s="74">
        <v>52</v>
      </c>
      <c r="CL14" s="74">
        <v>0</v>
      </c>
      <c r="CM14" s="74">
        <f t="shared" si="2"/>
        <v>364</v>
      </c>
      <c r="CO14" s="74">
        <v>1420501</v>
      </c>
      <c r="CP14" s="74" t="s">
        <v>268</v>
      </c>
      <c r="CQ14" s="74" t="s">
        <v>264</v>
      </c>
      <c r="CR14" s="74"/>
      <c r="CS14" s="74">
        <v>30</v>
      </c>
      <c r="CT14" s="74">
        <v>70</v>
      </c>
      <c r="CU14" s="74">
        <v>78</v>
      </c>
      <c r="CV14" s="74">
        <v>77</v>
      </c>
      <c r="CW14" s="74">
        <v>57</v>
      </c>
      <c r="CX14" s="74">
        <v>52</v>
      </c>
      <c r="CY14" s="74">
        <v>0</v>
      </c>
      <c r="CZ14" s="74">
        <v>364</v>
      </c>
      <c r="DB14" s="74">
        <v>1420501</v>
      </c>
      <c r="DC14" s="74" t="s">
        <v>268</v>
      </c>
      <c r="DD14" s="74" t="s">
        <v>264</v>
      </c>
      <c r="DE14" s="74"/>
      <c r="DF14" s="74">
        <v>30</v>
      </c>
      <c r="DG14" s="74">
        <v>69</v>
      </c>
      <c r="DH14" s="74">
        <v>74</v>
      </c>
      <c r="DI14" s="74">
        <v>71</v>
      </c>
      <c r="DJ14" s="74">
        <v>51</v>
      </c>
      <c r="DK14" s="74">
        <v>46</v>
      </c>
      <c r="DL14" s="74">
        <v>0</v>
      </c>
      <c r="DM14" s="74">
        <v>341</v>
      </c>
      <c r="DO14" s="74">
        <v>1420501</v>
      </c>
      <c r="DP14" s="74" t="s">
        <v>268</v>
      </c>
      <c r="DQ14" s="74" t="s">
        <v>264</v>
      </c>
      <c r="DR14" s="74"/>
      <c r="DS14" s="74">
        <v>30</v>
      </c>
      <c r="DT14" s="74">
        <v>69</v>
      </c>
      <c r="DU14" s="74">
        <v>74</v>
      </c>
      <c r="DV14" s="74">
        <v>71</v>
      </c>
      <c r="DW14" s="74">
        <v>51</v>
      </c>
      <c r="DX14" s="74">
        <v>46</v>
      </c>
      <c r="DY14" s="74">
        <v>0</v>
      </c>
      <c r="DZ14" s="74">
        <v>341</v>
      </c>
      <c r="EA14" s="74"/>
      <c r="EB14" s="74">
        <v>1420501</v>
      </c>
      <c r="EC14" s="74" t="s">
        <v>268</v>
      </c>
      <c r="ED14" s="74" t="s">
        <v>264</v>
      </c>
      <c r="EE14" s="74"/>
      <c r="EF14" s="74">
        <v>30</v>
      </c>
      <c r="EG14" s="74">
        <v>69</v>
      </c>
      <c r="EH14" s="74">
        <v>74</v>
      </c>
      <c r="EI14" s="74">
        <v>71</v>
      </c>
      <c r="EJ14" s="74">
        <v>51</v>
      </c>
      <c r="EK14" s="74">
        <v>46</v>
      </c>
      <c r="EL14" s="74">
        <v>0</v>
      </c>
      <c r="EM14" s="74">
        <v>341</v>
      </c>
      <c r="EO14" s="74">
        <v>1420501</v>
      </c>
      <c r="EP14" s="74" t="s">
        <v>268</v>
      </c>
      <c r="EQ14" s="74" t="s">
        <v>264</v>
      </c>
      <c r="ER14" s="74"/>
      <c r="ES14" s="74">
        <v>29</v>
      </c>
      <c r="ET14" s="74">
        <v>67</v>
      </c>
      <c r="EU14" s="74">
        <v>72</v>
      </c>
      <c r="EV14" s="74">
        <v>69</v>
      </c>
      <c r="EW14" s="74">
        <v>49</v>
      </c>
      <c r="EX14" s="74">
        <v>44</v>
      </c>
      <c r="EY14" s="74">
        <v>0</v>
      </c>
      <c r="EZ14" s="74">
        <v>330</v>
      </c>
      <c r="FB14" s="74">
        <v>1420501</v>
      </c>
      <c r="FC14" s="74" t="s">
        <v>268</v>
      </c>
      <c r="FD14" s="74" t="s">
        <v>264</v>
      </c>
      <c r="FE14" s="74"/>
      <c r="FF14" s="74">
        <v>22</v>
      </c>
      <c r="FG14" s="74">
        <v>56</v>
      </c>
      <c r="FH14" s="74">
        <v>60</v>
      </c>
      <c r="FI14" s="74">
        <v>59</v>
      </c>
      <c r="FJ14" s="74">
        <v>42</v>
      </c>
      <c r="FK14" s="74">
        <v>38</v>
      </c>
      <c r="FL14" s="74">
        <v>0</v>
      </c>
      <c r="FM14" s="74">
        <v>277</v>
      </c>
      <c r="FO14" s="74">
        <v>1420501</v>
      </c>
      <c r="FP14" s="74" t="s">
        <v>268</v>
      </c>
      <c r="FQ14" s="74" t="s">
        <v>264</v>
      </c>
      <c r="FR14" s="74"/>
      <c r="FS14" s="74">
        <v>22</v>
      </c>
      <c r="FT14" s="74">
        <v>56</v>
      </c>
      <c r="FU14" s="74">
        <v>60</v>
      </c>
      <c r="FV14" s="74">
        <v>59</v>
      </c>
      <c r="FW14" s="74">
        <v>42</v>
      </c>
      <c r="FX14" s="74">
        <v>38</v>
      </c>
      <c r="FY14" s="74">
        <v>0</v>
      </c>
      <c r="FZ14" s="74">
        <v>277</v>
      </c>
      <c r="GB14" s="74">
        <v>1420501</v>
      </c>
      <c r="GC14" s="74" t="s">
        <v>268</v>
      </c>
      <c r="GD14" s="74" t="s">
        <v>264</v>
      </c>
      <c r="GE14" s="74"/>
      <c r="GF14" s="74">
        <v>9</v>
      </c>
      <c r="GG14" s="74">
        <v>17</v>
      </c>
      <c r="GH14" s="74">
        <v>21</v>
      </c>
      <c r="GI14" s="74">
        <v>20</v>
      </c>
      <c r="GJ14" s="74">
        <v>16</v>
      </c>
      <c r="GK14" s="74">
        <v>12</v>
      </c>
      <c r="GL14" s="74">
        <v>0</v>
      </c>
      <c r="GM14" s="74">
        <v>95</v>
      </c>
      <c r="GO14" s="434">
        <v>1420501</v>
      </c>
      <c r="GP14" s="74" t="s">
        <v>268</v>
      </c>
      <c r="GQ14" s="74" t="s">
        <v>264</v>
      </c>
      <c r="GR14" s="74"/>
      <c r="GS14" s="74">
        <v>9</v>
      </c>
      <c r="GT14" s="74">
        <v>17</v>
      </c>
      <c r="GU14" s="74">
        <v>21</v>
      </c>
      <c r="GV14" s="74">
        <v>20</v>
      </c>
      <c r="GW14" s="74">
        <v>16</v>
      </c>
      <c r="GX14" s="74">
        <v>12</v>
      </c>
      <c r="GY14" s="74">
        <v>0</v>
      </c>
      <c r="GZ14" s="74">
        <f t="shared" si="3"/>
        <v>95</v>
      </c>
    </row>
    <row r="15" spans="1:326">
      <c r="A15" s="483">
        <v>1420502</v>
      </c>
      <c r="B15" s="478" t="s">
        <v>50</v>
      </c>
      <c r="C15" s="478">
        <v>0</v>
      </c>
      <c r="D15" s="478">
        <v>4</v>
      </c>
      <c r="E15" s="478">
        <v>8</v>
      </c>
      <c r="F15" s="478">
        <v>8</v>
      </c>
      <c r="G15" s="478">
        <v>7</v>
      </c>
      <c r="H15" s="478">
        <v>5</v>
      </c>
      <c r="I15" s="478"/>
      <c r="J15" s="479">
        <f t="shared" si="4"/>
        <v>32</v>
      </c>
      <c r="K15" s="480">
        <f>'CORTE 4200'!$O$115</f>
        <v>0</v>
      </c>
      <c r="L15" s="480"/>
      <c r="M15" s="481"/>
      <c r="N15" s="500"/>
      <c r="O15">
        <v>1420502</v>
      </c>
      <c r="P15" t="s">
        <v>268</v>
      </c>
      <c r="Q15" t="s">
        <v>264</v>
      </c>
      <c r="R15"/>
      <c r="S15">
        <v>0</v>
      </c>
      <c r="T15">
        <v>4</v>
      </c>
      <c r="U15">
        <v>8</v>
      </c>
      <c r="V15">
        <v>8</v>
      </c>
      <c r="W15">
        <v>7</v>
      </c>
      <c r="X15">
        <v>5</v>
      </c>
      <c r="Y15">
        <v>0</v>
      </c>
      <c r="Z15">
        <f t="shared" si="5"/>
        <v>32</v>
      </c>
      <c r="AA15" s="500"/>
      <c r="AB15" s="74">
        <v>1420502</v>
      </c>
      <c r="AC15" s="74" t="s">
        <v>268</v>
      </c>
      <c r="AD15" s="74" t="s">
        <v>264</v>
      </c>
      <c r="AE15"/>
      <c r="AF15" s="74">
        <v>0</v>
      </c>
      <c r="AG15" s="74">
        <v>4</v>
      </c>
      <c r="AH15" s="74">
        <v>8</v>
      </c>
      <c r="AI15" s="74">
        <v>8</v>
      </c>
      <c r="AJ15" s="74">
        <v>7</v>
      </c>
      <c r="AK15" s="74">
        <v>5</v>
      </c>
      <c r="AL15" s="74">
        <v>0</v>
      </c>
      <c r="AM15" s="74">
        <f t="shared" si="1"/>
        <v>32</v>
      </c>
      <c r="AO15" s="74">
        <v>1420502</v>
      </c>
      <c r="AP15" s="74" t="s">
        <v>268</v>
      </c>
      <c r="AQ15" s="74" t="s">
        <v>264</v>
      </c>
      <c r="AR15" s="74"/>
      <c r="AS15" s="74">
        <v>0</v>
      </c>
      <c r="AT15" s="74">
        <v>4</v>
      </c>
      <c r="AU15" s="74">
        <v>8</v>
      </c>
      <c r="AV15" s="74">
        <v>8</v>
      </c>
      <c r="AW15" s="74">
        <v>7</v>
      </c>
      <c r="AX15" s="74">
        <v>5</v>
      </c>
      <c r="AY15" s="74">
        <v>0</v>
      </c>
      <c r="AZ15" s="74">
        <f t="shared" si="6"/>
        <v>32</v>
      </c>
      <c r="BB15" s="74">
        <v>1420502</v>
      </c>
      <c r="BC15" s="74" t="s">
        <v>268</v>
      </c>
      <c r="BD15" s="74" t="s">
        <v>264</v>
      </c>
      <c r="BE15" s="74"/>
      <c r="BF15" s="74">
        <v>0</v>
      </c>
      <c r="BG15" s="74">
        <v>4</v>
      </c>
      <c r="BH15" s="74">
        <v>8</v>
      </c>
      <c r="BI15" s="74">
        <v>8</v>
      </c>
      <c r="BJ15" s="74">
        <v>7</v>
      </c>
      <c r="BK15" s="74">
        <v>5</v>
      </c>
      <c r="BL15" s="74">
        <v>0</v>
      </c>
      <c r="BM15" s="74">
        <f t="shared" si="8"/>
        <v>32</v>
      </c>
      <c r="BO15" s="74">
        <v>1420502</v>
      </c>
      <c r="BP15" s="74" t="s">
        <v>268</v>
      </c>
      <c r="BQ15" s="74" t="s">
        <v>264</v>
      </c>
      <c r="BR15" s="74"/>
      <c r="BS15" s="74">
        <v>0</v>
      </c>
      <c r="BT15" s="74">
        <v>4</v>
      </c>
      <c r="BU15" s="74">
        <v>8</v>
      </c>
      <c r="BV15" s="74">
        <v>8</v>
      </c>
      <c r="BW15" s="74">
        <v>7</v>
      </c>
      <c r="BX15" s="74">
        <v>5</v>
      </c>
      <c r="BY15" s="74">
        <v>0</v>
      </c>
      <c r="BZ15" s="74">
        <f t="shared" si="7"/>
        <v>32</v>
      </c>
      <c r="CB15" s="74">
        <v>1420502</v>
      </c>
      <c r="CC15" s="74" t="s">
        <v>268</v>
      </c>
      <c r="CD15" s="74" t="s">
        <v>264</v>
      </c>
      <c r="CE15" s="74"/>
      <c r="CF15" s="74">
        <v>0</v>
      </c>
      <c r="CG15" s="74">
        <v>4</v>
      </c>
      <c r="CH15" s="74">
        <v>8</v>
      </c>
      <c r="CI15" s="74">
        <v>8</v>
      </c>
      <c r="CJ15" s="74">
        <v>7</v>
      </c>
      <c r="CK15" s="74">
        <v>5</v>
      </c>
      <c r="CL15" s="74">
        <v>0</v>
      </c>
      <c r="CM15" s="74">
        <f t="shared" si="2"/>
        <v>32</v>
      </c>
      <c r="CO15" s="74">
        <v>1420502</v>
      </c>
      <c r="CP15" s="74" t="s">
        <v>268</v>
      </c>
      <c r="CQ15" s="74" t="s">
        <v>264</v>
      </c>
      <c r="CR15" s="74"/>
      <c r="CS15" s="74">
        <v>0</v>
      </c>
      <c r="CT15" s="74">
        <v>4</v>
      </c>
      <c r="CU15" s="74">
        <v>8</v>
      </c>
      <c r="CV15" s="74">
        <v>8</v>
      </c>
      <c r="CW15" s="74">
        <v>7</v>
      </c>
      <c r="CX15" s="74">
        <v>5</v>
      </c>
      <c r="CY15" s="74">
        <v>0</v>
      </c>
      <c r="CZ15" s="74">
        <v>32</v>
      </c>
      <c r="DB15" s="74">
        <v>1420502</v>
      </c>
      <c r="DC15" s="74" t="s">
        <v>268</v>
      </c>
      <c r="DD15" s="74" t="s">
        <v>264</v>
      </c>
      <c r="DE15" s="74"/>
      <c r="DF15" s="74">
        <v>0</v>
      </c>
      <c r="DG15" s="74">
        <v>4</v>
      </c>
      <c r="DH15" s="74">
        <v>8</v>
      </c>
      <c r="DI15" s="74">
        <v>8</v>
      </c>
      <c r="DJ15" s="74">
        <v>7</v>
      </c>
      <c r="DK15" s="74">
        <v>5</v>
      </c>
      <c r="DL15" s="74">
        <v>0</v>
      </c>
      <c r="DM15" s="74">
        <v>32</v>
      </c>
      <c r="DO15" s="74">
        <v>1420502</v>
      </c>
      <c r="DP15" s="74" t="s">
        <v>268</v>
      </c>
      <c r="DQ15" s="74" t="s">
        <v>264</v>
      </c>
      <c r="DR15" s="74"/>
      <c r="DS15" s="74">
        <v>0</v>
      </c>
      <c r="DT15" s="74">
        <v>4</v>
      </c>
      <c r="DU15" s="74">
        <v>8</v>
      </c>
      <c r="DV15" s="74">
        <v>8</v>
      </c>
      <c r="DW15" s="74">
        <v>7</v>
      </c>
      <c r="DX15" s="74">
        <v>5</v>
      </c>
      <c r="DY15" s="74">
        <v>0</v>
      </c>
      <c r="DZ15" s="74">
        <v>32</v>
      </c>
      <c r="EA15" s="74"/>
      <c r="EB15" s="74">
        <v>1420502</v>
      </c>
      <c r="EC15" s="74" t="s">
        <v>268</v>
      </c>
      <c r="ED15" s="74" t="s">
        <v>264</v>
      </c>
      <c r="EE15" s="74"/>
      <c r="EF15" s="74">
        <v>0</v>
      </c>
      <c r="EG15" s="74">
        <v>4</v>
      </c>
      <c r="EH15" s="74">
        <v>8</v>
      </c>
      <c r="EI15" s="74">
        <v>8</v>
      </c>
      <c r="EJ15" s="74">
        <v>7</v>
      </c>
      <c r="EK15" s="74">
        <v>5</v>
      </c>
      <c r="EL15" s="74">
        <v>0</v>
      </c>
      <c r="EM15" s="74">
        <v>32</v>
      </c>
      <c r="EO15" s="74">
        <v>1420502</v>
      </c>
      <c r="EP15" s="74" t="s">
        <v>268</v>
      </c>
      <c r="EQ15" s="74" t="s">
        <v>264</v>
      </c>
      <c r="ER15" s="74"/>
      <c r="ES15" s="74">
        <v>0</v>
      </c>
      <c r="ET15" s="74">
        <v>4</v>
      </c>
      <c r="EU15" s="74">
        <v>8</v>
      </c>
      <c r="EV15" s="74">
        <v>8</v>
      </c>
      <c r="EW15" s="74">
        <v>7</v>
      </c>
      <c r="EX15" s="74">
        <v>5</v>
      </c>
      <c r="EY15" s="74">
        <v>0</v>
      </c>
      <c r="EZ15" s="74">
        <v>32</v>
      </c>
      <c r="FB15" s="74">
        <v>1420502</v>
      </c>
      <c r="FC15" s="74" t="s">
        <v>268</v>
      </c>
      <c r="FD15" s="74" t="s">
        <v>264</v>
      </c>
      <c r="FE15" s="74"/>
      <c r="FF15" s="74">
        <v>0</v>
      </c>
      <c r="FG15" s="74">
        <v>4</v>
      </c>
      <c r="FH15" s="74">
        <v>8</v>
      </c>
      <c r="FI15" s="74">
        <v>8</v>
      </c>
      <c r="FJ15" s="74">
        <v>7</v>
      </c>
      <c r="FK15" s="74">
        <v>5</v>
      </c>
      <c r="FL15" s="74">
        <v>0</v>
      </c>
      <c r="FM15" s="74">
        <v>32</v>
      </c>
      <c r="FO15" s="74">
        <v>1420502</v>
      </c>
      <c r="FP15" s="74" t="s">
        <v>268</v>
      </c>
      <c r="FQ15" s="74" t="s">
        <v>264</v>
      </c>
      <c r="FR15" s="74"/>
      <c r="FS15" s="74">
        <v>0</v>
      </c>
      <c r="FT15" s="74">
        <v>4</v>
      </c>
      <c r="FU15" s="74">
        <v>8</v>
      </c>
      <c r="FV15" s="74">
        <v>8</v>
      </c>
      <c r="FW15" s="74">
        <v>7</v>
      </c>
      <c r="FX15" s="74">
        <v>5</v>
      </c>
      <c r="FY15" s="74">
        <v>0</v>
      </c>
      <c r="FZ15" s="74">
        <v>32</v>
      </c>
      <c r="GB15" s="74">
        <v>1420502</v>
      </c>
      <c r="GC15" s="74" t="s">
        <v>268</v>
      </c>
      <c r="GD15" s="74" t="s">
        <v>264</v>
      </c>
      <c r="GE15" s="74"/>
      <c r="GF15" s="74">
        <v>0</v>
      </c>
      <c r="GG15" s="74">
        <v>4</v>
      </c>
      <c r="GH15" s="74">
        <v>8</v>
      </c>
      <c r="GI15" s="74">
        <v>8</v>
      </c>
      <c r="GJ15" s="74">
        <v>7</v>
      </c>
      <c r="GK15" s="74">
        <v>5</v>
      </c>
      <c r="GL15" s="74">
        <v>0</v>
      </c>
      <c r="GM15" s="74">
        <v>32</v>
      </c>
      <c r="GO15" s="434">
        <v>1420502</v>
      </c>
      <c r="GP15" s="74" t="s">
        <v>268</v>
      </c>
      <c r="GQ15" s="74" t="s">
        <v>264</v>
      </c>
      <c r="GR15" s="74"/>
      <c r="GS15" s="74">
        <v>0</v>
      </c>
      <c r="GT15" s="74">
        <v>4</v>
      </c>
      <c r="GU15" s="74">
        <v>8</v>
      </c>
      <c r="GV15" s="74">
        <v>8</v>
      </c>
      <c r="GW15" s="74">
        <v>7</v>
      </c>
      <c r="GX15" s="74">
        <v>5</v>
      </c>
      <c r="GY15" s="74">
        <v>0</v>
      </c>
      <c r="GZ15" s="74">
        <f t="shared" si="3"/>
        <v>32</v>
      </c>
    </row>
    <row r="16" spans="1:326">
      <c r="A16" s="478">
        <v>1420600</v>
      </c>
      <c r="B16" s="478" t="s">
        <v>36</v>
      </c>
      <c r="C16" s="478">
        <v>35</v>
      </c>
      <c r="D16" s="478">
        <v>71</v>
      </c>
      <c r="E16" s="478">
        <v>70</v>
      </c>
      <c r="F16" s="478">
        <v>63</v>
      </c>
      <c r="G16" s="478">
        <v>40</v>
      </c>
      <c r="H16" s="478">
        <v>26</v>
      </c>
      <c r="I16" s="478"/>
      <c r="J16" s="479">
        <f>SUM(C16:H16)</f>
        <v>305</v>
      </c>
      <c r="K16" s="480">
        <f>'CORTE 4200'!$O$124</f>
        <v>-201</v>
      </c>
      <c r="L16" s="480">
        <v>50</v>
      </c>
      <c r="M16" s="481"/>
      <c r="N16" s="500"/>
      <c r="O16">
        <v>1420600</v>
      </c>
      <c r="P16" t="s">
        <v>263</v>
      </c>
      <c r="Q16" t="s">
        <v>264</v>
      </c>
      <c r="R16"/>
      <c r="S16">
        <v>35</v>
      </c>
      <c r="T16">
        <v>71</v>
      </c>
      <c r="U16">
        <v>70</v>
      </c>
      <c r="V16">
        <v>63</v>
      </c>
      <c r="W16">
        <v>40</v>
      </c>
      <c r="X16">
        <v>26</v>
      </c>
      <c r="Y16">
        <v>0</v>
      </c>
      <c r="Z16">
        <f t="shared" si="5"/>
        <v>305</v>
      </c>
      <c r="AA16" s="500"/>
      <c r="AB16" s="74">
        <v>1420600</v>
      </c>
      <c r="AC16" s="74" t="s">
        <v>263</v>
      </c>
      <c r="AD16" s="74" t="s">
        <v>264</v>
      </c>
      <c r="AE16"/>
      <c r="AF16" s="74">
        <v>35</v>
      </c>
      <c r="AG16" s="74">
        <v>69</v>
      </c>
      <c r="AH16" s="74">
        <v>68</v>
      </c>
      <c r="AI16" s="74">
        <v>62</v>
      </c>
      <c r="AJ16" s="74">
        <v>40</v>
      </c>
      <c r="AK16" s="74">
        <v>26</v>
      </c>
      <c r="AL16" s="74">
        <v>0</v>
      </c>
      <c r="AM16" s="74">
        <f t="shared" si="1"/>
        <v>300</v>
      </c>
      <c r="AO16" s="74">
        <v>1420600</v>
      </c>
      <c r="AP16" s="74" t="s">
        <v>263</v>
      </c>
      <c r="AQ16" s="74" t="s">
        <v>264</v>
      </c>
      <c r="AR16" s="74"/>
      <c r="AS16" s="74">
        <v>33</v>
      </c>
      <c r="AT16" s="74">
        <v>67</v>
      </c>
      <c r="AU16" s="74">
        <v>66</v>
      </c>
      <c r="AV16" s="74">
        <v>60</v>
      </c>
      <c r="AW16" s="74">
        <v>39</v>
      </c>
      <c r="AX16" s="74">
        <v>25</v>
      </c>
      <c r="AY16" s="74">
        <v>0</v>
      </c>
      <c r="AZ16" s="74">
        <f t="shared" si="6"/>
        <v>290</v>
      </c>
      <c r="BB16" s="74">
        <v>1420600</v>
      </c>
      <c r="BC16" s="74" t="s">
        <v>263</v>
      </c>
      <c r="BD16" s="74" t="s">
        <v>264</v>
      </c>
      <c r="BE16" s="74"/>
      <c r="BF16" s="74">
        <v>25</v>
      </c>
      <c r="BG16" s="74">
        <v>55</v>
      </c>
      <c r="BH16" s="74">
        <v>54</v>
      </c>
      <c r="BI16" s="74">
        <v>48</v>
      </c>
      <c r="BJ16" s="74">
        <v>36</v>
      </c>
      <c r="BK16" s="74">
        <v>22</v>
      </c>
      <c r="BL16" s="74">
        <v>0</v>
      </c>
      <c r="BM16" s="74">
        <f t="shared" si="8"/>
        <v>240</v>
      </c>
      <c r="BO16" s="74">
        <v>1420600</v>
      </c>
      <c r="BP16" s="74" t="s">
        <v>263</v>
      </c>
      <c r="BQ16" s="74" t="s">
        <v>264</v>
      </c>
      <c r="BR16" s="74"/>
      <c r="BS16" s="74">
        <v>25</v>
      </c>
      <c r="BT16" s="74">
        <v>55</v>
      </c>
      <c r="BU16" s="74">
        <v>54</v>
      </c>
      <c r="BV16" s="74">
        <v>48</v>
      </c>
      <c r="BW16" s="74">
        <v>36</v>
      </c>
      <c r="BX16" s="74">
        <v>22</v>
      </c>
      <c r="BY16" s="74">
        <v>0</v>
      </c>
      <c r="BZ16" s="74">
        <f t="shared" si="7"/>
        <v>240</v>
      </c>
      <c r="CB16" s="74">
        <v>1420600</v>
      </c>
      <c r="CC16" s="74" t="s">
        <v>263</v>
      </c>
      <c r="CD16" s="74" t="s">
        <v>264</v>
      </c>
      <c r="CE16" s="74"/>
      <c r="CF16" s="74">
        <v>21</v>
      </c>
      <c r="CG16" s="74">
        <v>50</v>
      </c>
      <c r="CH16" s="74">
        <v>49</v>
      </c>
      <c r="CI16" s="74">
        <v>42</v>
      </c>
      <c r="CJ16" s="74">
        <v>32</v>
      </c>
      <c r="CK16" s="74">
        <v>21</v>
      </c>
      <c r="CL16" s="74">
        <v>0</v>
      </c>
      <c r="CM16" s="74">
        <f t="shared" si="2"/>
        <v>215</v>
      </c>
      <c r="CO16" s="74">
        <v>1420600</v>
      </c>
      <c r="CP16" s="74" t="s">
        <v>263</v>
      </c>
      <c r="CQ16" s="74" t="s">
        <v>264</v>
      </c>
      <c r="CR16" s="74"/>
      <c r="CS16" s="74">
        <v>20</v>
      </c>
      <c r="CT16" s="74">
        <v>47</v>
      </c>
      <c r="CU16" s="74">
        <v>46</v>
      </c>
      <c r="CV16" s="74">
        <v>39</v>
      </c>
      <c r="CW16" s="74">
        <v>30</v>
      </c>
      <c r="CX16" s="74">
        <v>20</v>
      </c>
      <c r="CY16" s="74">
        <v>0</v>
      </c>
      <c r="CZ16" s="74">
        <v>202</v>
      </c>
      <c r="DB16" s="74">
        <v>1420600</v>
      </c>
      <c r="DC16" s="74" t="s">
        <v>263</v>
      </c>
      <c r="DD16" s="74" t="s">
        <v>264</v>
      </c>
      <c r="DE16" s="74"/>
      <c r="DF16" s="74">
        <v>18</v>
      </c>
      <c r="DG16" s="74">
        <v>43</v>
      </c>
      <c r="DH16" s="74">
        <v>40</v>
      </c>
      <c r="DI16" s="74">
        <v>35</v>
      </c>
      <c r="DJ16" s="74">
        <v>26</v>
      </c>
      <c r="DK16" s="74">
        <v>16</v>
      </c>
      <c r="DL16" s="74">
        <v>0</v>
      </c>
      <c r="DM16" s="74">
        <v>178</v>
      </c>
      <c r="DO16" s="74">
        <v>1420600</v>
      </c>
      <c r="DP16" s="74" t="s">
        <v>263</v>
      </c>
      <c r="DQ16" s="74" t="s">
        <v>264</v>
      </c>
      <c r="DR16" s="74"/>
      <c r="DS16" s="74">
        <v>15</v>
      </c>
      <c r="DT16" s="74">
        <v>37</v>
      </c>
      <c r="DU16" s="74">
        <v>35</v>
      </c>
      <c r="DV16" s="74">
        <v>32</v>
      </c>
      <c r="DW16" s="74">
        <v>24</v>
      </c>
      <c r="DX16" s="74">
        <v>16</v>
      </c>
      <c r="DY16" s="74">
        <v>0</v>
      </c>
      <c r="DZ16" s="74">
        <v>159</v>
      </c>
      <c r="EA16" s="74"/>
      <c r="EB16" s="74">
        <v>1420600</v>
      </c>
      <c r="EC16" s="74" t="s">
        <v>263</v>
      </c>
      <c r="ED16" s="74" t="s">
        <v>264</v>
      </c>
      <c r="EE16" s="74"/>
      <c r="EF16" s="74">
        <v>14</v>
      </c>
      <c r="EG16" s="74">
        <v>33</v>
      </c>
      <c r="EH16" s="74">
        <v>32</v>
      </c>
      <c r="EI16" s="74">
        <v>29</v>
      </c>
      <c r="EJ16" s="74">
        <v>22</v>
      </c>
      <c r="EK16" s="74">
        <v>14</v>
      </c>
      <c r="EL16" s="74">
        <v>0</v>
      </c>
      <c r="EM16" s="74">
        <v>144</v>
      </c>
      <c r="EO16" s="74">
        <v>1420600</v>
      </c>
      <c r="EP16" s="74" t="s">
        <v>263</v>
      </c>
      <c r="EQ16" s="74" t="s">
        <v>264</v>
      </c>
      <c r="ER16" s="74"/>
      <c r="ES16" s="74">
        <v>13</v>
      </c>
      <c r="ET16" s="74">
        <v>31</v>
      </c>
      <c r="EU16" s="74">
        <v>30</v>
      </c>
      <c r="EV16" s="74">
        <v>27</v>
      </c>
      <c r="EW16" s="74">
        <v>21</v>
      </c>
      <c r="EX16" s="74">
        <v>13</v>
      </c>
      <c r="EY16" s="74">
        <v>0</v>
      </c>
      <c r="EZ16" s="74">
        <v>135</v>
      </c>
      <c r="FB16" s="74">
        <v>1420600</v>
      </c>
      <c r="FC16" s="74" t="s">
        <v>263</v>
      </c>
      <c r="FD16" s="74" t="s">
        <v>264</v>
      </c>
      <c r="FE16" s="74"/>
      <c r="FF16" s="74">
        <v>9</v>
      </c>
      <c r="FG16" s="74">
        <v>23</v>
      </c>
      <c r="FH16" s="74">
        <v>22</v>
      </c>
      <c r="FI16" s="74">
        <v>20</v>
      </c>
      <c r="FJ16" s="74">
        <v>15</v>
      </c>
      <c r="FK16" s="74">
        <v>10</v>
      </c>
      <c r="FL16" s="74">
        <v>0</v>
      </c>
      <c r="FM16" s="74">
        <v>99</v>
      </c>
      <c r="FO16" s="74">
        <v>1420600</v>
      </c>
      <c r="FP16" s="74" t="s">
        <v>263</v>
      </c>
      <c r="FQ16" s="74" t="s">
        <v>264</v>
      </c>
      <c r="FR16" s="74"/>
      <c r="FS16" s="74">
        <v>9</v>
      </c>
      <c r="FT16" s="74">
        <v>23</v>
      </c>
      <c r="FU16" s="74">
        <v>22</v>
      </c>
      <c r="FV16" s="74">
        <v>20</v>
      </c>
      <c r="FW16" s="74">
        <v>15</v>
      </c>
      <c r="FX16" s="74">
        <v>10</v>
      </c>
      <c r="FY16" s="74">
        <v>0</v>
      </c>
      <c r="FZ16" s="74">
        <v>99</v>
      </c>
      <c r="GB16" s="74">
        <v>1420600</v>
      </c>
      <c r="GC16" s="74" t="s">
        <v>263</v>
      </c>
      <c r="GD16" s="74" t="s">
        <v>264</v>
      </c>
      <c r="GE16" s="74"/>
      <c r="GF16" s="74">
        <v>4</v>
      </c>
      <c r="GG16" s="74">
        <v>12</v>
      </c>
      <c r="GH16" s="74">
        <v>11</v>
      </c>
      <c r="GI16" s="74">
        <v>9</v>
      </c>
      <c r="GJ16" s="74">
        <v>6</v>
      </c>
      <c r="GK16" s="74">
        <v>2</v>
      </c>
      <c r="GL16" s="74">
        <v>0</v>
      </c>
      <c r="GM16" s="74">
        <v>44</v>
      </c>
      <c r="GO16" s="74">
        <v>1420600</v>
      </c>
      <c r="GP16" s="74" t="s">
        <v>263</v>
      </c>
      <c r="GQ16" s="74" t="s">
        <v>264</v>
      </c>
      <c r="GR16" s="74"/>
      <c r="GS16" s="74">
        <v>3</v>
      </c>
      <c r="GT16" s="74">
        <v>9</v>
      </c>
      <c r="GU16" s="74">
        <v>7</v>
      </c>
      <c r="GV16" s="74">
        <v>6</v>
      </c>
      <c r="GW16" s="74">
        <v>4</v>
      </c>
      <c r="GX16" s="74">
        <v>1</v>
      </c>
      <c r="GY16" s="74">
        <v>0</v>
      </c>
      <c r="GZ16" s="74">
        <f t="shared" si="3"/>
        <v>30</v>
      </c>
    </row>
    <row r="17" spans="1:208">
      <c r="A17" s="478">
        <v>1420700</v>
      </c>
      <c r="B17" s="478" t="s">
        <v>50</v>
      </c>
      <c r="C17" s="478">
        <v>0</v>
      </c>
      <c r="D17" s="478">
        <v>4</v>
      </c>
      <c r="E17" s="478">
        <v>8</v>
      </c>
      <c r="F17" s="478">
        <v>8</v>
      </c>
      <c r="G17" s="478">
        <v>7</v>
      </c>
      <c r="H17" s="478">
        <v>5</v>
      </c>
      <c r="I17" s="478"/>
      <c r="J17" s="479">
        <f t="shared" si="0"/>
        <v>32</v>
      </c>
      <c r="K17" s="480">
        <f>'CORTE 4200'!$O$133</f>
        <v>32</v>
      </c>
      <c r="L17" s="480"/>
      <c r="M17" s="481"/>
      <c r="N17" s="500"/>
      <c r="O17">
        <v>1420700</v>
      </c>
      <c r="P17" t="s">
        <v>269</v>
      </c>
      <c r="Q17" t="s">
        <v>264</v>
      </c>
      <c r="R17"/>
      <c r="S17">
        <v>0</v>
      </c>
      <c r="T17">
        <v>4</v>
      </c>
      <c r="U17">
        <v>8</v>
      </c>
      <c r="V17">
        <v>8</v>
      </c>
      <c r="W17">
        <v>7</v>
      </c>
      <c r="X17">
        <v>5</v>
      </c>
      <c r="Y17">
        <v>0</v>
      </c>
      <c r="Z17">
        <f t="shared" si="5"/>
        <v>32</v>
      </c>
      <c r="AA17" s="500"/>
      <c r="AB17" s="74">
        <v>1420700</v>
      </c>
      <c r="AC17" s="74" t="s">
        <v>269</v>
      </c>
      <c r="AD17" s="74" t="s">
        <v>264</v>
      </c>
      <c r="AE17"/>
      <c r="AF17" s="74">
        <v>0</v>
      </c>
      <c r="AG17" s="74">
        <v>4</v>
      </c>
      <c r="AH17" s="74">
        <v>8</v>
      </c>
      <c r="AI17" s="74">
        <v>8</v>
      </c>
      <c r="AJ17" s="74">
        <v>7</v>
      </c>
      <c r="AK17" s="74">
        <v>5</v>
      </c>
      <c r="AL17" s="74">
        <v>0</v>
      </c>
      <c r="AM17" s="74">
        <f t="shared" si="1"/>
        <v>32</v>
      </c>
      <c r="AO17" s="74">
        <v>1420700</v>
      </c>
      <c r="AP17" s="74" t="s">
        <v>269</v>
      </c>
      <c r="AQ17" s="74" t="s">
        <v>264</v>
      </c>
      <c r="AR17" s="74"/>
      <c r="AS17" s="74">
        <v>0</v>
      </c>
      <c r="AT17" s="74">
        <v>4</v>
      </c>
      <c r="AU17" s="74">
        <v>8</v>
      </c>
      <c r="AV17" s="74">
        <v>8</v>
      </c>
      <c r="AW17" s="74">
        <v>7</v>
      </c>
      <c r="AX17" s="74">
        <v>5</v>
      </c>
      <c r="AY17" s="74">
        <v>0</v>
      </c>
      <c r="AZ17" s="74">
        <f t="shared" si="6"/>
        <v>32</v>
      </c>
      <c r="BB17" s="74">
        <v>1420700</v>
      </c>
      <c r="BC17" s="74" t="s">
        <v>269</v>
      </c>
      <c r="BD17" s="74" t="s">
        <v>264</v>
      </c>
      <c r="BE17" s="74"/>
      <c r="BF17" s="74">
        <v>0</v>
      </c>
      <c r="BG17" s="74">
        <v>4</v>
      </c>
      <c r="BH17" s="74">
        <v>8</v>
      </c>
      <c r="BI17" s="74">
        <v>8</v>
      </c>
      <c r="BJ17" s="74">
        <v>7</v>
      </c>
      <c r="BK17" s="74">
        <v>5</v>
      </c>
      <c r="BL17" s="74">
        <v>0</v>
      </c>
      <c r="BM17" s="74">
        <f t="shared" si="8"/>
        <v>32</v>
      </c>
      <c r="BO17" s="74">
        <v>1420700</v>
      </c>
      <c r="BP17" s="74" t="s">
        <v>269</v>
      </c>
      <c r="BQ17" s="74" t="s">
        <v>264</v>
      </c>
      <c r="BR17" s="74"/>
      <c r="BS17" s="74">
        <v>0</v>
      </c>
      <c r="BT17" s="74">
        <v>4</v>
      </c>
      <c r="BU17" s="74">
        <v>8</v>
      </c>
      <c r="BV17" s="74">
        <v>8</v>
      </c>
      <c r="BW17" s="74">
        <v>7</v>
      </c>
      <c r="BX17" s="74">
        <v>5</v>
      </c>
      <c r="BY17" s="74">
        <v>0</v>
      </c>
      <c r="BZ17" s="74">
        <f t="shared" si="7"/>
        <v>32</v>
      </c>
      <c r="CB17" s="74">
        <v>1420700</v>
      </c>
      <c r="CC17" s="74" t="s">
        <v>269</v>
      </c>
      <c r="CD17" s="74" t="s">
        <v>264</v>
      </c>
      <c r="CE17" s="74"/>
      <c r="CF17" s="74">
        <v>0</v>
      </c>
      <c r="CG17" s="74">
        <v>4</v>
      </c>
      <c r="CH17" s="74">
        <v>8</v>
      </c>
      <c r="CI17" s="74">
        <v>8</v>
      </c>
      <c r="CJ17" s="74">
        <v>7</v>
      </c>
      <c r="CK17" s="74">
        <v>5</v>
      </c>
      <c r="CL17" s="74">
        <v>0</v>
      </c>
      <c r="CM17" s="74">
        <f t="shared" si="2"/>
        <v>32</v>
      </c>
      <c r="CO17" s="74">
        <v>1420700</v>
      </c>
      <c r="CP17" s="74" t="s">
        <v>269</v>
      </c>
      <c r="CQ17" s="74" t="s">
        <v>264</v>
      </c>
      <c r="CR17" s="74"/>
      <c r="CS17" s="74">
        <v>0</v>
      </c>
      <c r="CT17" s="74">
        <v>4</v>
      </c>
      <c r="CU17" s="74">
        <v>8</v>
      </c>
      <c r="CV17" s="74">
        <v>8</v>
      </c>
      <c r="CW17" s="74">
        <v>7</v>
      </c>
      <c r="CX17" s="74">
        <v>5</v>
      </c>
      <c r="CY17" s="74">
        <v>0</v>
      </c>
      <c r="CZ17" s="74">
        <v>32</v>
      </c>
      <c r="DB17" s="74">
        <v>1420700</v>
      </c>
      <c r="DC17" s="74" t="s">
        <v>269</v>
      </c>
      <c r="DD17" s="74" t="s">
        <v>264</v>
      </c>
      <c r="DE17" s="74"/>
      <c r="DF17" s="74">
        <v>0</v>
      </c>
      <c r="DG17" s="74">
        <v>4</v>
      </c>
      <c r="DH17" s="74">
        <v>8</v>
      </c>
      <c r="DI17" s="74">
        <v>8</v>
      </c>
      <c r="DJ17" s="74">
        <v>7</v>
      </c>
      <c r="DK17" s="74">
        <v>5</v>
      </c>
      <c r="DL17" s="74">
        <v>0</v>
      </c>
      <c r="DM17" s="74">
        <v>32</v>
      </c>
      <c r="DO17" s="74">
        <v>1420700</v>
      </c>
      <c r="DP17" s="74" t="s">
        <v>269</v>
      </c>
      <c r="DQ17" s="74" t="s">
        <v>264</v>
      </c>
      <c r="DR17" s="74"/>
      <c r="DS17" s="74">
        <v>0</v>
      </c>
      <c r="DT17" s="74">
        <v>4</v>
      </c>
      <c r="DU17" s="74">
        <v>8</v>
      </c>
      <c r="DV17" s="74">
        <v>8</v>
      </c>
      <c r="DW17" s="74">
        <v>7</v>
      </c>
      <c r="DX17" s="74">
        <v>5</v>
      </c>
      <c r="DY17" s="74">
        <v>0</v>
      </c>
      <c r="DZ17" s="74">
        <v>32</v>
      </c>
      <c r="EA17" s="74"/>
      <c r="EB17" s="74">
        <v>1420700</v>
      </c>
      <c r="EC17" s="74" t="s">
        <v>269</v>
      </c>
      <c r="ED17" s="74" t="s">
        <v>264</v>
      </c>
      <c r="EE17" s="74"/>
      <c r="EF17" s="74">
        <v>0</v>
      </c>
      <c r="EG17" s="74">
        <v>4</v>
      </c>
      <c r="EH17" s="74">
        <v>8</v>
      </c>
      <c r="EI17" s="74">
        <v>8</v>
      </c>
      <c r="EJ17" s="74">
        <v>7</v>
      </c>
      <c r="EK17" s="74">
        <v>5</v>
      </c>
      <c r="EL17" s="74">
        <v>0</v>
      </c>
      <c r="EM17" s="74">
        <v>32</v>
      </c>
      <c r="EO17" s="74">
        <v>1420700</v>
      </c>
      <c r="EP17" s="74" t="s">
        <v>269</v>
      </c>
      <c r="EQ17" s="74" t="s">
        <v>264</v>
      </c>
      <c r="ER17" s="74"/>
      <c r="ES17" s="74">
        <v>0</v>
      </c>
      <c r="ET17" s="74">
        <v>4</v>
      </c>
      <c r="EU17" s="74">
        <v>8</v>
      </c>
      <c r="EV17" s="74">
        <v>8</v>
      </c>
      <c r="EW17" s="74">
        <v>7</v>
      </c>
      <c r="EX17" s="74">
        <v>5</v>
      </c>
      <c r="EY17" s="74">
        <v>0</v>
      </c>
      <c r="EZ17" s="74">
        <v>32</v>
      </c>
      <c r="FB17" s="74">
        <v>1420700</v>
      </c>
      <c r="FC17" s="74" t="s">
        <v>269</v>
      </c>
      <c r="FD17" s="74" t="s">
        <v>264</v>
      </c>
      <c r="FE17" s="74"/>
      <c r="FF17" s="74">
        <v>0</v>
      </c>
      <c r="FG17" s="74">
        <v>4</v>
      </c>
      <c r="FH17" s="74">
        <v>8</v>
      </c>
      <c r="FI17" s="74">
        <v>8</v>
      </c>
      <c r="FJ17" s="74">
        <v>7</v>
      </c>
      <c r="FK17" s="74">
        <v>5</v>
      </c>
      <c r="FL17" s="74">
        <v>0</v>
      </c>
      <c r="FM17" s="74">
        <v>32</v>
      </c>
      <c r="FO17" s="74">
        <v>1420700</v>
      </c>
      <c r="FP17" s="74" t="s">
        <v>269</v>
      </c>
      <c r="FQ17" s="74" t="s">
        <v>264</v>
      </c>
      <c r="FR17" s="74"/>
      <c r="FS17" s="74">
        <v>0</v>
      </c>
      <c r="FT17" s="74">
        <v>4</v>
      </c>
      <c r="FU17" s="74">
        <v>8</v>
      </c>
      <c r="FV17" s="74">
        <v>8</v>
      </c>
      <c r="FW17" s="74">
        <v>7</v>
      </c>
      <c r="FX17" s="74">
        <v>5</v>
      </c>
      <c r="FY17" s="74">
        <v>0</v>
      </c>
      <c r="FZ17" s="74">
        <v>32</v>
      </c>
      <c r="GB17" s="74">
        <v>1420700</v>
      </c>
      <c r="GC17" s="74" t="s">
        <v>269</v>
      </c>
      <c r="GD17" s="74" t="s">
        <v>264</v>
      </c>
      <c r="GE17" s="74"/>
      <c r="GF17" s="74">
        <v>0</v>
      </c>
      <c r="GG17" s="74">
        <v>4</v>
      </c>
      <c r="GH17" s="74">
        <v>8</v>
      </c>
      <c r="GI17" s="74">
        <v>8</v>
      </c>
      <c r="GJ17" s="74">
        <v>7</v>
      </c>
      <c r="GK17" s="74">
        <v>5</v>
      </c>
      <c r="GL17" s="74">
        <v>0</v>
      </c>
      <c r="GM17" s="74">
        <v>32</v>
      </c>
      <c r="GO17" s="74">
        <v>1420700</v>
      </c>
      <c r="GP17" s="74" t="s">
        <v>269</v>
      </c>
      <c r="GQ17" s="74" t="s">
        <v>264</v>
      </c>
      <c r="GR17" s="74"/>
      <c r="GS17" s="74">
        <v>0</v>
      </c>
      <c r="GT17" s="74">
        <v>4</v>
      </c>
      <c r="GU17" s="74">
        <v>8</v>
      </c>
      <c r="GV17" s="74">
        <v>8</v>
      </c>
      <c r="GW17" s="74">
        <v>7</v>
      </c>
      <c r="GX17" s="74">
        <v>5</v>
      </c>
      <c r="GY17" s="74">
        <v>0</v>
      </c>
      <c r="GZ17" s="74">
        <f t="shared" si="3"/>
        <v>32</v>
      </c>
    </row>
    <row r="18" spans="1:208">
      <c r="A18" s="484">
        <v>1420800</v>
      </c>
      <c r="B18" s="478" t="s">
        <v>50</v>
      </c>
      <c r="C18" s="478">
        <v>10</v>
      </c>
      <c r="D18" s="478">
        <v>29</v>
      </c>
      <c r="E18" s="478">
        <v>38</v>
      </c>
      <c r="F18" s="478">
        <v>30</v>
      </c>
      <c r="G18" s="478">
        <v>22</v>
      </c>
      <c r="H18" s="478">
        <v>15</v>
      </c>
      <c r="I18" s="478"/>
      <c r="J18" s="479">
        <f>SUM(C18:H18)</f>
        <v>144</v>
      </c>
      <c r="K18" s="480">
        <f>'CORTE 4200'!$O$142</f>
        <v>-44</v>
      </c>
      <c r="L18" s="480"/>
      <c r="M18" s="481" t="s">
        <v>242</v>
      </c>
      <c r="N18" s="500"/>
      <c r="O18">
        <v>1420800</v>
      </c>
      <c r="P18" t="s">
        <v>270</v>
      </c>
      <c r="Q18" t="s">
        <v>264</v>
      </c>
      <c r="R18"/>
      <c r="S18">
        <v>10</v>
      </c>
      <c r="T18">
        <v>29</v>
      </c>
      <c r="U18">
        <v>38</v>
      </c>
      <c r="V18">
        <v>30</v>
      </c>
      <c r="W18">
        <v>22</v>
      </c>
      <c r="X18">
        <v>15</v>
      </c>
      <c r="Y18">
        <v>0</v>
      </c>
      <c r="Z18">
        <f t="shared" si="5"/>
        <v>144</v>
      </c>
      <c r="AA18" s="500"/>
      <c r="AB18" s="74">
        <v>1420800</v>
      </c>
      <c r="AC18" s="74" t="s">
        <v>270</v>
      </c>
      <c r="AD18" s="74" t="s">
        <v>264</v>
      </c>
      <c r="AE18"/>
      <c r="AF18" s="74">
        <v>10</v>
      </c>
      <c r="AG18" s="74">
        <v>29</v>
      </c>
      <c r="AH18" s="74">
        <v>38</v>
      </c>
      <c r="AI18" s="74">
        <v>30</v>
      </c>
      <c r="AJ18" s="74">
        <v>22</v>
      </c>
      <c r="AK18" s="74">
        <v>15</v>
      </c>
      <c r="AL18" s="74">
        <v>0</v>
      </c>
      <c r="AM18" s="74">
        <f t="shared" si="1"/>
        <v>144</v>
      </c>
      <c r="AO18" s="74">
        <v>1420800</v>
      </c>
      <c r="AP18" s="74" t="s">
        <v>270</v>
      </c>
      <c r="AQ18" s="74" t="s">
        <v>264</v>
      </c>
      <c r="AR18" s="74"/>
      <c r="AS18" s="74">
        <v>10</v>
      </c>
      <c r="AT18" s="74">
        <v>27</v>
      </c>
      <c r="AU18" s="74">
        <v>36</v>
      </c>
      <c r="AV18" s="74">
        <v>28</v>
      </c>
      <c r="AW18" s="74">
        <v>20</v>
      </c>
      <c r="AX18" s="74">
        <v>13</v>
      </c>
      <c r="AY18" s="74">
        <v>0</v>
      </c>
      <c r="AZ18" s="74">
        <f t="shared" si="6"/>
        <v>134</v>
      </c>
      <c r="BB18" s="74">
        <v>1420800</v>
      </c>
      <c r="BC18" s="74" t="s">
        <v>270</v>
      </c>
      <c r="BD18" s="74" t="s">
        <v>264</v>
      </c>
      <c r="BE18" s="74"/>
      <c r="BF18" s="74">
        <v>9</v>
      </c>
      <c r="BG18" s="74">
        <v>25</v>
      </c>
      <c r="BH18" s="74">
        <v>33</v>
      </c>
      <c r="BI18" s="74">
        <v>26</v>
      </c>
      <c r="BJ18" s="74">
        <v>19</v>
      </c>
      <c r="BK18" s="74">
        <v>12</v>
      </c>
      <c r="BL18" s="74">
        <v>0</v>
      </c>
      <c r="BM18" s="74">
        <f t="shared" si="8"/>
        <v>124</v>
      </c>
      <c r="BO18" s="74">
        <v>1420800</v>
      </c>
      <c r="BP18" s="74" t="s">
        <v>270</v>
      </c>
      <c r="BQ18" s="74" t="s">
        <v>264</v>
      </c>
      <c r="BR18" s="74"/>
      <c r="BS18" s="74">
        <v>9</v>
      </c>
      <c r="BT18" s="74">
        <v>25</v>
      </c>
      <c r="BU18" s="74">
        <v>33</v>
      </c>
      <c r="BV18" s="74">
        <v>26</v>
      </c>
      <c r="BW18" s="74">
        <v>19</v>
      </c>
      <c r="BX18" s="74">
        <v>12</v>
      </c>
      <c r="BY18" s="74">
        <v>0</v>
      </c>
      <c r="BZ18" s="74">
        <f t="shared" si="7"/>
        <v>124</v>
      </c>
      <c r="CB18" s="74">
        <v>1420800</v>
      </c>
      <c r="CC18" s="74" t="s">
        <v>270</v>
      </c>
      <c r="CD18" s="74" t="s">
        <v>264</v>
      </c>
      <c r="CE18" s="74"/>
      <c r="CF18" s="74">
        <v>7</v>
      </c>
      <c r="CG18" s="74">
        <v>22</v>
      </c>
      <c r="CH18" s="74">
        <v>30</v>
      </c>
      <c r="CI18" s="74">
        <v>23</v>
      </c>
      <c r="CJ18" s="74">
        <v>16</v>
      </c>
      <c r="CK18" s="74">
        <v>10</v>
      </c>
      <c r="CL18" s="74">
        <v>0</v>
      </c>
      <c r="CM18" s="74">
        <f t="shared" si="2"/>
        <v>108</v>
      </c>
      <c r="CO18" s="74">
        <v>1420800</v>
      </c>
      <c r="CP18" s="74" t="s">
        <v>270</v>
      </c>
      <c r="CQ18" s="74" t="s">
        <v>264</v>
      </c>
      <c r="CR18" s="74"/>
      <c r="CS18" s="74">
        <v>7</v>
      </c>
      <c r="CT18" s="74">
        <v>22</v>
      </c>
      <c r="CU18" s="74">
        <v>30</v>
      </c>
      <c r="CV18" s="74">
        <v>23</v>
      </c>
      <c r="CW18" s="74">
        <v>16</v>
      </c>
      <c r="CX18" s="74">
        <v>10</v>
      </c>
      <c r="CY18" s="74">
        <v>0</v>
      </c>
      <c r="CZ18" s="74">
        <v>108</v>
      </c>
      <c r="DB18" s="74">
        <v>1420800</v>
      </c>
      <c r="DC18" s="74" t="s">
        <v>270</v>
      </c>
      <c r="DD18" s="74" t="s">
        <v>264</v>
      </c>
      <c r="DE18" s="74"/>
      <c r="DF18" s="74">
        <v>7</v>
      </c>
      <c r="DG18" s="74">
        <v>22</v>
      </c>
      <c r="DH18" s="74">
        <v>30</v>
      </c>
      <c r="DI18" s="74">
        <v>23</v>
      </c>
      <c r="DJ18" s="74">
        <v>16</v>
      </c>
      <c r="DK18" s="74">
        <v>10</v>
      </c>
      <c r="DL18" s="74">
        <v>0</v>
      </c>
      <c r="DM18" s="74">
        <v>108</v>
      </c>
      <c r="DO18" s="74">
        <v>1420800</v>
      </c>
      <c r="DP18" s="74" t="s">
        <v>270</v>
      </c>
      <c r="DQ18" s="74" t="s">
        <v>264</v>
      </c>
      <c r="DR18" s="74"/>
      <c r="DS18" s="74">
        <v>0</v>
      </c>
      <c r="DT18" s="74">
        <v>9</v>
      </c>
      <c r="DU18" s="74">
        <v>13</v>
      </c>
      <c r="DV18" s="74">
        <v>12</v>
      </c>
      <c r="DW18" s="74">
        <v>10</v>
      </c>
      <c r="DX18" s="74">
        <v>6</v>
      </c>
      <c r="DY18" s="74">
        <v>0</v>
      </c>
      <c r="DZ18" s="74">
        <v>50</v>
      </c>
      <c r="EA18" s="74"/>
      <c r="EB18" s="74">
        <v>1420800</v>
      </c>
      <c r="EC18" s="74" t="s">
        <v>270</v>
      </c>
      <c r="ED18" s="74" t="s">
        <v>264</v>
      </c>
      <c r="EE18" s="74"/>
      <c r="EF18" s="74">
        <v>0</v>
      </c>
      <c r="EG18" s="74">
        <v>9</v>
      </c>
      <c r="EH18" s="74">
        <v>13</v>
      </c>
      <c r="EI18" s="74">
        <v>12</v>
      </c>
      <c r="EJ18" s="74">
        <v>10</v>
      </c>
      <c r="EK18" s="74">
        <v>6</v>
      </c>
      <c r="EL18" s="74">
        <v>0</v>
      </c>
      <c r="EM18" s="74">
        <v>50</v>
      </c>
      <c r="EO18" s="74">
        <v>1420800</v>
      </c>
      <c r="EP18" s="74" t="s">
        <v>270</v>
      </c>
      <c r="EQ18" s="74" t="s">
        <v>264</v>
      </c>
      <c r="ER18" s="74"/>
      <c r="ES18" s="74">
        <v>0</v>
      </c>
      <c r="ET18" s="74">
        <v>9</v>
      </c>
      <c r="EU18" s="74">
        <v>13</v>
      </c>
      <c r="EV18" s="74">
        <v>12</v>
      </c>
      <c r="EW18" s="74">
        <v>10</v>
      </c>
      <c r="EX18" s="74">
        <v>6</v>
      </c>
      <c r="EY18" s="74">
        <v>0</v>
      </c>
      <c r="EZ18" s="74">
        <v>50</v>
      </c>
      <c r="FB18" s="74">
        <v>1420800</v>
      </c>
      <c r="FC18" s="74" t="s">
        <v>270</v>
      </c>
      <c r="FD18" s="74" t="s">
        <v>264</v>
      </c>
      <c r="FE18" s="74"/>
      <c r="FF18" s="74">
        <v>0</v>
      </c>
      <c r="FG18" s="74">
        <v>9</v>
      </c>
      <c r="FH18" s="74">
        <v>13</v>
      </c>
      <c r="FI18" s="74">
        <v>12</v>
      </c>
      <c r="FJ18" s="74">
        <v>10</v>
      </c>
      <c r="FK18" s="74">
        <v>6</v>
      </c>
      <c r="FL18" s="74">
        <v>0</v>
      </c>
      <c r="FM18" s="74">
        <v>50</v>
      </c>
      <c r="FO18" s="74">
        <v>1420800</v>
      </c>
      <c r="FP18" s="74" t="s">
        <v>270</v>
      </c>
      <c r="FQ18" s="74" t="s">
        <v>264</v>
      </c>
      <c r="FR18" s="74"/>
      <c r="FS18" s="74">
        <v>0</v>
      </c>
      <c r="FT18" s="74">
        <v>9</v>
      </c>
      <c r="FU18" s="74">
        <v>13</v>
      </c>
      <c r="FV18" s="74">
        <v>12</v>
      </c>
      <c r="FW18" s="74">
        <v>10</v>
      </c>
      <c r="FX18" s="74">
        <v>6</v>
      </c>
      <c r="FY18" s="74">
        <v>0</v>
      </c>
      <c r="FZ18" s="74">
        <v>50</v>
      </c>
      <c r="GB18" s="74">
        <v>1420800</v>
      </c>
      <c r="GC18" s="74" t="s">
        <v>270</v>
      </c>
      <c r="GD18" s="74" t="s">
        <v>264</v>
      </c>
      <c r="GE18" s="74"/>
      <c r="GF18" s="74">
        <v>0</v>
      </c>
      <c r="GG18" s="74">
        <v>4</v>
      </c>
      <c r="GH18" s="74">
        <v>8</v>
      </c>
      <c r="GI18" s="74">
        <v>8</v>
      </c>
      <c r="GJ18" s="74">
        <v>7</v>
      </c>
      <c r="GK18" s="74">
        <v>5</v>
      </c>
      <c r="GL18" s="74">
        <v>0</v>
      </c>
      <c r="GM18" s="74">
        <v>32</v>
      </c>
      <c r="GO18" s="435">
        <v>1420800</v>
      </c>
      <c r="GP18" s="74" t="s">
        <v>270</v>
      </c>
      <c r="GQ18" s="74" t="s">
        <v>264</v>
      </c>
      <c r="GR18" s="74"/>
      <c r="GS18" s="74">
        <v>0</v>
      </c>
      <c r="GT18" s="74">
        <v>4</v>
      </c>
      <c r="GU18" s="74">
        <v>8</v>
      </c>
      <c r="GV18" s="74">
        <v>8</v>
      </c>
      <c r="GW18" s="74">
        <v>7</v>
      </c>
      <c r="GX18" s="74">
        <v>5</v>
      </c>
      <c r="GY18" s="74">
        <v>0</v>
      </c>
      <c r="GZ18" s="74">
        <f t="shared" si="3"/>
        <v>32</v>
      </c>
    </row>
    <row r="19" spans="1:208">
      <c r="A19" s="484">
        <v>1420801</v>
      </c>
      <c r="B19" s="478" t="s">
        <v>50</v>
      </c>
      <c r="C19" s="478">
        <v>0</v>
      </c>
      <c r="D19" s="478">
        <v>4</v>
      </c>
      <c r="E19" s="478">
        <v>8</v>
      </c>
      <c r="F19" s="478">
        <v>8</v>
      </c>
      <c r="G19" s="478">
        <v>7</v>
      </c>
      <c r="H19" s="478">
        <v>5</v>
      </c>
      <c r="I19" s="478"/>
      <c r="J19" s="479">
        <f>SUM(C19:H19)</f>
        <v>32</v>
      </c>
      <c r="K19" s="480">
        <f>'CORTE 4200'!$O$151</f>
        <v>0</v>
      </c>
      <c r="L19" s="480"/>
      <c r="M19" s="481" t="s">
        <v>242</v>
      </c>
      <c r="N19" s="500"/>
      <c r="O19">
        <v>1420801</v>
      </c>
      <c r="P19" t="s">
        <v>270</v>
      </c>
      <c r="Q19" t="s">
        <v>264</v>
      </c>
      <c r="R19"/>
      <c r="S19">
        <v>0</v>
      </c>
      <c r="T19">
        <v>4</v>
      </c>
      <c r="U19">
        <v>8</v>
      </c>
      <c r="V19">
        <v>8</v>
      </c>
      <c r="W19">
        <v>7</v>
      </c>
      <c r="X19">
        <v>5</v>
      </c>
      <c r="Y19">
        <v>0</v>
      </c>
      <c r="Z19">
        <f t="shared" si="5"/>
        <v>32</v>
      </c>
      <c r="AA19" s="500"/>
      <c r="AB19" s="74">
        <v>1420801</v>
      </c>
      <c r="AC19" s="74" t="s">
        <v>270</v>
      </c>
      <c r="AD19" s="74" t="s">
        <v>264</v>
      </c>
      <c r="AE19"/>
      <c r="AF19" s="74">
        <v>0</v>
      </c>
      <c r="AG19" s="74">
        <v>4</v>
      </c>
      <c r="AH19" s="74">
        <v>8</v>
      </c>
      <c r="AI19" s="74">
        <v>8</v>
      </c>
      <c r="AJ19" s="74">
        <v>7</v>
      </c>
      <c r="AK19" s="74">
        <v>5</v>
      </c>
      <c r="AL19" s="74">
        <v>0</v>
      </c>
      <c r="AM19" s="74">
        <f t="shared" si="1"/>
        <v>32</v>
      </c>
      <c r="AO19" s="74">
        <v>1420801</v>
      </c>
      <c r="AP19" s="74" t="s">
        <v>270</v>
      </c>
      <c r="AQ19" s="74" t="s">
        <v>264</v>
      </c>
      <c r="AR19" s="74"/>
      <c r="AS19" s="74">
        <v>0</v>
      </c>
      <c r="AT19" s="74">
        <v>4</v>
      </c>
      <c r="AU19" s="74">
        <v>8</v>
      </c>
      <c r="AV19" s="74">
        <v>8</v>
      </c>
      <c r="AW19" s="74">
        <v>7</v>
      </c>
      <c r="AX19" s="74">
        <v>5</v>
      </c>
      <c r="AY19" s="74">
        <v>0</v>
      </c>
      <c r="AZ19" s="74">
        <f t="shared" si="6"/>
        <v>32</v>
      </c>
      <c r="BB19" s="74">
        <v>1420801</v>
      </c>
      <c r="BC19" s="74" t="s">
        <v>270</v>
      </c>
      <c r="BD19" s="74" t="s">
        <v>264</v>
      </c>
      <c r="BE19" s="74"/>
      <c r="BF19" s="74">
        <v>0</v>
      </c>
      <c r="BG19" s="74">
        <v>4</v>
      </c>
      <c r="BH19" s="74">
        <v>8</v>
      </c>
      <c r="BI19" s="74">
        <v>8</v>
      </c>
      <c r="BJ19" s="74">
        <v>7</v>
      </c>
      <c r="BK19" s="74">
        <v>5</v>
      </c>
      <c r="BL19" s="74">
        <v>0</v>
      </c>
      <c r="BM19" s="74">
        <f t="shared" si="8"/>
        <v>32</v>
      </c>
      <c r="BO19" s="74">
        <v>1420801</v>
      </c>
      <c r="BP19" s="74" t="s">
        <v>270</v>
      </c>
      <c r="BQ19" s="74" t="s">
        <v>264</v>
      </c>
      <c r="BR19" s="74"/>
      <c r="BS19" s="74">
        <v>0</v>
      </c>
      <c r="BT19" s="74">
        <v>4</v>
      </c>
      <c r="BU19" s="74">
        <v>8</v>
      </c>
      <c r="BV19" s="74">
        <v>8</v>
      </c>
      <c r="BW19" s="74">
        <v>7</v>
      </c>
      <c r="BX19" s="74">
        <v>5</v>
      </c>
      <c r="BY19" s="74">
        <v>0</v>
      </c>
      <c r="BZ19" s="74">
        <f t="shared" si="7"/>
        <v>32</v>
      </c>
      <c r="CB19" s="74">
        <v>1420801</v>
      </c>
      <c r="CC19" s="74" t="s">
        <v>270</v>
      </c>
      <c r="CD19" s="74" t="s">
        <v>264</v>
      </c>
      <c r="CE19" s="74"/>
      <c r="CF19" s="74">
        <v>0</v>
      </c>
      <c r="CG19" s="74">
        <v>4</v>
      </c>
      <c r="CH19" s="74">
        <v>8</v>
      </c>
      <c r="CI19" s="74">
        <v>8</v>
      </c>
      <c r="CJ19" s="74">
        <v>7</v>
      </c>
      <c r="CK19" s="74">
        <v>5</v>
      </c>
      <c r="CL19" s="74">
        <v>0</v>
      </c>
      <c r="CM19" s="74">
        <f t="shared" si="2"/>
        <v>32</v>
      </c>
      <c r="CO19" s="74">
        <v>1420801</v>
      </c>
      <c r="CP19" s="74" t="s">
        <v>270</v>
      </c>
      <c r="CQ19" s="74" t="s">
        <v>264</v>
      </c>
      <c r="CR19" s="74"/>
      <c r="CS19" s="74">
        <v>0</v>
      </c>
      <c r="CT19" s="74">
        <v>4</v>
      </c>
      <c r="CU19" s="74">
        <v>8</v>
      </c>
      <c r="CV19" s="74">
        <v>8</v>
      </c>
      <c r="CW19" s="74">
        <v>7</v>
      </c>
      <c r="CX19" s="74">
        <v>5</v>
      </c>
      <c r="CY19" s="74">
        <v>0</v>
      </c>
      <c r="CZ19" s="74">
        <v>32</v>
      </c>
      <c r="DB19" s="74">
        <v>1420801</v>
      </c>
      <c r="DC19" s="74" t="s">
        <v>270</v>
      </c>
      <c r="DD19" s="74" t="s">
        <v>264</v>
      </c>
      <c r="DE19" s="74"/>
      <c r="DF19" s="74">
        <v>0</v>
      </c>
      <c r="DG19" s="74">
        <v>4</v>
      </c>
      <c r="DH19" s="74">
        <v>8</v>
      </c>
      <c r="DI19" s="74">
        <v>8</v>
      </c>
      <c r="DJ19" s="74">
        <v>7</v>
      </c>
      <c r="DK19" s="74">
        <v>5</v>
      </c>
      <c r="DL19" s="74">
        <v>0</v>
      </c>
      <c r="DM19" s="74">
        <v>32</v>
      </c>
      <c r="DO19" s="74">
        <v>1420801</v>
      </c>
      <c r="DP19" s="74" t="s">
        <v>270</v>
      </c>
      <c r="DQ19" s="74" t="s">
        <v>264</v>
      </c>
      <c r="DR19" s="74"/>
      <c r="DS19" s="74">
        <v>0</v>
      </c>
      <c r="DT19" s="74">
        <v>4</v>
      </c>
      <c r="DU19" s="74">
        <v>8</v>
      </c>
      <c r="DV19" s="74">
        <v>8</v>
      </c>
      <c r="DW19" s="74">
        <v>7</v>
      </c>
      <c r="DX19" s="74">
        <v>5</v>
      </c>
      <c r="DY19" s="74">
        <v>0</v>
      </c>
      <c r="DZ19" s="74">
        <v>32</v>
      </c>
      <c r="EA19" s="74"/>
      <c r="EB19" s="74">
        <v>1420801</v>
      </c>
      <c r="EC19" s="74" t="s">
        <v>270</v>
      </c>
      <c r="ED19" s="74" t="s">
        <v>264</v>
      </c>
      <c r="EE19" s="74"/>
      <c r="EF19" s="74">
        <v>0</v>
      </c>
      <c r="EG19" s="74">
        <v>4</v>
      </c>
      <c r="EH19" s="74">
        <v>8</v>
      </c>
      <c r="EI19" s="74">
        <v>8</v>
      </c>
      <c r="EJ19" s="74">
        <v>7</v>
      </c>
      <c r="EK19" s="74">
        <v>5</v>
      </c>
      <c r="EL19" s="74">
        <v>0</v>
      </c>
      <c r="EM19" s="74">
        <v>32</v>
      </c>
      <c r="EO19" s="74">
        <v>1420801</v>
      </c>
      <c r="EP19" s="74" t="s">
        <v>270</v>
      </c>
      <c r="EQ19" s="74" t="s">
        <v>264</v>
      </c>
      <c r="ER19" s="74"/>
      <c r="ES19" s="74">
        <v>0</v>
      </c>
      <c r="ET19" s="74">
        <v>4</v>
      </c>
      <c r="EU19" s="74">
        <v>8</v>
      </c>
      <c r="EV19" s="74">
        <v>8</v>
      </c>
      <c r="EW19" s="74">
        <v>7</v>
      </c>
      <c r="EX19" s="74">
        <v>5</v>
      </c>
      <c r="EY19" s="74">
        <v>0</v>
      </c>
      <c r="EZ19" s="74">
        <v>32</v>
      </c>
      <c r="FB19" s="74">
        <v>1420801</v>
      </c>
      <c r="FC19" s="74" t="s">
        <v>270</v>
      </c>
      <c r="FD19" s="74" t="s">
        <v>264</v>
      </c>
      <c r="FE19" s="74"/>
      <c r="FF19" s="74">
        <v>0</v>
      </c>
      <c r="FG19" s="74">
        <v>4</v>
      </c>
      <c r="FH19" s="74">
        <v>8</v>
      </c>
      <c r="FI19" s="74">
        <v>8</v>
      </c>
      <c r="FJ19" s="74">
        <v>7</v>
      </c>
      <c r="FK19" s="74">
        <v>5</v>
      </c>
      <c r="FL19" s="74">
        <v>0</v>
      </c>
      <c r="FM19" s="74">
        <v>32</v>
      </c>
      <c r="FO19" s="74">
        <v>1420801</v>
      </c>
      <c r="FP19" s="74" t="s">
        <v>270</v>
      </c>
      <c r="FQ19" s="74" t="s">
        <v>264</v>
      </c>
      <c r="FR19" s="74"/>
      <c r="FS19" s="74">
        <v>0</v>
      </c>
      <c r="FT19" s="74">
        <v>4</v>
      </c>
      <c r="FU19" s="74">
        <v>8</v>
      </c>
      <c r="FV19" s="74">
        <v>8</v>
      </c>
      <c r="FW19" s="74">
        <v>7</v>
      </c>
      <c r="FX19" s="74">
        <v>5</v>
      </c>
      <c r="FY19" s="74">
        <v>0</v>
      </c>
      <c r="FZ19" s="74">
        <v>32</v>
      </c>
      <c r="GB19" s="74">
        <v>1420801</v>
      </c>
      <c r="GC19" s="74" t="s">
        <v>270</v>
      </c>
      <c r="GD19" s="74" t="s">
        <v>264</v>
      </c>
      <c r="GE19" s="74"/>
      <c r="GF19" s="74">
        <v>0</v>
      </c>
      <c r="GG19" s="74">
        <v>4</v>
      </c>
      <c r="GH19" s="74">
        <v>8</v>
      </c>
      <c r="GI19" s="74">
        <v>8</v>
      </c>
      <c r="GJ19" s="74">
        <v>7</v>
      </c>
      <c r="GK19" s="74">
        <v>5</v>
      </c>
      <c r="GL19" s="74">
        <v>0</v>
      </c>
      <c r="GM19" s="74">
        <v>32</v>
      </c>
      <c r="GO19" s="435">
        <v>1420801</v>
      </c>
      <c r="GP19" s="74" t="s">
        <v>270</v>
      </c>
      <c r="GQ19" s="74" t="s">
        <v>264</v>
      </c>
      <c r="GR19" s="74"/>
      <c r="GS19" s="74">
        <v>0</v>
      </c>
      <c r="GT19" s="74">
        <v>4</v>
      </c>
      <c r="GU19" s="74">
        <v>8</v>
      </c>
      <c r="GV19" s="74">
        <v>8</v>
      </c>
      <c r="GW19" s="74">
        <v>7</v>
      </c>
      <c r="GX19" s="74">
        <v>5</v>
      </c>
      <c r="GY19" s="74">
        <v>0</v>
      </c>
      <c r="GZ19" s="74">
        <f t="shared" si="3"/>
        <v>32</v>
      </c>
    </row>
    <row r="20" spans="1:208">
      <c r="A20" s="484">
        <v>1420802</v>
      </c>
      <c r="B20" s="478" t="s">
        <v>50</v>
      </c>
      <c r="C20" s="478">
        <v>0</v>
      </c>
      <c r="D20" s="478">
        <v>4</v>
      </c>
      <c r="E20" s="478">
        <v>8</v>
      </c>
      <c r="F20" s="478">
        <v>8</v>
      </c>
      <c r="G20" s="478">
        <v>7</v>
      </c>
      <c r="H20" s="478">
        <v>5</v>
      </c>
      <c r="I20" s="478"/>
      <c r="J20" s="479">
        <f>SUM(C20:H20)</f>
        <v>32</v>
      </c>
      <c r="K20" s="480">
        <f>'CORTE 4200'!$O$160</f>
        <v>0</v>
      </c>
      <c r="L20" s="480"/>
      <c r="M20" s="481" t="s">
        <v>242</v>
      </c>
      <c r="N20" s="500"/>
      <c r="O20">
        <v>1420802</v>
      </c>
      <c r="P20" t="s">
        <v>270</v>
      </c>
      <c r="Q20" t="s">
        <v>264</v>
      </c>
      <c r="R20"/>
      <c r="S20">
        <v>0</v>
      </c>
      <c r="T20">
        <v>4</v>
      </c>
      <c r="U20">
        <v>8</v>
      </c>
      <c r="V20">
        <v>8</v>
      </c>
      <c r="W20">
        <v>7</v>
      </c>
      <c r="X20">
        <v>5</v>
      </c>
      <c r="Y20">
        <v>0</v>
      </c>
      <c r="Z20">
        <f t="shared" si="5"/>
        <v>32</v>
      </c>
      <c r="AA20" s="500"/>
      <c r="AB20" s="74">
        <v>1420802</v>
      </c>
      <c r="AC20" s="74" t="s">
        <v>270</v>
      </c>
      <c r="AD20" s="74" t="s">
        <v>264</v>
      </c>
      <c r="AE20"/>
      <c r="AF20" s="74">
        <v>0</v>
      </c>
      <c r="AG20" s="74">
        <v>4</v>
      </c>
      <c r="AH20" s="74">
        <v>8</v>
      </c>
      <c r="AI20" s="74">
        <v>8</v>
      </c>
      <c r="AJ20" s="74">
        <v>7</v>
      </c>
      <c r="AK20" s="74">
        <v>5</v>
      </c>
      <c r="AL20" s="74">
        <v>0</v>
      </c>
      <c r="AM20" s="74">
        <f t="shared" si="1"/>
        <v>32</v>
      </c>
      <c r="AO20" s="74">
        <v>1420802</v>
      </c>
      <c r="AP20" s="74" t="s">
        <v>270</v>
      </c>
      <c r="AQ20" s="74" t="s">
        <v>264</v>
      </c>
      <c r="AR20" s="74"/>
      <c r="AS20" s="74">
        <v>0</v>
      </c>
      <c r="AT20" s="74">
        <v>4</v>
      </c>
      <c r="AU20" s="74">
        <v>8</v>
      </c>
      <c r="AV20" s="74">
        <v>8</v>
      </c>
      <c r="AW20" s="74">
        <v>7</v>
      </c>
      <c r="AX20" s="74">
        <v>5</v>
      </c>
      <c r="AY20" s="74">
        <v>0</v>
      </c>
      <c r="AZ20" s="74">
        <f t="shared" si="6"/>
        <v>32</v>
      </c>
      <c r="BB20" s="74">
        <v>1420802</v>
      </c>
      <c r="BC20" s="74" t="s">
        <v>270</v>
      </c>
      <c r="BD20" s="74" t="s">
        <v>264</v>
      </c>
      <c r="BE20" s="74"/>
      <c r="BF20" s="74">
        <v>0</v>
      </c>
      <c r="BG20" s="74">
        <v>4</v>
      </c>
      <c r="BH20" s="74">
        <v>8</v>
      </c>
      <c r="BI20" s="74">
        <v>8</v>
      </c>
      <c r="BJ20" s="74">
        <v>7</v>
      </c>
      <c r="BK20" s="74">
        <v>5</v>
      </c>
      <c r="BL20" s="74">
        <v>0</v>
      </c>
      <c r="BM20" s="74">
        <f t="shared" si="8"/>
        <v>32</v>
      </c>
      <c r="BO20" s="74">
        <v>1420802</v>
      </c>
      <c r="BP20" s="74" t="s">
        <v>270</v>
      </c>
      <c r="BQ20" s="74" t="s">
        <v>264</v>
      </c>
      <c r="BR20" s="74"/>
      <c r="BS20" s="74">
        <v>0</v>
      </c>
      <c r="BT20" s="74">
        <v>4</v>
      </c>
      <c r="BU20" s="74">
        <v>8</v>
      </c>
      <c r="BV20" s="74">
        <v>8</v>
      </c>
      <c r="BW20" s="74">
        <v>7</v>
      </c>
      <c r="BX20" s="74">
        <v>5</v>
      </c>
      <c r="BY20" s="74">
        <v>0</v>
      </c>
      <c r="BZ20" s="74">
        <f t="shared" si="7"/>
        <v>32</v>
      </c>
      <c r="CB20" s="74">
        <v>1420802</v>
      </c>
      <c r="CC20" s="74" t="s">
        <v>270</v>
      </c>
      <c r="CD20" s="74" t="s">
        <v>264</v>
      </c>
      <c r="CE20" s="74"/>
      <c r="CF20" s="74">
        <v>0</v>
      </c>
      <c r="CG20" s="74">
        <v>4</v>
      </c>
      <c r="CH20" s="74">
        <v>8</v>
      </c>
      <c r="CI20" s="74">
        <v>8</v>
      </c>
      <c r="CJ20" s="74">
        <v>7</v>
      </c>
      <c r="CK20" s="74">
        <v>5</v>
      </c>
      <c r="CL20" s="74">
        <v>0</v>
      </c>
      <c r="CM20" s="74">
        <f t="shared" si="2"/>
        <v>32</v>
      </c>
      <c r="CO20" s="74">
        <v>1420802</v>
      </c>
      <c r="CP20" s="74" t="s">
        <v>270</v>
      </c>
      <c r="CQ20" s="74" t="s">
        <v>264</v>
      </c>
      <c r="CR20" s="74"/>
      <c r="CS20" s="74">
        <v>0</v>
      </c>
      <c r="CT20" s="74">
        <v>4</v>
      </c>
      <c r="CU20" s="74">
        <v>8</v>
      </c>
      <c r="CV20" s="74">
        <v>8</v>
      </c>
      <c r="CW20" s="74">
        <v>7</v>
      </c>
      <c r="CX20" s="74">
        <v>5</v>
      </c>
      <c r="CY20" s="74">
        <v>0</v>
      </c>
      <c r="CZ20" s="74">
        <v>32</v>
      </c>
      <c r="DB20" s="74">
        <v>1420802</v>
      </c>
      <c r="DC20" s="74" t="s">
        <v>270</v>
      </c>
      <c r="DD20" s="74" t="s">
        <v>264</v>
      </c>
      <c r="DE20" s="74"/>
      <c r="DF20" s="74">
        <v>0</v>
      </c>
      <c r="DG20" s="74">
        <v>4</v>
      </c>
      <c r="DH20" s="74">
        <v>8</v>
      </c>
      <c r="DI20" s="74">
        <v>8</v>
      </c>
      <c r="DJ20" s="74">
        <v>7</v>
      </c>
      <c r="DK20" s="74">
        <v>5</v>
      </c>
      <c r="DL20" s="74">
        <v>0</v>
      </c>
      <c r="DM20" s="74">
        <v>32</v>
      </c>
      <c r="DO20" s="74">
        <v>1420802</v>
      </c>
      <c r="DP20" s="74" t="s">
        <v>270</v>
      </c>
      <c r="DQ20" s="74" t="s">
        <v>264</v>
      </c>
      <c r="DR20" s="74"/>
      <c r="DS20" s="74">
        <v>0</v>
      </c>
      <c r="DT20" s="74">
        <v>4</v>
      </c>
      <c r="DU20" s="74">
        <v>8</v>
      </c>
      <c r="DV20" s="74">
        <v>8</v>
      </c>
      <c r="DW20" s="74">
        <v>7</v>
      </c>
      <c r="DX20" s="74">
        <v>5</v>
      </c>
      <c r="DY20" s="74">
        <v>0</v>
      </c>
      <c r="DZ20" s="74">
        <v>32</v>
      </c>
      <c r="EA20" s="74"/>
      <c r="EB20" s="74">
        <v>1420802</v>
      </c>
      <c r="EC20" s="74" t="s">
        <v>270</v>
      </c>
      <c r="ED20" s="74" t="s">
        <v>264</v>
      </c>
      <c r="EE20" s="74"/>
      <c r="EF20" s="74">
        <v>0</v>
      </c>
      <c r="EG20" s="74">
        <v>4</v>
      </c>
      <c r="EH20" s="74">
        <v>8</v>
      </c>
      <c r="EI20" s="74">
        <v>8</v>
      </c>
      <c r="EJ20" s="74">
        <v>7</v>
      </c>
      <c r="EK20" s="74">
        <v>5</v>
      </c>
      <c r="EL20" s="74">
        <v>0</v>
      </c>
      <c r="EM20" s="74">
        <v>32</v>
      </c>
      <c r="EO20" s="74">
        <v>1420802</v>
      </c>
      <c r="EP20" s="74" t="s">
        <v>270</v>
      </c>
      <c r="EQ20" s="74" t="s">
        <v>264</v>
      </c>
      <c r="ER20" s="74"/>
      <c r="ES20" s="74">
        <v>0</v>
      </c>
      <c r="ET20" s="74">
        <v>4</v>
      </c>
      <c r="EU20" s="74">
        <v>8</v>
      </c>
      <c r="EV20" s="74">
        <v>8</v>
      </c>
      <c r="EW20" s="74">
        <v>7</v>
      </c>
      <c r="EX20" s="74">
        <v>5</v>
      </c>
      <c r="EY20" s="74">
        <v>0</v>
      </c>
      <c r="EZ20" s="74">
        <v>32</v>
      </c>
      <c r="FB20" s="74">
        <v>1420802</v>
      </c>
      <c r="FC20" s="74" t="s">
        <v>270</v>
      </c>
      <c r="FD20" s="74" t="s">
        <v>264</v>
      </c>
      <c r="FE20" s="74"/>
      <c r="FF20" s="74">
        <v>0</v>
      </c>
      <c r="FG20" s="74">
        <v>4</v>
      </c>
      <c r="FH20" s="74">
        <v>8</v>
      </c>
      <c r="FI20" s="74">
        <v>8</v>
      </c>
      <c r="FJ20" s="74">
        <v>7</v>
      </c>
      <c r="FK20" s="74">
        <v>5</v>
      </c>
      <c r="FL20" s="74">
        <v>0</v>
      </c>
      <c r="FM20" s="74">
        <v>32</v>
      </c>
      <c r="FO20" s="74">
        <v>1420802</v>
      </c>
      <c r="FP20" s="74" t="s">
        <v>270</v>
      </c>
      <c r="FQ20" s="74" t="s">
        <v>264</v>
      </c>
      <c r="FR20" s="74"/>
      <c r="FS20" s="74">
        <v>0</v>
      </c>
      <c r="FT20" s="74">
        <v>4</v>
      </c>
      <c r="FU20" s="74">
        <v>8</v>
      </c>
      <c r="FV20" s="74">
        <v>8</v>
      </c>
      <c r="FW20" s="74">
        <v>7</v>
      </c>
      <c r="FX20" s="74">
        <v>5</v>
      </c>
      <c r="FY20" s="74">
        <v>0</v>
      </c>
      <c r="FZ20" s="74">
        <v>32</v>
      </c>
      <c r="GB20" s="74">
        <v>1420802</v>
      </c>
      <c r="GC20" s="74" t="s">
        <v>270</v>
      </c>
      <c r="GD20" s="74" t="s">
        <v>264</v>
      </c>
      <c r="GE20" s="74"/>
      <c r="GF20" s="74">
        <v>0</v>
      </c>
      <c r="GG20" s="74">
        <v>4</v>
      </c>
      <c r="GH20" s="74">
        <v>8</v>
      </c>
      <c r="GI20" s="74">
        <v>8</v>
      </c>
      <c r="GJ20" s="74">
        <v>7</v>
      </c>
      <c r="GK20" s="74">
        <v>5</v>
      </c>
      <c r="GL20" s="74">
        <v>0</v>
      </c>
      <c r="GM20" s="74">
        <v>32</v>
      </c>
      <c r="GO20" s="435">
        <v>1420802</v>
      </c>
      <c r="GP20" s="74" t="s">
        <v>270</v>
      </c>
      <c r="GQ20" s="74" t="s">
        <v>264</v>
      </c>
      <c r="GR20" s="74"/>
      <c r="GS20" s="74">
        <v>0</v>
      </c>
      <c r="GT20" s="74">
        <v>4</v>
      </c>
      <c r="GU20" s="74">
        <v>8</v>
      </c>
      <c r="GV20" s="74">
        <v>8</v>
      </c>
      <c r="GW20" s="74">
        <v>7</v>
      </c>
      <c r="GX20" s="74">
        <v>5</v>
      </c>
      <c r="GY20" s="74">
        <v>0</v>
      </c>
      <c r="GZ20" s="74">
        <f t="shared" si="3"/>
        <v>32</v>
      </c>
    </row>
    <row r="21" spans="1:208">
      <c r="A21" s="478">
        <v>1420900</v>
      </c>
      <c r="B21" s="478" t="s">
        <v>36</v>
      </c>
      <c r="C21" s="478">
        <v>55</v>
      </c>
      <c r="D21" s="478">
        <v>109</v>
      </c>
      <c r="E21" s="478">
        <v>112</v>
      </c>
      <c r="F21" s="478">
        <v>103</v>
      </c>
      <c r="G21" s="478">
        <v>78</v>
      </c>
      <c r="H21" s="478">
        <v>55</v>
      </c>
      <c r="I21" s="478"/>
      <c r="J21" s="479">
        <f>SUM(C21:H21)</f>
        <v>512</v>
      </c>
      <c r="K21" s="480">
        <f>'CORTE 4200'!$O$169</f>
        <v>10</v>
      </c>
      <c r="L21" s="480"/>
      <c r="M21" s="481"/>
      <c r="N21" s="500"/>
      <c r="O21">
        <v>1420900</v>
      </c>
      <c r="P21" t="s">
        <v>271</v>
      </c>
      <c r="Q21" t="s">
        <v>264</v>
      </c>
      <c r="R21"/>
      <c r="S21">
        <v>55</v>
      </c>
      <c r="T21">
        <v>109</v>
      </c>
      <c r="U21">
        <v>112</v>
      </c>
      <c r="V21">
        <v>103</v>
      </c>
      <c r="W21">
        <v>78</v>
      </c>
      <c r="X21">
        <v>55</v>
      </c>
      <c r="Y21">
        <v>0</v>
      </c>
      <c r="Z21">
        <f t="shared" si="5"/>
        <v>512</v>
      </c>
      <c r="AA21" s="500"/>
      <c r="AB21" s="74">
        <v>1420900</v>
      </c>
      <c r="AC21" s="74" t="s">
        <v>271</v>
      </c>
      <c r="AD21" s="74" t="s">
        <v>264</v>
      </c>
      <c r="AE21"/>
      <c r="AF21" s="74">
        <v>54</v>
      </c>
      <c r="AG21" s="74">
        <v>107</v>
      </c>
      <c r="AH21" s="74">
        <v>110</v>
      </c>
      <c r="AI21" s="74">
        <v>101</v>
      </c>
      <c r="AJ21" s="74">
        <v>77</v>
      </c>
      <c r="AK21" s="74">
        <v>54</v>
      </c>
      <c r="AL21" s="74">
        <v>0</v>
      </c>
      <c r="AM21" s="74">
        <f t="shared" si="1"/>
        <v>503</v>
      </c>
      <c r="AO21" s="74">
        <v>1420900</v>
      </c>
      <c r="AP21" s="74" t="s">
        <v>271</v>
      </c>
      <c r="AQ21" s="74" t="s">
        <v>264</v>
      </c>
      <c r="AR21" s="74"/>
      <c r="AS21" s="74">
        <v>54</v>
      </c>
      <c r="AT21" s="74">
        <v>107</v>
      </c>
      <c r="AU21" s="74">
        <v>110</v>
      </c>
      <c r="AV21" s="74">
        <v>101</v>
      </c>
      <c r="AW21" s="74">
        <v>77</v>
      </c>
      <c r="AX21" s="74">
        <v>54</v>
      </c>
      <c r="AY21" s="74">
        <v>0</v>
      </c>
      <c r="AZ21" s="74">
        <f t="shared" si="6"/>
        <v>503</v>
      </c>
      <c r="BB21" s="74">
        <v>1420900</v>
      </c>
      <c r="BC21" s="74" t="s">
        <v>271</v>
      </c>
      <c r="BD21" s="74" t="s">
        <v>264</v>
      </c>
      <c r="BE21" s="74"/>
      <c r="BF21" s="74">
        <v>54</v>
      </c>
      <c r="BG21" s="74">
        <v>107</v>
      </c>
      <c r="BH21" s="74">
        <v>110</v>
      </c>
      <c r="BI21" s="74">
        <v>101</v>
      </c>
      <c r="BJ21" s="74">
        <v>77</v>
      </c>
      <c r="BK21" s="74">
        <v>54</v>
      </c>
      <c r="BL21" s="74">
        <v>0</v>
      </c>
      <c r="BM21" s="74">
        <f t="shared" si="8"/>
        <v>503</v>
      </c>
      <c r="BO21" s="74">
        <v>1420900</v>
      </c>
      <c r="BP21" s="74" t="s">
        <v>271</v>
      </c>
      <c r="BQ21" s="74" t="s">
        <v>264</v>
      </c>
      <c r="BR21" s="74"/>
      <c r="BS21" s="74">
        <v>54</v>
      </c>
      <c r="BT21" s="74">
        <v>107</v>
      </c>
      <c r="BU21" s="74">
        <v>110</v>
      </c>
      <c r="BV21" s="74">
        <v>101</v>
      </c>
      <c r="BW21" s="74">
        <v>77</v>
      </c>
      <c r="BX21" s="74">
        <v>54</v>
      </c>
      <c r="BY21" s="74">
        <v>0</v>
      </c>
      <c r="BZ21" s="74">
        <f t="shared" si="7"/>
        <v>503</v>
      </c>
      <c r="CB21" s="74">
        <v>1420900</v>
      </c>
      <c r="CC21" s="74" t="s">
        <v>271</v>
      </c>
      <c r="CD21" s="74" t="s">
        <v>264</v>
      </c>
      <c r="CE21" s="74"/>
      <c r="CF21" s="74">
        <v>52</v>
      </c>
      <c r="CG21" s="74">
        <v>104</v>
      </c>
      <c r="CH21" s="74">
        <v>107</v>
      </c>
      <c r="CI21" s="74">
        <v>98</v>
      </c>
      <c r="CJ21" s="74">
        <v>74</v>
      </c>
      <c r="CK21" s="74">
        <v>52</v>
      </c>
      <c r="CL21" s="74">
        <v>0</v>
      </c>
      <c r="CM21" s="74">
        <f t="shared" si="2"/>
        <v>487</v>
      </c>
      <c r="CO21" s="74">
        <v>1420900</v>
      </c>
      <c r="CP21" s="74" t="s">
        <v>271</v>
      </c>
      <c r="CQ21" s="74" t="s">
        <v>264</v>
      </c>
      <c r="CR21" s="74"/>
      <c r="CS21" s="74">
        <v>52</v>
      </c>
      <c r="CT21" s="74">
        <v>103</v>
      </c>
      <c r="CU21" s="74">
        <v>106</v>
      </c>
      <c r="CV21" s="74">
        <v>97</v>
      </c>
      <c r="CW21" s="74">
        <v>73</v>
      </c>
      <c r="CX21" s="74">
        <v>52</v>
      </c>
      <c r="CY21" s="74">
        <v>0</v>
      </c>
      <c r="CZ21" s="74">
        <v>483</v>
      </c>
      <c r="DB21" s="74">
        <v>1420900</v>
      </c>
      <c r="DC21" s="74" t="s">
        <v>271</v>
      </c>
      <c r="DD21" s="74" t="s">
        <v>264</v>
      </c>
      <c r="DE21" s="74"/>
      <c r="DF21" s="74">
        <v>47</v>
      </c>
      <c r="DG21" s="74">
        <v>92</v>
      </c>
      <c r="DH21" s="74">
        <v>94</v>
      </c>
      <c r="DI21" s="74">
        <v>86</v>
      </c>
      <c r="DJ21" s="74">
        <v>63</v>
      </c>
      <c r="DK21" s="74">
        <v>46</v>
      </c>
      <c r="DL21" s="74">
        <v>0</v>
      </c>
      <c r="DM21" s="74">
        <v>428</v>
      </c>
      <c r="DO21" s="74">
        <v>1420900</v>
      </c>
      <c r="DP21" s="74" t="s">
        <v>271</v>
      </c>
      <c r="DQ21" s="74" t="s">
        <v>264</v>
      </c>
      <c r="DR21" s="74"/>
      <c r="DS21" s="74">
        <v>46</v>
      </c>
      <c r="DT21" s="74">
        <v>88</v>
      </c>
      <c r="DU21" s="74">
        <v>92</v>
      </c>
      <c r="DV21" s="74">
        <v>85</v>
      </c>
      <c r="DW21" s="74">
        <v>62</v>
      </c>
      <c r="DX21" s="74">
        <v>46</v>
      </c>
      <c r="DY21" s="74">
        <v>0</v>
      </c>
      <c r="DZ21" s="74">
        <v>419</v>
      </c>
      <c r="EA21" s="74"/>
      <c r="EB21" s="74">
        <v>1420900</v>
      </c>
      <c r="EC21" s="74" t="s">
        <v>271</v>
      </c>
      <c r="ED21" s="74" t="s">
        <v>264</v>
      </c>
      <c r="EE21" s="74"/>
      <c r="EF21" s="74">
        <v>46</v>
      </c>
      <c r="EG21" s="74">
        <v>87</v>
      </c>
      <c r="EH21" s="74">
        <v>91</v>
      </c>
      <c r="EI21" s="74">
        <v>84</v>
      </c>
      <c r="EJ21" s="74">
        <v>62</v>
      </c>
      <c r="EK21" s="74">
        <v>46</v>
      </c>
      <c r="EL21" s="74">
        <v>0</v>
      </c>
      <c r="EM21" s="74">
        <v>416</v>
      </c>
      <c r="EO21" s="74">
        <v>1420900</v>
      </c>
      <c r="EP21" s="74" t="s">
        <v>271</v>
      </c>
      <c r="EQ21" s="74" t="s">
        <v>264</v>
      </c>
      <c r="ER21" s="74"/>
      <c r="ES21" s="74">
        <v>42</v>
      </c>
      <c r="ET21" s="74">
        <v>82</v>
      </c>
      <c r="EU21" s="74">
        <v>86</v>
      </c>
      <c r="EV21" s="74">
        <v>80</v>
      </c>
      <c r="EW21" s="74">
        <v>59</v>
      </c>
      <c r="EX21" s="74">
        <v>44</v>
      </c>
      <c r="EY21" s="74">
        <v>0</v>
      </c>
      <c r="EZ21" s="74">
        <v>393</v>
      </c>
      <c r="FB21" s="74">
        <v>1420900</v>
      </c>
      <c r="FC21" s="74" t="s">
        <v>271</v>
      </c>
      <c r="FD21" s="74" t="s">
        <v>264</v>
      </c>
      <c r="FE21" s="74"/>
      <c r="FF21" s="74">
        <v>36</v>
      </c>
      <c r="FG21" s="74">
        <v>69</v>
      </c>
      <c r="FH21" s="74">
        <v>73</v>
      </c>
      <c r="FI21" s="74">
        <v>67</v>
      </c>
      <c r="FJ21" s="74">
        <v>48</v>
      </c>
      <c r="FK21" s="74">
        <v>38</v>
      </c>
      <c r="FL21" s="74">
        <v>0</v>
      </c>
      <c r="FM21" s="74">
        <v>331</v>
      </c>
      <c r="FO21" s="74">
        <v>1420900</v>
      </c>
      <c r="FP21" s="74" t="s">
        <v>271</v>
      </c>
      <c r="FQ21" s="74" t="s">
        <v>264</v>
      </c>
      <c r="FR21" s="74"/>
      <c r="FS21" s="74">
        <v>36</v>
      </c>
      <c r="FT21" s="74">
        <v>69</v>
      </c>
      <c r="FU21" s="74">
        <v>73</v>
      </c>
      <c r="FV21" s="74">
        <v>67</v>
      </c>
      <c r="FW21" s="74">
        <v>48</v>
      </c>
      <c r="FX21" s="74">
        <v>38</v>
      </c>
      <c r="FY21" s="74">
        <v>0</v>
      </c>
      <c r="FZ21" s="74">
        <v>331</v>
      </c>
      <c r="GB21" s="74">
        <v>1420900</v>
      </c>
      <c r="GC21" s="74" t="s">
        <v>271</v>
      </c>
      <c r="GD21" s="74" t="s">
        <v>264</v>
      </c>
      <c r="GE21" s="74"/>
      <c r="GF21" s="74">
        <v>22</v>
      </c>
      <c r="GG21" s="74">
        <v>32</v>
      </c>
      <c r="GH21" s="74">
        <v>33</v>
      </c>
      <c r="GI21" s="74">
        <v>30</v>
      </c>
      <c r="GJ21" s="74">
        <v>23</v>
      </c>
      <c r="GK21" s="74">
        <v>16</v>
      </c>
      <c r="GL21" s="74">
        <v>0</v>
      </c>
      <c r="GM21" s="74">
        <v>156</v>
      </c>
      <c r="GO21" s="74">
        <v>1420900</v>
      </c>
      <c r="GP21" s="74" t="s">
        <v>271</v>
      </c>
      <c r="GQ21" s="74" t="s">
        <v>264</v>
      </c>
      <c r="GR21" s="74"/>
      <c r="GS21" s="74">
        <v>20</v>
      </c>
      <c r="GT21" s="74">
        <v>30</v>
      </c>
      <c r="GU21" s="74">
        <v>30</v>
      </c>
      <c r="GV21" s="74">
        <v>27</v>
      </c>
      <c r="GW21" s="74">
        <v>21</v>
      </c>
      <c r="GX21" s="74">
        <v>14</v>
      </c>
      <c r="GY21" s="74">
        <v>0</v>
      </c>
      <c r="GZ21" s="74">
        <f t="shared" si="3"/>
        <v>142</v>
      </c>
    </row>
    <row r="22" spans="1:208">
      <c r="A22" s="485">
        <v>1421000</v>
      </c>
      <c r="B22" s="478" t="s">
        <v>50</v>
      </c>
      <c r="C22" s="478">
        <v>7</v>
      </c>
      <c r="D22" s="478">
        <v>26</v>
      </c>
      <c r="E22" s="478">
        <v>30</v>
      </c>
      <c r="F22" s="478">
        <v>29</v>
      </c>
      <c r="G22" s="478">
        <v>21</v>
      </c>
      <c r="H22" s="478">
        <v>16</v>
      </c>
      <c r="I22" s="478"/>
      <c r="J22" s="479">
        <f>SUM(C22:H22)</f>
        <v>129</v>
      </c>
      <c r="K22" s="480">
        <f>'CORTE 4200'!$O$178</f>
        <v>-20</v>
      </c>
      <c r="L22" s="480"/>
      <c r="M22" s="481" t="s">
        <v>242</v>
      </c>
      <c r="N22" s="500"/>
      <c r="O22">
        <v>1421000</v>
      </c>
      <c r="P22" t="s">
        <v>269</v>
      </c>
      <c r="Q22" t="s">
        <v>264</v>
      </c>
      <c r="R22"/>
      <c r="S22">
        <v>7</v>
      </c>
      <c r="T22">
        <v>26</v>
      </c>
      <c r="U22">
        <v>30</v>
      </c>
      <c r="V22">
        <v>29</v>
      </c>
      <c r="W22">
        <v>21</v>
      </c>
      <c r="X22">
        <v>16</v>
      </c>
      <c r="Y22">
        <v>0</v>
      </c>
      <c r="Z22">
        <f t="shared" si="5"/>
        <v>129</v>
      </c>
      <c r="AA22" s="500"/>
      <c r="AB22" s="74">
        <v>1421000</v>
      </c>
      <c r="AC22" s="74" t="s">
        <v>269</v>
      </c>
      <c r="AD22" s="74" t="s">
        <v>264</v>
      </c>
      <c r="AE22"/>
      <c r="AF22" s="74">
        <v>9</v>
      </c>
      <c r="AG22" s="74">
        <v>32</v>
      </c>
      <c r="AH22" s="74">
        <v>34</v>
      </c>
      <c r="AI22" s="74">
        <v>32</v>
      </c>
      <c r="AJ22" s="74">
        <v>22</v>
      </c>
      <c r="AK22" s="74">
        <v>16</v>
      </c>
      <c r="AL22" s="74">
        <v>0</v>
      </c>
      <c r="AM22" s="74">
        <f t="shared" si="1"/>
        <v>145</v>
      </c>
      <c r="AO22" s="74">
        <v>1421000</v>
      </c>
      <c r="AP22" s="74" t="s">
        <v>269</v>
      </c>
      <c r="AQ22" s="74" t="s">
        <v>264</v>
      </c>
      <c r="AR22" s="74"/>
      <c r="AS22" s="74">
        <v>9</v>
      </c>
      <c r="AT22" s="74">
        <v>32</v>
      </c>
      <c r="AU22" s="74">
        <v>34</v>
      </c>
      <c r="AV22" s="74">
        <v>32</v>
      </c>
      <c r="AW22" s="74">
        <v>22</v>
      </c>
      <c r="AX22" s="74">
        <v>16</v>
      </c>
      <c r="AY22" s="74">
        <v>0</v>
      </c>
      <c r="AZ22" s="74">
        <f t="shared" si="6"/>
        <v>145</v>
      </c>
      <c r="BB22" s="74">
        <v>1421000</v>
      </c>
      <c r="BC22" s="74" t="s">
        <v>269</v>
      </c>
      <c r="BD22" s="74" t="s">
        <v>264</v>
      </c>
      <c r="BE22" s="74"/>
      <c r="BF22" s="74">
        <v>9</v>
      </c>
      <c r="BG22" s="74">
        <v>32</v>
      </c>
      <c r="BH22" s="74">
        <v>34</v>
      </c>
      <c r="BI22" s="74">
        <v>32</v>
      </c>
      <c r="BJ22" s="74">
        <v>22</v>
      </c>
      <c r="BK22" s="74">
        <v>16</v>
      </c>
      <c r="BL22" s="74">
        <v>0</v>
      </c>
      <c r="BM22" s="74">
        <f t="shared" si="8"/>
        <v>145</v>
      </c>
      <c r="BO22" s="74">
        <v>1421000</v>
      </c>
      <c r="BP22" s="74" t="s">
        <v>269</v>
      </c>
      <c r="BQ22" s="74" t="s">
        <v>264</v>
      </c>
      <c r="BR22" s="74"/>
      <c r="BS22" s="74">
        <v>9</v>
      </c>
      <c r="BT22" s="74">
        <v>32</v>
      </c>
      <c r="BU22" s="74">
        <v>34</v>
      </c>
      <c r="BV22" s="74">
        <v>32</v>
      </c>
      <c r="BW22" s="74">
        <v>22</v>
      </c>
      <c r="BX22" s="74">
        <v>16</v>
      </c>
      <c r="BY22" s="74">
        <v>0</v>
      </c>
      <c r="BZ22" s="74">
        <f t="shared" si="7"/>
        <v>145</v>
      </c>
      <c r="CB22" s="74">
        <v>1421000</v>
      </c>
      <c r="CC22" s="74" t="s">
        <v>269</v>
      </c>
      <c r="CD22" s="74" t="s">
        <v>264</v>
      </c>
      <c r="CE22" s="74"/>
      <c r="CF22" s="74">
        <v>9</v>
      </c>
      <c r="CG22" s="74">
        <v>32</v>
      </c>
      <c r="CH22" s="74">
        <v>34</v>
      </c>
      <c r="CI22" s="74">
        <v>32</v>
      </c>
      <c r="CJ22" s="74">
        <v>22</v>
      </c>
      <c r="CK22" s="74">
        <v>16</v>
      </c>
      <c r="CL22" s="74">
        <v>0</v>
      </c>
      <c r="CM22" s="74">
        <f t="shared" si="2"/>
        <v>145</v>
      </c>
      <c r="CO22" s="74">
        <v>1421000</v>
      </c>
      <c r="CP22" s="74" t="s">
        <v>269</v>
      </c>
      <c r="CQ22" s="74" t="s">
        <v>264</v>
      </c>
      <c r="CR22" s="74"/>
      <c r="CS22" s="74">
        <v>9</v>
      </c>
      <c r="CT22" s="74">
        <v>32</v>
      </c>
      <c r="CU22" s="74">
        <v>34</v>
      </c>
      <c r="CV22" s="74">
        <v>32</v>
      </c>
      <c r="CW22" s="74">
        <v>22</v>
      </c>
      <c r="CX22" s="74">
        <v>16</v>
      </c>
      <c r="CY22" s="74">
        <v>0</v>
      </c>
      <c r="CZ22" s="74">
        <v>145</v>
      </c>
      <c r="DB22" s="74">
        <v>1421000</v>
      </c>
      <c r="DC22" s="74" t="s">
        <v>269</v>
      </c>
      <c r="DD22" s="74" t="s">
        <v>264</v>
      </c>
      <c r="DE22" s="74"/>
      <c r="DF22" s="74">
        <v>9</v>
      </c>
      <c r="DG22" s="74">
        <v>32</v>
      </c>
      <c r="DH22" s="74">
        <v>34</v>
      </c>
      <c r="DI22" s="74">
        <v>32</v>
      </c>
      <c r="DJ22" s="74">
        <v>22</v>
      </c>
      <c r="DK22" s="74">
        <v>16</v>
      </c>
      <c r="DL22" s="74">
        <v>0</v>
      </c>
      <c r="DM22" s="74">
        <v>145</v>
      </c>
      <c r="DO22" s="74">
        <v>1421000</v>
      </c>
      <c r="DP22" s="74" t="s">
        <v>269</v>
      </c>
      <c r="DQ22" s="74" t="s">
        <v>264</v>
      </c>
      <c r="DR22" s="74"/>
      <c r="DS22" s="74">
        <v>9</v>
      </c>
      <c r="DT22" s="74">
        <v>32</v>
      </c>
      <c r="DU22" s="74">
        <v>34</v>
      </c>
      <c r="DV22" s="74">
        <v>32</v>
      </c>
      <c r="DW22" s="74">
        <v>22</v>
      </c>
      <c r="DX22" s="74">
        <v>16</v>
      </c>
      <c r="DY22" s="74">
        <v>0</v>
      </c>
      <c r="DZ22" s="74">
        <v>145</v>
      </c>
      <c r="EA22" s="74"/>
      <c r="EB22" s="74">
        <v>1421000</v>
      </c>
      <c r="EC22" s="74" t="s">
        <v>269</v>
      </c>
      <c r="ED22" s="74" t="s">
        <v>264</v>
      </c>
      <c r="EE22" s="74"/>
      <c r="EF22" s="74">
        <v>7</v>
      </c>
      <c r="EG22" s="74">
        <v>26</v>
      </c>
      <c r="EH22" s="74">
        <v>30</v>
      </c>
      <c r="EI22" s="74">
        <v>29</v>
      </c>
      <c r="EJ22" s="74">
        <v>21</v>
      </c>
      <c r="EK22" s="74">
        <v>16</v>
      </c>
      <c r="EL22" s="74">
        <v>0</v>
      </c>
      <c r="EM22" s="74">
        <v>129</v>
      </c>
      <c r="EO22" s="74">
        <v>1421000</v>
      </c>
      <c r="EP22" s="74" t="s">
        <v>269</v>
      </c>
      <c r="EQ22" s="74" t="s">
        <v>264</v>
      </c>
      <c r="ER22" s="74"/>
      <c r="ES22" s="74">
        <v>7</v>
      </c>
      <c r="ET22" s="74">
        <v>26</v>
      </c>
      <c r="EU22" s="74">
        <v>30</v>
      </c>
      <c r="EV22" s="74">
        <v>29</v>
      </c>
      <c r="EW22" s="74">
        <v>21</v>
      </c>
      <c r="EX22" s="74">
        <v>16</v>
      </c>
      <c r="EY22" s="74">
        <v>0</v>
      </c>
      <c r="EZ22" s="74">
        <v>129</v>
      </c>
      <c r="FB22" s="74">
        <v>1421000</v>
      </c>
      <c r="FC22" s="74" t="s">
        <v>269</v>
      </c>
      <c r="FD22" s="74" t="s">
        <v>264</v>
      </c>
      <c r="FE22" s="74"/>
      <c r="FF22" s="74">
        <v>7</v>
      </c>
      <c r="FG22" s="74">
        <v>26</v>
      </c>
      <c r="FH22" s="74">
        <v>30</v>
      </c>
      <c r="FI22" s="74">
        <v>29</v>
      </c>
      <c r="FJ22" s="74">
        <v>21</v>
      </c>
      <c r="FK22" s="74">
        <v>16</v>
      </c>
      <c r="FL22" s="74">
        <v>0</v>
      </c>
      <c r="FM22" s="74">
        <v>129</v>
      </c>
      <c r="FO22" s="74">
        <v>1421000</v>
      </c>
      <c r="FP22" s="74" t="s">
        <v>269</v>
      </c>
      <c r="FQ22" s="74" t="s">
        <v>264</v>
      </c>
      <c r="FR22" s="74"/>
      <c r="FS22" s="74">
        <v>5</v>
      </c>
      <c r="FT22" s="74">
        <v>20</v>
      </c>
      <c r="FU22" s="74">
        <v>24</v>
      </c>
      <c r="FV22" s="74">
        <v>23</v>
      </c>
      <c r="FW22" s="74">
        <v>17</v>
      </c>
      <c r="FX22" s="74">
        <v>12</v>
      </c>
      <c r="FY22" s="74">
        <v>0</v>
      </c>
      <c r="FZ22" s="74">
        <v>101</v>
      </c>
      <c r="GB22" s="74">
        <v>1421000</v>
      </c>
      <c r="GC22" s="74" t="s">
        <v>269</v>
      </c>
      <c r="GD22" s="74" t="s">
        <v>264</v>
      </c>
      <c r="GE22" s="74"/>
      <c r="GF22" s="74">
        <v>2</v>
      </c>
      <c r="GG22" s="74">
        <v>11</v>
      </c>
      <c r="GH22" s="74">
        <v>15</v>
      </c>
      <c r="GI22" s="74">
        <v>14</v>
      </c>
      <c r="GJ22" s="74">
        <v>11</v>
      </c>
      <c r="GK22" s="74">
        <v>6</v>
      </c>
      <c r="GL22" s="74">
        <v>0</v>
      </c>
      <c r="GM22" s="74">
        <v>59</v>
      </c>
      <c r="GO22" s="436">
        <v>1421000</v>
      </c>
      <c r="GP22" s="74" t="s">
        <v>269</v>
      </c>
      <c r="GQ22" s="74" t="s">
        <v>264</v>
      </c>
      <c r="GR22" s="74"/>
      <c r="GS22" s="74">
        <v>2</v>
      </c>
      <c r="GT22" s="74">
        <v>11</v>
      </c>
      <c r="GU22" s="74">
        <v>15</v>
      </c>
      <c r="GV22" s="74">
        <v>14</v>
      </c>
      <c r="GW22" s="74">
        <v>11</v>
      </c>
      <c r="GX22" s="74">
        <v>6</v>
      </c>
      <c r="GY22" s="74">
        <v>0</v>
      </c>
      <c r="GZ22" s="74">
        <f t="shared" si="3"/>
        <v>59</v>
      </c>
    </row>
    <row r="23" spans="1:208">
      <c r="A23" s="485">
        <v>1421001</v>
      </c>
      <c r="B23" s="478" t="s">
        <v>50</v>
      </c>
      <c r="C23" s="478">
        <v>5</v>
      </c>
      <c r="D23" s="478">
        <v>14</v>
      </c>
      <c r="E23" s="478">
        <v>15</v>
      </c>
      <c r="F23" s="478">
        <v>12</v>
      </c>
      <c r="G23" s="478">
        <v>8</v>
      </c>
      <c r="H23" s="478">
        <v>4</v>
      </c>
      <c r="I23" s="478"/>
      <c r="J23" s="479">
        <f t="shared" si="0"/>
        <v>58</v>
      </c>
      <c r="K23" s="480">
        <f>'CORTE 4200'!$O$187</f>
        <v>-23</v>
      </c>
      <c r="L23" s="480"/>
      <c r="M23" s="481" t="s">
        <v>242</v>
      </c>
      <c r="N23" s="500"/>
      <c r="O23">
        <v>1421001</v>
      </c>
      <c r="P23" t="s">
        <v>272</v>
      </c>
      <c r="Q23" t="s">
        <v>264</v>
      </c>
      <c r="R23"/>
      <c r="S23">
        <v>5</v>
      </c>
      <c r="T23">
        <v>14</v>
      </c>
      <c r="U23">
        <v>15</v>
      </c>
      <c r="V23">
        <v>12</v>
      </c>
      <c r="W23">
        <v>8</v>
      </c>
      <c r="X23">
        <v>4</v>
      </c>
      <c r="Y23">
        <v>0</v>
      </c>
      <c r="Z23">
        <f t="shared" si="5"/>
        <v>58</v>
      </c>
      <c r="AA23" s="500"/>
      <c r="AB23" s="74">
        <v>1421001</v>
      </c>
      <c r="AC23" s="74" t="s">
        <v>272</v>
      </c>
      <c r="AD23" s="74" t="s">
        <v>264</v>
      </c>
      <c r="AE23"/>
      <c r="AF23" s="74">
        <v>8</v>
      </c>
      <c r="AG23" s="74">
        <v>21</v>
      </c>
      <c r="AH23" s="74">
        <v>22</v>
      </c>
      <c r="AI23" s="74">
        <v>15</v>
      </c>
      <c r="AJ23" s="74">
        <v>10</v>
      </c>
      <c r="AK23" s="74">
        <v>5</v>
      </c>
      <c r="AL23" s="74">
        <v>0</v>
      </c>
      <c r="AM23" s="74">
        <f t="shared" si="1"/>
        <v>81</v>
      </c>
      <c r="AO23" s="74">
        <v>1421001</v>
      </c>
      <c r="AP23" s="74" t="s">
        <v>272</v>
      </c>
      <c r="AQ23" s="74" t="s">
        <v>264</v>
      </c>
      <c r="AR23" s="74"/>
      <c r="AS23" s="74">
        <v>8</v>
      </c>
      <c r="AT23" s="74">
        <v>21</v>
      </c>
      <c r="AU23" s="74">
        <v>22</v>
      </c>
      <c r="AV23" s="74">
        <v>15</v>
      </c>
      <c r="AW23" s="74">
        <v>10</v>
      </c>
      <c r="AX23" s="74">
        <v>5</v>
      </c>
      <c r="AY23" s="74">
        <v>0</v>
      </c>
      <c r="AZ23" s="74">
        <f t="shared" si="6"/>
        <v>81</v>
      </c>
      <c r="BB23" s="74">
        <v>1421001</v>
      </c>
      <c r="BC23" s="74" t="s">
        <v>272</v>
      </c>
      <c r="BD23" s="74" t="s">
        <v>264</v>
      </c>
      <c r="BE23" s="74"/>
      <c r="BF23" s="74">
        <v>8</v>
      </c>
      <c r="BG23" s="74">
        <v>21</v>
      </c>
      <c r="BH23" s="74">
        <v>22</v>
      </c>
      <c r="BI23" s="74">
        <v>15</v>
      </c>
      <c r="BJ23" s="74">
        <v>10</v>
      </c>
      <c r="BK23" s="74">
        <v>5</v>
      </c>
      <c r="BL23" s="74">
        <v>0</v>
      </c>
      <c r="BM23" s="74">
        <f t="shared" si="8"/>
        <v>81</v>
      </c>
      <c r="BO23" s="74">
        <v>1421001</v>
      </c>
      <c r="BP23" s="74" t="s">
        <v>272</v>
      </c>
      <c r="BQ23" s="74" t="s">
        <v>264</v>
      </c>
      <c r="BR23" s="74"/>
      <c r="BS23" s="74">
        <v>6</v>
      </c>
      <c r="BT23" s="74">
        <v>18</v>
      </c>
      <c r="BU23" s="74">
        <v>19</v>
      </c>
      <c r="BV23" s="74">
        <v>13</v>
      </c>
      <c r="BW23" s="74">
        <v>9</v>
      </c>
      <c r="BX23" s="74">
        <v>5</v>
      </c>
      <c r="BY23" s="74">
        <v>0</v>
      </c>
      <c r="BZ23" s="74">
        <f t="shared" si="7"/>
        <v>70</v>
      </c>
      <c r="CB23" s="74">
        <v>1421001</v>
      </c>
      <c r="CC23" s="74" t="s">
        <v>272</v>
      </c>
      <c r="CD23" s="74" t="s">
        <v>264</v>
      </c>
      <c r="CE23" s="74"/>
      <c r="CF23" s="74">
        <v>6</v>
      </c>
      <c r="CG23" s="74">
        <v>18</v>
      </c>
      <c r="CH23" s="74">
        <v>19</v>
      </c>
      <c r="CI23" s="74">
        <v>13</v>
      </c>
      <c r="CJ23" s="74">
        <v>9</v>
      </c>
      <c r="CK23" s="74">
        <v>5</v>
      </c>
      <c r="CL23" s="74">
        <v>0</v>
      </c>
      <c r="CM23" s="74">
        <f t="shared" si="2"/>
        <v>70</v>
      </c>
      <c r="CO23" s="74">
        <v>1421001</v>
      </c>
      <c r="CP23" s="74" t="s">
        <v>272</v>
      </c>
      <c r="CQ23" s="74" t="s">
        <v>264</v>
      </c>
      <c r="CR23" s="74"/>
      <c r="CS23" s="74">
        <v>6</v>
      </c>
      <c r="CT23" s="74">
        <v>18</v>
      </c>
      <c r="CU23" s="74">
        <v>19</v>
      </c>
      <c r="CV23" s="74">
        <v>13</v>
      </c>
      <c r="CW23" s="74">
        <v>9</v>
      </c>
      <c r="CX23" s="74">
        <v>5</v>
      </c>
      <c r="CY23" s="74">
        <v>0</v>
      </c>
      <c r="CZ23" s="74">
        <v>70</v>
      </c>
      <c r="DB23" s="74">
        <v>1421001</v>
      </c>
      <c r="DC23" s="74" t="s">
        <v>272</v>
      </c>
      <c r="DD23" s="74" t="s">
        <v>264</v>
      </c>
      <c r="DE23" s="74"/>
      <c r="DF23" s="74">
        <v>6</v>
      </c>
      <c r="DG23" s="74">
        <v>18</v>
      </c>
      <c r="DH23" s="74">
        <v>19</v>
      </c>
      <c r="DI23" s="74">
        <v>13</v>
      </c>
      <c r="DJ23" s="74">
        <v>9</v>
      </c>
      <c r="DK23" s="74">
        <v>5</v>
      </c>
      <c r="DL23" s="74">
        <v>0</v>
      </c>
      <c r="DM23" s="74">
        <v>70</v>
      </c>
      <c r="DO23" s="74">
        <v>1421001</v>
      </c>
      <c r="DP23" s="74" t="s">
        <v>272</v>
      </c>
      <c r="DQ23" s="74" t="s">
        <v>264</v>
      </c>
      <c r="DR23" s="74"/>
      <c r="DS23" s="74">
        <v>6</v>
      </c>
      <c r="DT23" s="74">
        <v>18</v>
      </c>
      <c r="DU23" s="74">
        <v>19</v>
      </c>
      <c r="DV23" s="74">
        <v>13</v>
      </c>
      <c r="DW23" s="74">
        <v>9</v>
      </c>
      <c r="DX23" s="74">
        <v>5</v>
      </c>
      <c r="DY23" s="74">
        <v>0</v>
      </c>
      <c r="DZ23" s="74">
        <v>70</v>
      </c>
      <c r="EA23" s="74"/>
      <c r="EB23" s="74">
        <v>1421001</v>
      </c>
      <c r="EC23" s="74" t="s">
        <v>272</v>
      </c>
      <c r="ED23" s="74" t="s">
        <v>264</v>
      </c>
      <c r="EE23" s="74"/>
      <c r="EF23" s="74">
        <v>3</v>
      </c>
      <c r="EG23" s="74">
        <v>11</v>
      </c>
      <c r="EH23" s="74">
        <v>12</v>
      </c>
      <c r="EI23" s="74">
        <v>10</v>
      </c>
      <c r="EJ23" s="74">
        <v>7</v>
      </c>
      <c r="EK23" s="74">
        <v>4</v>
      </c>
      <c r="EL23" s="74">
        <v>0</v>
      </c>
      <c r="EM23" s="74">
        <v>47</v>
      </c>
      <c r="EO23" s="74">
        <v>1421001</v>
      </c>
      <c r="EP23" s="74" t="s">
        <v>272</v>
      </c>
      <c r="EQ23" s="74" t="s">
        <v>264</v>
      </c>
      <c r="ER23" s="74"/>
      <c r="ES23" s="74">
        <v>3</v>
      </c>
      <c r="ET23" s="74">
        <v>11</v>
      </c>
      <c r="EU23" s="74">
        <v>12</v>
      </c>
      <c r="EV23" s="74">
        <v>10</v>
      </c>
      <c r="EW23" s="74">
        <v>7</v>
      </c>
      <c r="EX23" s="74">
        <v>4</v>
      </c>
      <c r="EY23" s="74">
        <v>0</v>
      </c>
      <c r="EZ23" s="74">
        <v>47</v>
      </c>
      <c r="FB23" s="74">
        <v>1421001</v>
      </c>
      <c r="FC23" s="74" t="s">
        <v>272</v>
      </c>
      <c r="FD23" s="74" t="s">
        <v>264</v>
      </c>
      <c r="FE23" s="74"/>
      <c r="FF23" s="74">
        <v>1</v>
      </c>
      <c r="FG23" s="74">
        <v>8</v>
      </c>
      <c r="FH23" s="74">
        <v>9</v>
      </c>
      <c r="FI23" s="74">
        <v>7</v>
      </c>
      <c r="FJ23" s="74">
        <v>5</v>
      </c>
      <c r="FK23" s="74">
        <v>2</v>
      </c>
      <c r="FL23" s="74">
        <v>0</v>
      </c>
      <c r="FM23" s="74">
        <v>32</v>
      </c>
      <c r="FO23" s="74">
        <v>1421001</v>
      </c>
      <c r="FP23" s="74" t="s">
        <v>272</v>
      </c>
      <c r="FQ23" s="74" t="s">
        <v>264</v>
      </c>
      <c r="FR23" s="74"/>
      <c r="FS23" s="74">
        <v>1</v>
      </c>
      <c r="FT23" s="74">
        <v>8</v>
      </c>
      <c r="FU23" s="74">
        <v>9</v>
      </c>
      <c r="FV23" s="74">
        <v>7</v>
      </c>
      <c r="FW23" s="74">
        <v>5</v>
      </c>
      <c r="FX23" s="74">
        <v>2</v>
      </c>
      <c r="FY23" s="74">
        <v>0</v>
      </c>
      <c r="FZ23" s="74">
        <v>32</v>
      </c>
      <c r="GB23" s="74">
        <v>1421001</v>
      </c>
      <c r="GC23" s="74" t="s">
        <v>272</v>
      </c>
      <c r="GD23" s="74" t="s">
        <v>264</v>
      </c>
      <c r="GE23" s="74"/>
      <c r="GF23" s="74">
        <v>1</v>
      </c>
      <c r="GG23" s="74">
        <v>8</v>
      </c>
      <c r="GH23" s="74">
        <v>9</v>
      </c>
      <c r="GI23" s="74">
        <v>7</v>
      </c>
      <c r="GJ23" s="74">
        <v>5</v>
      </c>
      <c r="GK23" s="74">
        <v>2</v>
      </c>
      <c r="GL23" s="74">
        <v>0</v>
      </c>
      <c r="GM23" s="74">
        <v>32</v>
      </c>
      <c r="GO23" s="436">
        <v>1421001</v>
      </c>
      <c r="GP23" s="74" t="s">
        <v>272</v>
      </c>
      <c r="GQ23" s="74" t="s">
        <v>264</v>
      </c>
      <c r="GR23" s="74"/>
      <c r="GS23" s="74">
        <v>0</v>
      </c>
      <c r="GT23" s="74">
        <v>5</v>
      </c>
      <c r="GU23" s="74">
        <v>5</v>
      </c>
      <c r="GV23" s="74">
        <v>4</v>
      </c>
      <c r="GW23" s="74">
        <v>3</v>
      </c>
      <c r="GX23" s="74">
        <v>1</v>
      </c>
      <c r="GY23" s="74">
        <v>0</v>
      </c>
      <c r="GZ23" s="74">
        <f t="shared" si="3"/>
        <v>18</v>
      </c>
    </row>
    <row r="24" spans="1:208">
      <c r="A24" s="486">
        <v>1421100</v>
      </c>
      <c r="B24" s="478" t="s">
        <v>50</v>
      </c>
      <c r="C24" s="478">
        <v>11</v>
      </c>
      <c r="D24" s="478">
        <v>21</v>
      </c>
      <c r="E24" s="478">
        <v>29</v>
      </c>
      <c r="F24" s="478">
        <v>25</v>
      </c>
      <c r="G24" s="478">
        <v>20</v>
      </c>
      <c r="H24" s="478">
        <v>11</v>
      </c>
      <c r="I24" s="478"/>
      <c r="J24" s="479">
        <f t="shared" ref="J24:J32" si="9">SUM(C24:H24)</f>
        <v>117</v>
      </c>
      <c r="K24" s="480">
        <f>'CORTE 4200'!$O$196</f>
        <v>-110</v>
      </c>
      <c r="L24" s="480"/>
      <c r="M24" s="481"/>
      <c r="N24" s="500"/>
      <c r="O24">
        <v>1421100</v>
      </c>
      <c r="P24" t="s">
        <v>270</v>
      </c>
      <c r="Q24" t="s">
        <v>264</v>
      </c>
      <c r="R24"/>
      <c r="S24">
        <v>11</v>
      </c>
      <c r="T24">
        <v>21</v>
      </c>
      <c r="U24">
        <v>29</v>
      </c>
      <c r="V24">
        <v>25</v>
      </c>
      <c r="W24">
        <v>20</v>
      </c>
      <c r="X24">
        <v>11</v>
      </c>
      <c r="Y24">
        <v>0</v>
      </c>
      <c r="Z24">
        <f t="shared" si="5"/>
        <v>117</v>
      </c>
      <c r="AA24" s="500"/>
      <c r="AB24" s="74">
        <v>1421100</v>
      </c>
      <c r="AC24" s="74" t="s">
        <v>270</v>
      </c>
      <c r="AD24" s="74" t="s">
        <v>264</v>
      </c>
      <c r="AE24"/>
      <c r="AF24" s="74">
        <v>11</v>
      </c>
      <c r="AG24" s="74">
        <v>21</v>
      </c>
      <c r="AH24" s="74">
        <v>29</v>
      </c>
      <c r="AI24" s="74">
        <v>25</v>
      </c>
      <c r="AJ24" s="74">
        <v>20</v>
      </c>
      <c r="AK24" s="74">
        <v>11</v>
      </c>
      <c r="AL24" s="74">
        <v>0</v>
      </c>
      <c r="AM24" s="74">
        <f t="shared" si="1"/>
        <v>117</v>
      </c>
      <c r="AO24" s="74">
        <v>1421100</v>
      </c>
      <c r="AP24" s="74" t="s">
        <v>270</v>
      </c>
      <c r="AQ24" s="74" t="s">
        <v>264</v>
      </c>
      <c r="AR24" s="74"/>
      <c r="AS24" s="74">
        <v>11</v>
      </c>
      <c r="AT24" s="74">
        <v>21</v>
      </c>
      <c r="AU24" s="74">
        <v>29</v>
      </c>
      <c r="AV24" s="74">
        <v>25</v>
      </c>
      <c r="AW24" s="74">
        <v>20</v>
      </c>
      <c r="AX24" s="74">
        <v>11</v>
      </c>
      <c r="AY24" s="74">
        <v>0</v>
      </c>
      <c r="AZ24" s="74">
        <f t="shared" si="6"/>
        <v>117</v>
      </c>
      <c r="BB24" s="74">
        <v>1421100</v>
      </c>
      <c r="BC24" s="74" t="s">
        <v>270</v>
      </c>
      <c r="BD24" s="74" t="s">
        <v>264</v>
      </c>
      <c r="BE24" s="74"/>
      <c r="BF24" s="74">
        <v>11</v>
      </c>
      <c r="BG24" s="74">
        <v>21</v>
      </c>
      <c r="BH24" s="74">
        <v>29</v>
      </c>
      <c r="BI24" s="74">
        <v>25</v>
      </c>
      <c r="BJ24" s="74">
        <v>20</v>
      </c>
      <c r="BK24" s="74">
        <v>11</v>
      </c>
      <c r="BL24" s="74">
        <v>0</v>
      </c>
      <c r="BM24" s="74">
        <f t="shared" si="8"/>
        <v>117</v>
      </c>
      <c r="BO24" s="74">
        <v>1421100</v>
      </c>
      <c r="BP24" s="74" t="s">
        <v>270</v>
      </c>
      <c r="BQ24" s="74" t="s">
        <v>264</v>
      </c>
      <c r="BR24" s="74"/>
      <c r="BS24" s="74">
        <v>11</v>
      </c>
      <c r="BT24" s="74">
        <v>21</v>
      </c>
      <c r="BU24" s="74">
        <v>29</v>
      </c>
      <c r="BV24" s="74">
        <v>25</v>
      </c>
      <c r="BW24" s="74">
        <v>20</v>
      </c>
      <c r="BX24" s="74">
        <v>11</v>
      </c>
      <c r="BY24" s="74">
        <v>0</v>
      </c>
      <c r="BZ24" s="74">
        <f t="shared" si="7"/>
        <v>117</v>
      </c>
      <c r="CB24" s="74">
        <v>1421100</v>
      </c>
      <c r="CC24" s="74" t="s">
        <v>270</v>
      </c>
      <c r="CD24" s="74" t="s">
        <v>264</v>
      </c>
      <c r="CE24" s="74"/>
      <c r="CF24" s="74">
        <v>11</v>
      </c>
      <c r="CG24" s="74">
        <v>21</v>
      </c>
      <c r="CH24" s="74">
        <v>29</v>
      </c>
      <c r="CI24" s="74">
        <v>25</v>
      </c>
      <c r="CJ24" s="74">
        <v>20</v>
      </c>
      <c r="CK24" s="74">
        <v>11</v>
      </c>
      <c r="CL24" s="74">
        <v>0</v>
      </c>
      <c r="CM24" s="74">
        <f t="shared" si="2"/>
        <v>117</v>
      </c>
      <c r="CO24" s="74">
        <v>1421100</v>
      </c>
      <c r="CP24" s="74" t="s">
        <v>270</v>
      </c>
      <c r="CQ24" s="74" t="s">
        <v>264</v>
      </c>
      <c r="CR24" s="74"/>
      <c r="CS24" s="74">
        <v>11</v>
      </c>
      <c r="CT24" s="74">
        <v>21</v>
      </c>
      <c r="CU24" s="74">
        <v>29</v>
      </c>
      <c r="CV24" s="74">
        <v>25</v>
      </c>
      <c r="CW24" s="74">
        <v>20</v>
      </c>
      <c r="CX24" s="74">
        <v>11</v>
      </c>
      <c r="CY24" s="74">
        <v>0</v>
      </c>
      <c r="CZ24" s="74">
        <v>117</v>
      </c>
      <c r="DB24" s="74">
        <v>1421100</v>
      </c>
      <c r="DC24" s="74" t="s">
        <v>270</v>
      </c>
      <c r="DD24" s="74" t="s">
        <v>264</v>
      </c>
      <c r="DE24" s="74"/>
      <c r="DF24" s="74">
        <v>9</v>
      </c>
      <c r="DG24" s="74">
        <v>17</v>
      </c>
      <c r="DH24" s="74">
        <v>24</v>
      </c>
      <c r="DI24" s="74">
        <v>21</v>
      </c>
      <c r="DJ24" s="74">
        <v>17</v>
      </c>
      <c r="DK24" s="74">
        <v>10</v>
      </c>
      <c r="DL24" s="74">
        <v>0</v>
      </c>
      <c r="DM24" s="74">
        <v>98</v>
      </c>
      <c r="DO24" s="74">
        <v>1421100</v>
      </c>
      <c r="DP24" s="74" t="s">
        <v>270</v>
      </c>
      <c r="DQ24" s="74" t="s">
        <v>264</v>
      </c>
      <c r="DR24" s="74"/>
      <c r="DS24" s="74">
        <v>9</v>
      </c>
      <c r="DT24" s="74">
        <v>17</v>
      </c>
      <c r="DU24" s="74">
        <v>24</v>
      </c>
      <c r="DV24" s="74">
        <v>21</v>
      </c>
      <c r="DW24" s="74">
        <v>17</v>
      </c>
      <c r="DX24" s="74">
        <v>10</v>
      </c>
      <c r="DY24" s="74">
        <v>0</v>
      </c>
      <c r="DZ24" s="74">
        <v>98</v>
      </c>
      <c r="EA24" s="74"/>
      <c r="EB24" s="74">
        <v>1421100</v>
      </c>
      <c r="EC24" s="74" t="s">
        <v>270</v>
      </c>
      <c r="ED24" s="74" t="s">
        <v>264</v>
      </c>
      <c r="EE24" s="74"/>
      <c r="EF24" s="74">
        <v>9</v>
      </c>
      <c r="EG24" s="74">
        <v>17</v>
      </c>
      <c r="EH24" s="74">
        <v>24</v>
      </c>
      <c r="EI24" s="74">
        <v>21</v>
      </c>
      <c r="EJ24" s="74">
        <v>17</v>
      </c>
      <c r="EK24" s="74">
        <v>10</v>
      </c>
      <c r="EL24" s="74">
        <v>0</v>
      </c>
      <c r="EM24" s="74">
        <v>98</v>
      </c>
      <c r="EO24" s="74">
        <v>1421100</v>
      </c>
      <c r="EP24" s="74" t="s">
        <v>270</v>
      </c>
      <c r="EQ24" s="74" t="s">
        <v>264</v>
      </c>
      <c r="ER24" s="74"/>
      <c r="ES24" s="74">
        <v>9</v>
      </c>
      <c r="ET24" s="74">
        <v>17</v>
      </c>
      <c r="EU24" s="74">
        <v>24</v>
      </c>
      <c r="EV24" s="74">
        <v>21</v>
      </c>
      <c r="EW24" s="74">
        <v>17</v>
      </c>
      <c r="EX24" s="74">
        <v>10</v>
      </c>
      <c r="EY24" s="74">
        <v>0</v>
      </c>
      <c r="EZ24" s="74">
        <v>98</v>
      </c>
      <c r="FB24" s="74">
        <v>1421100</v>
      </c>
      <c r="FC24" s="74" t="s">
        <v>270</v>
      </c>
      <c r="FD24" s="74" t="s">
        <v>264</v>
      </c>
      <c r="FE24" s="74"/>
      <c r="FF24" s="74">
        <v>6</v>
      </c>
      <c r="FG24" s="74">
        <v>12</v>
      </c>
      <c r="FH24" s="74">
        <v>19</v>
      </c>
      <c r="FI24" s="74">
        <v>16</v>
      </c>
      <c r="FJ24" s="74">
        <v>12</v>
      </c>
      <c r="FK24" s="74">
        <v>8</v>
      </c>
      <c r="FL24" s="74">
        <v>0</v>
      </c>
      <c r="FM24" s="74">
        <v>73</v>
      </c>
      <c r="FO24" s="74">
        <v>1421100</v>
      </c>
      <c r="FP24" s="74" t="s">
        <v>270</v>
      </c>
      <c r="FQ24" s="74" t="s">
        <v>264</v>
      </c>
      <c r="FR24" s="74"/>
      <c r="FS24" s="74">
        <v>6</v>
      </c>
      <c r="FT24" s="74">
        <v>12</v>
      </c>
      <c r="FU24" s="74">
        <v>19</v>
      </c>
      <c r="FV24" s="74">
        <v>16</v>
      </c>
      <c r="FW24" s="74">
        <v>12</v>
      </c>
      <c r="FX24" s="74">
        <v>8</v>
      </c>
      <c r="FY24" s="74">
        <v>0</v>
      </c>
      <c r="FZ24" s="74">
        <v>73</v>
      </c>
      <c r="GB24" s="74">
        <v>1421100</v>
      </c>
      <c r="GC24" s="74" t="s">
        <v>270</v>
      </c>
      <c r="GD24" s="74" t="s">
        <v>264</v>
      </c>
      <c r="GE24" s="74"/>
      <c r="GF24" s="74">
        <v>3</v>
      </c>
      <c r="GG24" s="74">
        <v>9</v>
      </c>
      <c r="GH24" s="74">
        <v>15</v>
      </c>
      <c r="GI24" s="74">
        <v>14</v>
      </c>
      <c r="GJ24" s="74">
        <v>11</v>
      </c>
      <c r="GK24" s="74">
        <v>8</v>
      </c>
      <c r="GL24" s="74">
        <v>0</v>
      </c>
      <c r="GM24" s="74">
        <v>60</v>
      </c>
      <c r="GO24" s="437">
        <v>1421100</v>
      </c>
      <c r="GP24" s="74" t="s">
        <v>270</v>
      </c>
      <c r="GQ24" s="74" t="s">
        <v>264</v>
      </c>
      <c r="GR24" s="74"/>
      <c r="GS24" s="74">
        <v>0</v>
      </c>
      <c r="GT24" s="74">
        <v>4</v>
      </c>
      <c r="GU24" s="74">
        <v>8</v>
      </c>
      <c r="GV24" s="74">
        <v>8</v>
      </c>
      <c r="GW24" s="74">
        <v>7</v>
      </c>
      <c r="GX24" s="74">
        <v>5</v>
      </c>
      <c r="GY24" s="74">
        <v>0</v>
      </c>
      <c r="GZ24" s="74">
        <f t="shared" si="3"/>
        <v>32</v>
      </c>
    </row>
    <row r="25" spans="1:208">
      <c r="A25" s="486">
        <v>1421101</v>
      </c>
      <c r="B25" s="478" t="s">
        <v>50</v>
      </c>
      <c r="C25" s="478">
        <v>19</v>
      </c>
      <c r="D25" s="478">
        <v>53</v>
      </c>
      <c r="E25" s="478">
        <v>57</v>
      </c>
      <c r="F25" s="478">
        <v>54</v>
      </c>
      <c r="G25" s="478">
        <v>36</v>
      </c>
      <c r="H25" s="478">
        <v>34</v>
      </c>
      <c r="I25" s="478"/>
      <c r="J25" s="479">
        <f t="shared" si="9"/>
        <v>253</v>
      </c>
      <c r="K25" s="480">
        <f>'CORTE 4200'!$O$205</f>
        <v>34</v>
      </c>
      <c r="L25" s="480"/>
      <c r="M25" s="481"/>
      <c r="N25" s="500"/>
      <c r="O25">
        <v>1421101</v>
      </c>
      <c r="P25" t="s">
        <v>270</v>
      </c>
      <c r="Q25" t="s">
        <v>264</v>
      </c>
      <c r="R25"/>
      <c r="S25">
        <v>19</v>
      </c>
      <c r="T25">
        <v>53</v>
      </c>
      <c r="U25">
        <v>57</v>
      </c>
      <c r="V25">
        <v>54</v>
      </c>
      <c r="W25">
        <v>36</v>
      </c>
      <c r="X25">
        <v>34</v>
      </c>
      <c r="Y25">
        <v>0</v>
      </c>
      <c r="Z25">
        <f t="shared" si="5"/>
        <v>253</v>
      </c>
      <c r="AA25" s="500"/>
      <c r="AB25" s="74">
        <v>1421101</v>
      </c>
      <c r="AC25" s="74" t="s">
        <v>270</v>
      </c>
      <c r="AD25" s="74" t="s">
        <v>264</v>
      </c>
      <c r="AE25"/>
      <c r="AF25" s="74">
        <v>19</v>
      </c>
      <c r="AG25" s="74">
        <v>53</v>
      </c>
      <c r="AH25" s="74">
        <v>57</v>
      </c>
      <c r="AI25" s="74">
        <v>54</v>
      </c>
      <c r="AJ25" s="74">
        <v>36</v>
      </c>
      <c r="AK25" s="74">
        <v>34</v>
      </c>
      <c r="AL25" s="74">
        <v>0</v>
      </c>
      <c r="AM25" s="74">
        <f t="shared" si="1"/>
        <v>253</v>
      </c>
      <c r="AO25" s="74">
        <v>1421101</v>
      </c>
      <c r="AP25" s="74" t="s">
        <v>270</v>
      </c>
      <c r="AQ25" s="74" t="s">
        <v>264</v>
      </c>
      <c r="AR25" s="74"/>
      <c r="AS25" s="74">
        <v>16</v>
      </c>
      <c r="AT25" s="74">
        <v>48</v>
      </c>
      <c r="AU25" s="74">
        <v>52</v>
      </c>
      <c r="AV25" s="74">
        <v>50</v>
      </c>
      <c r="AW25" s="74">
        <v>32</v>
      </c>
      <c r="AX25" s="74">
        <v>30</v>
      </c>
      <c r="AY25" s="74">
        <v>0</v>
      </c>
      <c r="AZ25" s="74">
        <f t="shared" si="6"/>
        <v>228</v>
      </c>
      <c r="BB25" s="74">
        <v>1421101</v>
      </c>
      <c r="BC25" s="74" t="s">
        <v>270</v>
      </c>
      <c r="BD25" s="74" t="s">
        <v>264</v>
      </c>
      <c r="BE25" s="74"/>
      <c r="BF25" s="74">
        <v>16</v>
      </c>
      <c r="BG25" s="74">
        <v>48</v>
      </c>
      <c r="BH25" s="74">
        <v>52</v>
      </c>
      <c r="BI25" s="74">
        <v>50</v>
      </c>
      <c r="BJ25" s="74">
        <v>32</v>
      </c>
      <c r="BK25" s="74">
        <v>30</v>
      </c>
      <c r="BL25" s="74">
        <v>0</v>
      </c>
      <c r="BM25" s="74">
        <f t="shared" si="8"/>
        <v>228</v>
      </c>
      <c r="BO25" s="74">
        <v>1421101</v>
      </c>
      <c r="BP25" s="74" t="s">
        <v>270</v>
      </c>
      <c r="BQ25" s="74" t="s">
        <v>264</v>
      </c>
      <c r="BR25" s="74"/>
      <c r="BS25" s="74">
        <v>16</v>
      </c>
      <c r="BT25" s="74">
        <v>48</v>
      </c>
      <c r="BU25" s="74">
        <v>52</v>
      </c>
      <c r="BV25" s="74">
        <v>50</v>
      </c>
      <c r="BW25" s="74">
        <v>32</v>
      </c>
      <c r="BX25" s="74">
        <v>30</v>
      </c>
      <c r="BY25" s="74">
        <v>0</v>
      </c>
      <c r="BZ25" s="74">
        <f t="shared" si="7"/>
        <v>228</v>
      </c>
      <c r="CB25" s="74">
        <v>1421101</v>
      </c>
      <c r="CC25" s="74" t="s">
        <v>270</v>
      </c>
      <c r="CD25" s="74" t="s">
        <v>264</v>
      </c>
      <c r="CE25" s="74"/>
      <c r="CF25" s="74">
        <v>15</v>
      </c>
      <c r="CG25" s="74">
        <v>46</v>
      </c>
      <c r="CH25" s="74">
        <v>50</v>
      </c>
      <c r="CI25" s="74">
        <v>48</v>
      </c>
      <c r="CJ25" s="74">
        <v>31</v>
      </c>
      <c r="CK25" s="74">
        <v>29</v>
      </c>
      <c r="CL25" s="74">
        <v>0</v>
      </c>
      <c r="CM25" s="74">
        <f t="shared" si="2"/>
        <v>219</v>
      </c>
      <c r="CO25" s="74">
        <v>1421101</v>
      </c>
      <c r="CP25" s="74" t="s">
        <v>270</v>
      </c>
      <c r="CQ25" s="74" t="s">
        <v>264</v>
      </c>
      <c r="CR25" s="74"/>
      <c r="CS25" s="74">
        <v>15</v>
      </c>
      <c r="CT25" s="74">
        <v>46</v>
      </c>
      <c r="CU25" s="74">
        <v>50</v>
      </c>
      <c r="CV25" s="74">
        <v>48</v>
      </c>
      <c r="CW25" s="74">
        <v>31</v>
      </c>
      <c r="CX25" s="74">
        <v>29</v>
      </c>
      <c r="CY25" s="74">
        <v>0</v>
      </c>
      <c r="CZ25" s="74">
        <v>219</v>
      </c>
      <c r="DB25" s="74">
        <v>1421101</v>
      </c>
      <c r="DC25" s="74" t="s">
        <v>270</v>
      </c>
      <c r="DD25" s="74" t="s">
        <v>264</v>
      </c>
      <c r="DE25" s="74"/>
      <c r="DF25" s="74">
        <v>15</v>
      </c>
      <c r="DG25" s="74">
        <v>46</v>
      </c>
      <c r="DH25" s="74">
        <v>50</v>
      </c>
      <c r="DI25" s="74">
        <v>48</v>
      </c>
      <c r="DJ25" s="74">
        <v>31</v>
      </c>
      <c r="DK25" s="74">
        <v>29</v>
      </c>
      <c r="DL25" s="74">
        <v>0</v>
      </c>
      <c r="DM25" s="74">
        <v>219</v>
      </c>
      <c r="DO25" s="74">
        <v>1421101</v>
      </c>
      <c r="DP25" s="74" t="s">
        <v>270</v>
      </c>
      <c r="DQ25" s="74" t="s">
        <v>264</v>
      </c>
      <c r="DR25" s="74"/>
      <c r="DS25" s="74">
        <v>12</v>
      </c>
      <c r="DT25" s="74">
        <v>41</v>
      </c>
      <c r="DU25" s="74">
        <v>45</v>
      </c>
      <c r="DV25" s="74">
        <v>45</v>
      </c>
      <c r="DW25" s="74">
        <v>31</v>
      </c>
      <c r="DX25" s="74">
        <v>29</v>
      </c>
      <c r="DY25" s="74">
        <v>0</v>
      </c>
      <c r="DZ25" s="74">
        <v>203</v>
      </c>
      <c r="EA25" s="74"/>
      <c r="EB25" s="74">
        <v>1421101</v>
      </c>
      <c r="EC25" s="74" t="s">
        <v>270</v>
      </c>
      <c r="ED25" s="74" t="s">
        <v>264</v>
      </c>
      <c r="EE25" s="74"/>
      <c r="EF25" s="74">
        <v>12</v>
      </c>
      <c r="EG25" s="74">
        <v>40</v>
      </c>
      <c r="EH25" s="74">
        <v>44</v>
      </c>
      <c r="EI25" s="74">
        <v>44</v>
      </c>
      <c r="EJ25" s="74">
        <v>31</v>
      </c>
      <c r="EK25" s="74">
        <v>29</v>
      </c>
      <c r="EL25" s="74">
        <v>0</v>
      </c>
      <c r="EM25" s="74">
        <v>200</v>
      </c>
      <c r="EO25" s="74">
        <v>1421101</v>
      </c>
      <c r="EP25" s="74" t="s">
        <v>270</v>
      </c>
      <c r="EQ25" s="74" t="s">
        <v>264</v>
      </c>
      <c r="ER25" s="74"/>
      <c r="ES25" s="74">
        <v>12</v>
      </c>
      <c r="ET25" s="74">
        <v>40</v>
      </c>
      <c r="EU25" s="74">
        <v>44</v>
      </c>
      <c r="EV25" s="74">
        <v>44</v>
      </c>
      <c r="EW25" s="74">
        <v>31</v>
      </c>
      <c r="EX25" s="74">
        <v>29</v>
      </c>
      <c r="EY25" s="74">
        <v>0</v>
      </c>
      <c r="EZ25" s="74">
        <v>200</v>
      </c>
      <c r="FB25" s="74">
        <v>1421101</v>
      </c>
      <c r="FC25" s="74" t="s">
        <v>270</v>
      </c>
      <c r="FD25" s="74" t="s">
        <v>264</v>
      </c>
      <c r="FE25" s="74"/>
      <c r="FF25" s="74">
        <v>12</v>
      </c>
      <c r="FG25" s="74">
        <v>40</v>
      </c>
      <c r="FH25" s="74">
        <v>44</v>
      </c>
      <c r="FI25" s="74">
        <v>44</v>
      </c>
      <c r="FJ25" s="74">
        <v>31</v>
      </c>
      <c r="FK25" s="74">
        <v>29</v>
      </c>
      <c r="FL25" s="74">
        <v>0</v>
      </c>
      <c r="FM25" s="74">
        <v>200</v>
      </c>
      <c r="FO25" s="74">
        <v>1421101</v>
      </c>
      <c r="FP25" s="74" t="s">
        <v>270</v>
      </c>
      <c r="FQ25" s="74" t="s">
        <v>264</v>
      </c>
      <c r="FR25" s="74"/>
      <c r="FS25" s="74">
        <v>10</v>
      </c>
      <c r="FT25" s="74">
        <v>34</v>
      </c>
      <c r="FU25" s="74">
        <v>38</v>
      </c>
      <c r="FV25" s="74">
        <v>38</v>
      </c>
      <c r="FW25" s="74">
        <v>27</v>
      </c>
      <c r="FX25" s="74">
        <v>25</v>
      </c>
      <c r="FY25" s="74">
        <v>0</v>
      </c>
      <c r="FZ25" s="74">
        <v>172</v>
      </c>
      <c r="GB25" s="74">
        <v>1421101</v>
      </c>
      <c r="GC25" s="74" t="s">
        <v>270</v>
      </c>
      <c r="GD25" s="74" t="s">
        <v>264</v>
      </c>
      <c r="GE25" s="74"/>
      <c r="GF25" s="74">
        <v>0</v>
      </c>
      <c r="GG25" s="74">
        <v>4</v>
      </c>
      <c r="GH25" s="74">
        <v>8</v>
      </c>
      <c r="GI25" s="74">
        <v>8</v>
      </c>
      <c r="GJ25" s="74">
        <v>7</v>
      </c>
      <c r="GK25" s="74">
        <v>5</v>
      </c>
      <c r="GL25" s="74">
        <v>0</v>
      </c>
      <c r="GM25" s="74">
        <v>32</v>
      </c>
      <c r="GO25" s="437">
        <v>1421101</v>
      </c>
      <c r="GP25" s="74" t="s">
        <v>270</v>
      </c>
      <c r="GQ25" s="74" t="s">
        <v>264</v>
      </c>
      <c r="GR25" s="74"/>
      <c r="GS25" s="74">
        <v>0</v>
      </c>
      <c r="GT25" s="74">
        <v>4</v>
      </c>
      <c r="GU25" s="74">
        <v>8</v>
      </c>
      <c r="GV25" s="74">
        <v>8</v>
      </c>
      <c r="GW25" s="74">
        <v>7</v>
      </c>
      <c r="GX25" s="74">
        <v>5</v>
      </c>
      <c r="GY25" s="74">
        <v>0</v>
      </c>
      <c r="GZ25" s="74">
        <f t="shared" si="3"/>
        <v>32</v>
      </c>
    </row>
    <row r="26" spans="1:208">
      <c r="A26" s="486">
        <v>1421200</v>
      </c>
      <c r="B26" s="478" t="s">
        <v>273</v>
      </c>
      <c r="C26" s="478">
        <v>2</v>
      </c>
      <c r="D26" s="478">
        <v>3</v>
      </c>
      <c r="E26" s="478">
        <v>3</v>
      </c>
      <c r="F26" s="478">
        <v>3</v>
      </c>
      <c r="G26" s="478">
        <v>2</v>
      </c>
      <c r="H26" s="478">
        <v>1</v>
      </c>
      <c r="I26" s="478"/>
      <c r="J26" s="479">
        <f>SUM(C26:H26)</f>
        <v>14</v>
      </c>
      <c r="K26" s="480">
        <f>'CORTE 4200'!$O$214</f>
        <v>14</v>
      </c>
      <c r="L26" s="480"/>
      <c r="M26" s="481"/>
      <c r="N26" s="500"/>
      <c r="O26">
        <v>1421200</v>
      </c>
      <c r="P26" t="s">
        <v>263</v>
      </c>
      <c r="Q26" t="s">
        <v>264</v>
      </c>
      <c r="R26"/>
      <c r="S26">
        <v>2</v>
      </c>
      <c r="T26">
        <v>3</v>
      </c>
      <c r="U26">
        <v>3</v>
      </c>
      <c r="V26">
        <v>3</v>
      </c>
      <c r="W26">
        <v>2</v>
      </c>
      <c r="X26">
        <v>1</v>
      </c>
      <c r="Y26">
        <v>0</v>
      </c>
      <c r="Z26">
        <f t="shared" si="5"/>
        <v>14</v>
      </c>
      <c r="AA26" s="500"/>
      <c r="AB26" s="74">
        <v>1421200</v>
      </c>
      <c r="AC26" s="74" t="s">
        <v>263</v>
      </c>
      <c r="AD26" s="74" t="s">
        <v>264</v>
      </c>
      <c r="AE26"/>
      <c r="AF26" s="74">
        <v>2</v>
      </c>
      <c r="AG26" s="74">
        <v>3</v>
      </c>
      <c r="AH26" s="74">
        <v>3</v>
      </c>
      <c r="AI26" s="74">
        <v>3</v>
      </c>
      <c r="AJ26" s="74">
        <v>2</v>
      </c>
      <c r="AK26" s="74">
        <v>1</v>
      </c>
      <c r="AL26" s="74">
        <v>0</v>
      </c>
      <c r="AM26" s="74">
        <f t="shared" si="1"/>
        <v>14</v>
      </c>
      <c r="AO26" s="74">
        <v>1421200</v>
      </c>
      <c r="AP26" s="74" t="s">
        <v>263</v>
      </c>
      <c r="AQ26" s="74" t="s">
        <v>264</v>
      </c>
      <c r="AR26" s="74"/>
      <c r="AS26" s="74">
        <v>2</v>
      </c>
      <c r="AT26" s="74">
        <v>3</v>
      </c>
      <c r="AU26" s="74">
        <v>3</v>
      </c>
      <c r="AV26" s="74">
        <v>3</v>
      </c>
      <c r="AW26" s="74">
        <v>2</v>
      </c>
      <c r="AX26" s="74">
        <v>1</v>
      </c>
      <c r="AY26" s="74">
        <v>0</v>
      </c>
      <c r="AZ26" s="74">
        <f t="shared" si="6"/>
        <v>14</v>
      </c>
      <c r="BB26" s="74">
        <v>1421200</v>
      </c>
      <c r="BC26" s="74" t="s">
        <v>263</v>
      </c>
      <c r="BD26" s="74" t="s">
        <v>264</v>
      </c>
      <c r="BE26" s="74"/>
      <c r="BF26" s="74">
        <v>2</v>
      </c>
      <c r="BG26" s="74">
        <v>3</v>
      </c>
      <c r="BH26" s="74">
        <v>3</v>
      </c>
      <c r="BI26" s="74">
        <v>3</v>
      </c>
      <c r="BJ26" s="74">
        <v>2</v>
      </c>
      <c r="BK26" s="74">
        <v>1</v>
      </c>
      <c r="BL26" s="74">
        <v>0</v>
      </c>
      <c r="BM26" s="74">
        <f t="shared" si="8"/>
        <v>14</v>
      </c>
      <c r="BO26" s="74">
        <v>1421200</v>
      </c>
      <c r="BP26" s="74" t="s">
        <v>263</v>
      </c>
      <c r="BQ26" s="74" t="s">
        <v>264</v>
      </c>
      <c r="BR26" s="74"/>
      <c r="BS26" s="74">
        <v>2</v>
      </c>
      <c r="BT26" s="74">
        <v>3</v>
      </c>
      <c r="BU26" s="74">
        <v>3</v>
      </c>
      <c r="BV26" s="74">
        <v>3</v>
      </c>
      <c r="BW26" s="74">
        <v>2</v>
      </c>
      <c r="BX26" s="74">
        <v>1</v>
      </c>
      <c r="BY26" s="74">
        <v>0</v>
      </c>
      <c r="BZ26" s="74">
        <f t="shared" si="7"/>
        <v>14</v>
      </c>
      <c r="CB26" s="74">
        <v>1421200</v>
      </c>
      <c r="CC26" s="74" t="s">
        <v>263</v>
      </c>
      <c r="CD26" s="74" t="s">
        <v>264</v>
      </c>
      <c r="CE26" s="74"/>
      <c r="CF26" s="74">
        <v>2</v>
      </c>
      <c r="CG26" s="74">
        <v>3</v>
      </c>
      <c r="CH26" s="74">
        <v>3</v>
      </c>
      <c r="CI26" s="74">
        <v>3</v>
      </c>
      <c r="CJ26" s="74">
        <v>2</v>
      </c>
      <c r="CK26" s="74">
        <v>1</v>
      </c>
      <c r="CL26" s="74">
        <v>0</v>
      </c>
      <c r="CM26" s="74">
        <f t="shared" si="2"/>
        <v>14</v>
      </c>
      <c r="CO26" s="74">
        <v>1421200</v>
      </c>
      <c r="CP26" s="74" t="s">
        <v>263</v>
      </c>
      <c r="CQ26" s="74" t="s">
        <v>264</v>
      </c>
      <c r="CR26" s="74"/>
      <c r="CS26" s="74">
        <v>2</v>
      </c>
      <c r="CT26" s="74">
        <v>3</v>
      </c>
      <c r="CU26" s="74">
        <v>3</v>
      </c>
      <c r="CV26" s="74">
        <v>3</v>
      </c>
      <c r="CW26" s="74">
        <v>2</v>
      </c>
      <c r="CX26" s="74">
        <v>1</v>
      </c>
      <c r="CY26" s="74">
        <v>0</v>
      </c>
      <c r="CZ26" s="74">
        <v>14</v>
      </c>
      <c r="DB26" s="74">
        <v>1421200</v>
      </c>
      <c r="DC26" s="74" t="s">
        <v>263</v>
      </c>
      <c r="DD26" s="74" t="s">
        <v>264</v>
      </c>
      <c r="DE26" s="74"/>
      <c r="DF26" s="74">
        <v>2</v>
      </c>
      <c r="DG26" s="74">
        <v>3</v>
      </c>
      <c r="DH26" s="74">
        <v>3</v>
      </c>
      <c r="DI26" s="74">
        <v>3</v>
      </c>
      <c r="DJ26" s="74">
        <v>2</v>
      </c>
      <c r="DK26" s="74">
        <v>1</v>
      </c>
      <c r="DL26" s="74">
        <v>0</v>
      </c>
      <c r="DM26" s="74">
        <v>14</v>
      </c>
      <c r="DO26" s="74">
        <v>1421200</v>
      </c>
      <c r="DP26" s="74" t="s">
        <v>263</v>
      </c>
      <c r="DQ26" s="74" t="s">
        <v>264</v>
      </c>
      <c r="DR26" s="74"/>
      <c r="DS26" s="74">
        <v>2</v>
      </c>
      <c r="DT26" s="74">
        <v>3</v>
      </c>
      <c r="DU26" s="74">
        <v>3</v>
      </c>
      <c r="DV26" s="74">
        <v>3</v>
      </c>
      <c r="DW26" s="74">
        <v>2</v>
      </c>
      <c r="DX26" s="74">
        <v>1</v>
      </c>
      <c r="DY26" s="74">
        <v>0</v>
      </c>
      <c r="DZ26" s="74">
        <v>14</v>
      </c>
      <c r="EA26" s="74"/>
      <c r="EB26" s="74">
        <v>1421200</v>
      </c>
      <c r="EC26" s="74" t="s">
        <v>263</v>
      </c>
      <c r="ED26" s="74" t="s">
        <v>264</v>
      </c>
      <c r="EE26" s="74"/>
      <c r="EF26" s="74">
        <v>2</v>
      </c>
      <c r="EG26" s="74">
        <v>3</v>
      </c>
      <c r="EH26" s="74">
        <v>3</v>
      </c>
      <c r="EI26" s="74">
        <v>3</v>
      </c>
      <c r="EJ26" s="74">
        <v>2</v>
      </c>
      <c r="EK26" s="74">
        <v>1</v>
      </c>
      <c r="EL26" s="74">
        <v>0</v>
      </c>
      <c r="EM26" s="74">
        <v>14</v>
      </c>
      <c r="EO26" s="74">
        <v>1421300</v>
      </c>
      <c r="EP26" s="74" t="s">
        <v>268</v>
      </c>
      <c r="EQ26" s="74" t="s">
        <v>264</v>
      </c>
      <c r="ER26" s="74"/>
      <c r="ES26" s="74">
        <v>15</v>
      </c>
      <c r="ET26" s="74">
        <v>45</v>
      </c>
      <c r="EU26" s="74">
        <v>51</v>
      </c>
      <c r="EV26" s="74">
        <v>50</v>
      </c>
      <c r="EW26" s="74">
        <v>36</v>
      </c>
      <c r="EX26" s="74">
        <v>32</v>
      </c>
      <c r="EY26" s="74">
        <v>0</v>
      </c>
      <c r="EZ26" s="74">
        <v>229</v>
      </c>
      <c r="FB26" s="74"/>
      <c r="FC26" s="74"/>
      <c r="FD26" s="74"/>
      <c r="FE26" s="74"/>
      <c r="FF26" s="74"/>
      <c r="FG26" s="74"/>
      <c r="FH26" s="74"/>
      <c r="FI26" s="74"/>
      <c r="FJ26" s="74"/>
      <c r="FK26" s="74"/>
      <c r="FL26" s="74"/>
      <c r="FM26" s="74"/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4"/>
      <c r="FZ26" s="74"/>
      <c r="GB26" s="74"/>
      <c r="GC26" s="74"/>
      <c r="GD26" s="74"/>
      <c r="GE26" s="74"/>
      <c r="GF26" s="74"/>
      <c r="GG26" s="74"/>
      <c r="GH26" s="74"/>
      <c r="GI26" s="74"/>
      <c r="GJ26" s="74"/>
      <c r="GK26" s="74"/>
      <c r="GL26" s="74"/>
      <c r="GM26" s="74"/>
      <c r="GO26" s="438" t="s">
        <v>69</v>
      </c>
      <c r="GP26" s="74"/>
      <c r="GQ26" s="74"/>
      <c r="GR26" s="74"/>
      <c r="GS26" s="74"/>
      <c r="GT26" s="74"/>
      <c r="GU26" s="74"/>
      <c r="GV26" s="74"/>
      <c r="GW26" s="74"/>
      <c r="GX26" s="74"/>
      <c r="GY26" s="74"/>
      <c r="GZ26" s="74"/>
    </row>
    <row r="27" spans="1:208">
      <c r="A27" s="487">
        <v>1421300</v>
      </c>
      <c r="B27" s="478" t="s">
        <v>36</v>
      </c>
      <c r="C27" s="478">
        <v>15</v>
      </c>
      <c r="D27" s="478">
        <v>45</v>
      </c>
      <c r="E27" s="478">
        <v>51</v>
      </c>
      <c r="F27" s="478">
        <v>50</v>
      </c>
      <c r="G27" s="478">
        <v>36</v>
      </c>
      <c r="H27" s="478">
        <v>32</v>
      </c>
      <c r="I27" s="478"/>
      <c r="J27" s="479">
        <f t="shared" si="9"/>
        <v>229</v>
      </c>
      <c r="K27" s="480">
        <f>'CORTE 4200'!$O$223</f>
        <v>29</v>
      </c>
      <c r="L27" s="480"/>
      <c r="M27" s="481"/>
      <c r="N27" s="500"/>
      <c r="O27">
        <v>1421300</v>
      </c>
      <c r="P27" t="s">
        <v>268</v>
      </c>
      <c r="Q27" t="s">
        <v>264</v>
      </c>
      <c r="R27"/>
      <c r="S27">
        <v>15</v>
      </c>
      <c r="T27">
        <v>45</v>
      </c>
      <c r="U27">
        <v>51</v>
      </c>
      <c r="V27">
        <v>50</v>
      </c>
      <c r="W27">
        <v>36</v>
      </c>
      <c r="X27">
        <v>32</v>
      </c>
      <c r="Y27">
        <v>0</v>
      </c>
      <c r="Z27">
        <f t="shared" si="5"/>
        <v>229</v>
      </c>
      <c r="AA27" s="500"/>
      <c r="AB27" s="74">
        <v>1421300</v>
      </c>
      <c r="AC27" s="74" t="s">
        <v>268</v>
      </c>
      <c r="AD27" s="74" t="s">
        <v>264</v>
      </c>
      <c r="AE27"/>
      <c r="AF27" s="74">
        <v>15</v>
      </c>
      <c r="AG27" s="74">
        <v>45</v>
      </c>
      <c r="AH27" s="74">
        <v>51</v>
      </c>
      <c r="AI27" s="74">
        <v>50</v>
      </c>
      <c r="AJ27" s="74">
        <v>36</v>
      </c>
      <c r="AK27" s="74">
        <v>32</v>
      </c>
      <c r="AL27" s="74">
        <v>0</v>
      </c>
      <c r="AM27" s="74">
        <f t="shared" si="1"/>
        <v>229</v>
      </c>
      <c r="AO27" s="74">
        <v>1421300</v>
      </c>
      <c r="AP27" s="74" t="s">
        <v>268</v>
      </c>
      <c r="AQ27" s="74" t="s">
        <v>264</v>
      </c>
      <c r="AR27" s="74"/>
      <c r="AS27" s="74">
        <v>15</v>
      </c>
      <c r="AT27" s="74">
        <v>45</v>
      </c>
      <c r="AU27" s="74">
        <v>51</v>
      </c>
      <c r="AV27" s="74">
        <v>50</v>
      </c>
      <c r="AW27" s="74">
        <v>36</v>
      </c>
      <c r="AX27" s="74">
        <v>32</v>
      </c>
      <c r="AY27" s="74">
        <v>0</v>
      </c>
      <c r="AZ27" s="74">
        <f t="shared" si="6"/>
        <v>229</v>
      </c>
      <c r="BB27" s="74">
        <v>1421300</v>
      </c>
      <c r="BC27" s="74" t="s">
        <v>268</v>
      </c>
      <c r="BD27" s="74" t="s">
        <v>264</v>
      </c>
      <c r="BE27" s="74"/>
      <c r="BF27" s="74">
        <v>15</v>
      </c>
      <c r="BG27" s="74">
        <v>45</v>
      </c>
      <c r="BH27" s="74">
        <v>51</v>
      </c>
      <c r="BI27" s="74">
        <v>50</v>
      </c>
      <c r="BJ27" s="74">
        <v>36</v>
      </c>
      <c r="BK27" s="74">
        <v>32</v>
      </c>
      <c r="BL27" s="74">
        <v>0</v>
      </c>
      <c r="BM27" s="74">
        <f t="shared" si="8"/>
        <v>229</v>
      </c>
      <c r="BO27" s="74">
        <v>1421300</v>
      </c>
      <c r="BP27" s="74" t="s">
        <v>268</v>
      </c>
      <c r="BQ27" s="74" t="s">
        <v>264</v>
      </c>
      <c r="BR27" s="74"/>
      <c r="BS27" s="74">
        <v>15</v>
      </c>
      <c r="BT27" s="74">
        <v>45</v>
      </c>
      <c r="BU27" s="74">
        <v>51</v>
      </c>
      <c r="BV27" s="74">
        <v>50</v>
      </c>
      <c r="BW27" s="74">
        <v>36</v>
      </c>
      <c r="BX27" s="74">
        <v>32</v>
      </c>
      <c r="BY27" s="74">
        <v>0</v>
      </c>
      <c r="BZ27" s="74">
        <f t="shared" si="7"/>
        <v>229</v>
      </c>
      <c r="CB27" s="74">
        <v>1421300</v>
      </c>
      <c r="CC27" s="74" t="s">
        <v>268</v>
      </c>
      <c r="CD27" s="74" t="s">
        <v>264</v>
      </c>
      <c r="CE27" s="74"/>
      <c r="CF27" s="74">
        <v>15</v>
      </c>
      <c r="CG27" s="74">
        <v>45</v>
      </c>
      <c r="CH27" s="74">
        <v>51</v>
      </c>
      <c r="CI27" s="74">
        <v>50</v>
      </c>
      <c r="CJ27" s="74">
        <v>36</v>
      </c>
      <c r="CK27" s="74">
        <v>32</v>
      </c>
      <c r="CL27" s="74">
        <v>0</v>
      </c>
      <c r="CM27" s="74">
        <f t="shared" si="2"/>
        <v>229</v>
      </c>
      <c r="CO27" s="74">
        <v>1421300</v>
      </c>
      <c r="CP27" s="74" t="s">
        <v>268</v>
      </c>
      <c r="CQ27" s="74" t="s">
        <v>264</v>
      </c>
      <c r="CR27" s="74"/>
      <c r="CS27" s="74">
        <v>15</v>
      </c>
      <c r="CT27" s="74">
        <v>45</v>
      </c>
      <c r="CU27" s="74">
        <v>51</v>
      </c>
      <c r="CV27" s="74">
        <v>50</v>
      </c>
      <c r="CW27" s="74">
        <v>36</v>
      </c>
      <c r="CX27" s="74">
        <v>32</v>
      </c>
      <c r="CY27" s="74">
        <v>0</v>
      </c>
      <c r="CZ27" s="74">
        <v>229</v>
      </c>
      <c r="DB27" s="74">
        <v>1421300</v>
      </c>
      <c r="DC27" s="74" t="s">
        <v>268</v>
      </c>
      <c r="DD27" s="74" t="s">
        <v>264</v>
      </c>
      <c r="DE27" s="74"/>
      <c r="DF27" s="74">
        <v>15</v>
      </c>
      <c r="DG27" s="74">
        <v>45</v>
      </c>
      <c r="DH27" s="74">
        <v>51</v>
      </c>
      <c r="DI27" s="74">
        <v>50</v>
      </c>
      <c r="DJ27" s="74">
        <v>36</v>
      </c>
      <c r="DK27" s="74">
        <v>32</v>
      </c>
      <c r="DL27" s="74">
        <v>0</v>
      </c>
      <c r="DM27" s="74">
        <v>229</v>
      </c>
      <c r="DO27" s="74">
        <v>1421300</v>
      </c>
      <c r="DP27" s="74" t="s">
        <v>268</v>
      </c>
      <c r="DQ27" s="74" t="s">
        <v>264</v>
      </c>
      <c r="DR27" s="74"/>
      <c r="DS27" s="74">
        <v>15</v>
      </c>
      <c r="DT27" s="74">
        <v>45</v>
      </c>
      <c r="DU27" s="74">
        <v>51</v>
      </c>
      <c r="DV27" s="74">
        <v>50</v>
      </c>
      <c r="DW27" s="74">
        <v>36</v>
      </c>
      <c r="DX27" s="74">
        <v>32</v>
      </c>
      <c r="DY27" s="74">
        <v>0</v>
      </c>
      <c r="DZ27" s="74">
        <v>229</v>
      </c>
      <c r="EA27" s="74"/>
      <c r="EB27" s="74">
        <v>1421300</v>
      </c>
      <c r="EC27" s="74" t="s">
        <v>268</v>
      </c>
      <c r="ED27" s="74" t="s">
        <v>264</v>
      </c>
      <c r="EE27" s="74"/>
      <c r="EF27" s="74">
        <v>15</v>
      </c>
      <c r="EG27" s="74">
        <v>45</v>
      </c>
      <c r="EH27" s="74">
        <v>51</v>
      </c>
      <c r="EI27" s="74">
        <v>50</v>
      </c>
      <c r="EJ27" s="74">
        <v>36</v>
      </c>
      <c r="EK27" s="74">
        <v>32</v>
      </c>
      <c r="EL27" s="74">
        <v>0</v>
      </c>
      <c r="EM27" s="74">
        <v>229</v>
      </c>
      <c r="EO27" s="74">
        <v>1421301</v>
      </c>
      <c r="EP27" s="74" t="s">
        <v>268</v>
      </c>
      <c r="EQ27" s="74" t="s">
        <v>264</v>
      </c>
      <c r="ER27" s="74"/>
      <c r="ES27" s="74">
        <v>20</v>
      </c>
      <c r="ET27" s="74">
        <v>36</v>
      </c>
      <c r="EU27" s="74">
        <v>39</v>
      </c>
      <c r="EV27" s="74">
        <v>39</v>
      </c>
      <c r="EW27" s="74">
        <v>28</v>
      </c>
      <c r="EX27" s="74">
        <v>24</v>
      </c>
      <c r="EY27" s="74">
        <v>0</v>
      </c>
      <c r="EZ27" s="74">
        <v>186</v>
      </c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4"/>
      <c r="GM27" s="74"/>
      <c r="GO27" s="438" t="s">
        <v>73</v>
      </c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</row>
    <row r="28" spans="1:208">
      <c r="A28" s="487">
        <v>1421301</v>
      </c>
      <c r="B28" s="478" t="s">
        <v>36</v>
      </c>
      <c r="C28" s="478">
        <v>31</v>
      </c>
      <c r="D28" s="478">
        <v>57</v>
      </c>
      <c r="E28" s="478">
        <v>64</v>
      </c>
      <c r="F28" s="478">
        <v>59</v>
      </c>
      <c r="G28" s="478">
        <v>40</v>
      </c>
      <c r="H28" s="478">
        <v>31</v>
      </c>
      <c r="I28" s="478"/>
      <c r="J28" s="479">
        <f t="shared" si="9"/>
        <v>282</v>
      </c>
      <c r="K28" s="480">
        <f>'CORTE 4200'!$O$232</f>
        <v>-18</v>
      </c>
      <c r="L28" s="480"/>
      <c r="M28" s="481"/>
      <c r="N28" s="500"/>
      <c r="O28">
        <v>1421301</v>
      </c>
      <c r="P28" t="s">
        <v>268</v>
      </c>
      <c r="Q28" t="s">
        <v>264</v>
      </c>
      <c r="R28"/>
      <c r="S28">
        <v>31</v>
      </c>
      <c r="T28">
        <v>57</v>
      </c>
      <c r="U28">
        <v>64</v>
      </c>
      <c r="V28">
        <v>59</v>
      </c>
      <c r="W28">
        <v>40</v>
      </c>
      <c r="X28">
        <v>31</v>
      </c>
      <c r="Y28">
        <v>0</v>
      </c>
      <c r="Z28">
        <f t="shared" si="5"/>
        <v>282</v>
      </c>
      <c r="AA28" s="500"/>
      <c r="AB28" s="74">
        <v>1421301</v>
      </c>
      <c r="AC28" s="74" t="s">
        <v>268</v>
      </c>
      <c r="AD28" s="74" t="s">
        <v>264</v>
      </c>
      <c r="AE28"/>
      <c r="AF28" s="74">
        <v>31</v>
      </c>
      <c r="AG28" s="74">
        <v>57</v>
      </c>
      <c r="AH28" s="74">
        <v>64</v>
      </c>
      <c r="AI28" s="74">
        <v>59</v>
      </c>
      <c r="AJ28" s="74">
        <v>40</v>
      </c>
      <c r="AK28" s="74">
        <v>31</v>
      </c>
      <c r="AL28" s="74">
        <v>0</v>
      </c>
      <c r="AM28" s="74">
        <f t="shared" si="1"/>
        <v>282</v>
      </c>
      <c r="AO28" s="74">
        <v>1421301</v>
      </c>
      <c r="AP28" s="74" t="s">
        <v>268</v>
      </c>
      <c r="AQ28" s="74" t="s">
        <v>264</v>
      </c>
      <c r="AR28" s="74"/>
      <c r="AS28" s="74">
        <v>31</v>
      </c>
      <c r="AT28" s="74">
        <v>57</v>
      </c>
      <c r="AU28" s="74">
        <v>64</v>
      </c>
      <c r="AV28" s="74">
        <v>59</v>
      </c>
      <c r="AW28" s="74">
        <v>40</v>
      </c>
      <c r="AX28" s="74">
        <v>31</v>
      </c>
      <c r="AY28" s="74">
        <v>0</v>
      </c>
      <c r="AZ28" s="74">
        <f t="shared" si="6"/>
        <v>282</v>
      </c>
      <c r="BB28" s="74">
        <v>1421301</v>
      </c>
      <c r="BC28" s="74" t="s">
        <v>268</v>
      </c>
      <c r="BD28" s="74" t="s">
        <v>264</v>
      </c>
      <c r="BE28" s="74"/>
      <c r="BF28" s="74">
        <v>30</v>
      </c>
      <c r="BG28" s="74">
        <v>54</v>
      </c>
      <c r="BH28" s="74">
        <v>61</v>
      </c>
      <c r="BI28" s="74">
        <v>57</v>
      </c>
      <c r="BJ28" s="74">
        <v>39</v>
      </c>
      <c r="BK28" s="74">
        <v>31</v>
      </c>
      <c r="BL28" s="74">
        <v>0</v>
      </c>
      <c r="BM28" s="74">
        <f t="shared" si="8"/>
        <v>272</v>
      </c>
      <c r="BO28" s="74">
        <v>1421301</v>
      </c>
      <c r="BP28" s="74" t="s">
        <v>268</v>
      </c>
      <c r="BQ28" s="74" t="s">
        <v>264</v>
      </c>
      <c r="BR28" s="74"/>
      <c r="BS28" s="74">
        <v>30</v>
      </c>
      <c r="BT28" s="74">
        <v>54</v>
      </c>
      <c r="BU28" s="74">
        <v>61</v>
      </c>
      <c r="BV28" s="74">
        <v>57</v>
      </c>
      <c r="BW28" s="74">
        <v>39</v>
      </c>
      <c r="BX28" s="74">
        <v>31</v>
      </c>
      <c r="BY28" s="74">
        <v>0</v>
      </c>
      <c r="BZ28" s="74">
        <f t="shared" si="7"/>
        <v>272</v>
      </c>
      <c r="CB28" s="74">
        <v>1421301</v>
      </c>
      <c r="CC28" s="74" t="s">
        <v>268</v>
      </c>
      <c r="CD28" s="74" t="s">
        <v>264</v>
      </c>
      <c r="CE28" s="74"/>
      <c r="CF28" s="74">
        <v>30</v>
      </c>
      <c r="CG28" s="74">
        <v>54</v>
      </c>
      <c r="CH28" s="74">
        <v>61</v>
      </c>
      <c r="CI28" s="74">
        <v>57</v>
      </c>
      <c r="CJ28" s="74">
        <v>39</v>
      </c>
      <c r="CK28" s="74">
        <v>31</v>
      </c>
      <c r="CL28" s="74">
        <v>0</v>
      </c>
      <c r="CM28" s="74">
        <f t="shared" si="2"/>
        <v>272</v>
      </c>
      <c r="CO28" s="74">
        <v>1421301</v>
      </c>
      <c r="CP28" s="74" t="s">
        <v>268</v>
      </c>
      <c r="CQ28" s="74" t="s">
        <v>264</v>
      </c>
      <c r="CR28" s="74"/>
      <c r="CS28" s="74">
        <v>26</v>
      </c>
      <c r="CT28" s="74">
        <v>48</v>
      </c>
      <c r="CU28" s="74">
        <v>55</v>
      </c>
      <c r="CV28" s="74">
        <v>52</v>
      </c>
      <c r="CW28" s="74">
        <v>36</v>
      </c>
      <c r="CX28" s="74">
        <v>30</v>
      </c>
      <c r="CY28" s="74">
        <v>0</v>
      </c>
      <c r="CZ28" s="74">
        <v>247</v>
      </c>
      <c r="DB28" s="74">
        <v>1421301</v>
      </c>
      <c r="DC28" s="74" t="s">
        <v>268</v>
      </c>
      <c r="DD28" s="74" t="s">
        <v>264</v>
      </c>
      <c r="DE28" s="74"/>
      <c r="DF28" s="74">
        <v>26</v>
      </c>
      <c r="DG28" s="74">
        <v>48</v>
      </c>
      <c r="DH28" s="74">
        <v>55</v>
      </c>
      <c r="DI28" s="74">
        <v>52</v>
      </c>
      <c r="DJ28" s="74">
        <v>36</v>
      </c>
      <c r="DK28" s="74">
        <v>30</v>
      </c>
      <c r="DL28" s="74">
        <v>0</v>
      </c>
      <c r="DM28" s="74">
        <v>247</v>
      </c>
      <c r="DO28" s="74">
        <v>1421301</v>
      </c>
      <c r="DP28" s="74" t="s">
        <v>268</v>
      </c>
      <c r="DQ28" s="74" t="s">
        <v>264</v>
      </c>
      <c r="DR28" s="74"/>
      <c r="DS28" s="74">
        <v>26</v>
      </c>
      <c r="DT28" s="74">
        <v>47</v>
      </c>
      <c r="DU28" s="74">
        <v>51</v>
      </c>
      <c r="DV28" s="74">
        <v>48</v>
      </c>
      <c r="DW28" s="74">
        <v>34</v>
      </c>
      <c r="DX28" s="74">
        <v>29</v>
      </c>
      <c r="DY28" s="74">
        <v>0</v>
      </c>
      <c r="DZ28" s="74">
        <v>235</v>
      </c>
      <c r="EA28" s="74"/>
      <c r="EB28" s="74">
        <v>1421301</v>
      </c>
      <c r="EC28" s="74" t="s">
        <v>268</v>
      </c>
      <c r="ED28" s="74" t="s">
        <v>264</v>
      </c>
      <c r="EE28" s="74"/>
      <c r="EF28" s="74">
        <v>22</v>
      </c>
      <c r="EG28" s="74">
        <v>40</v>
      </c>
      <c r="EH28" s="74">
        <v>43</v>
      </c>
      <c r="EI28" s="74">
        <v>43</v>
      </c>
      <c r="EJ28" s="74">
        <v>31</v>
      </c>
      <c r="EK28" s="74">
        <v>27</v>
      </c>
      <c r="EL28" s="74">
        <v>0</v>
      </c>
      <c r="EM28" s="74">
        <v>206</v>
      </c>
      <c r="EO28" s="74">
        <v>1421302</v>
      </c>
      <c r="EP28" s="74" t="s">
        <v>268</v>
      </c>
      <c r="EQ28" s="74" t="s">
        <v>264</v>
      </c>
      <c r="ER28" s="74"/>
      <c r="ES28" s="74">
        <v>2</v>
      </c>
      <c r="ET28" s="74">
        <v>3</v>
      </c>
      <c r="EU28" s="74">
        <v>3</v>
      </c>
      <c r="EV28" s="74">
        <v>3</v>
      </c>
      <c r="EW28" s="74">
        <v>2</v>
      </c>
      <c r="EX28" s="74">
        <v>2</v>
      </c>
      <c r="EY28" s="74">
        <v>0</v>
      </c>
      <c r="EZ28" s="74">
        <v>15</v>
      </c>
      <c r="FB28" s="74">
        <v>1421400</v>
      </c>
      <c r="FC28" s="74" t="s">
        <v>268</v>
      </c>
      <c r="FD28" s="74" t="s">
        <v>264</v>
      </c>
      <c r="FE28" s="74"/>
      <c r="FF28" s="74">
        <v>30</v>
      </c>
      <c r="FG28" s="74">
        <v>79</v>
      </c>
      <c r="FH28" s="74">
        <v>84</v>
      </c>
      <c r="FI28" s="74">
        <v>83</v>
      </c>
      <c r="FJ28" s="74">
        <v>57</v>
      </c>
      <c r="FK28" s="74">
        <v>52</v>
      </c>
      <c r="FL28" s="74">
        <v>0</v>
      </c>
      <c r="FM28" s="74">
        <v>385</v>
      </c>
      <c r="FO28" s="74">
        <v>1421400</v>
      </c>
      <c r="FP28" s="74" t="s">
        <v>268</v>
      </c>
      <c r="FQ28" s="74" t="s">
        <v>264</v>
      </c>
      <c r="FR28" s="74"/>
      <c r="FS28" s="74">
        <v>28</v>
      </c>
      <c r="FT28" s="74">
        <v>73</v>
      </c>
      <c r="FU28" s="74">
        <v>78</v>
      </c>
      <c r="FV28" s="74">
        <v>77</v>
      </c>
      <c r="FW28" s="74">
        <v>53</v>
      </c>
      <c r="FX28" s="74">
        <v>48</v>
      </c>
      <c r="FY28" s="74">
        <v>0</v>
      </c>
      <c r="FZ28" s="74">
        <v>357</v>
      </c>
      <c r="GB28" s="74">
        <v>1421400</v>
      </c>
      <c r="GC28" s="74" t="s">
        <v>268</v>
      </c>
      <c r="GD28" s="74" t="s">
        <v>264</v>
      </c>
      <c r="GE28" s="74"/>
      <c r="GF28" s="74">
        <v>10</v>
      </c>
      <c r="GG28" s="74">
        <v>19</v>
      </c>
      <c r="GH28" s="74">
        <v>24</v>
      </c>
      <c r="GI28" s="74">
        <v>23</v>
      </c>
      <c r="GJ28" s="74">
        <v>17</v>
      </c>
      <c r="GK28" s="74">
        <v>12</v>
      </c>
      <c r="GL28" s="74">
        <v>0</v>
      </c>
      <c r="GM28" s="74">
        <v>105</v>
      </c>
      <c r="GO28" s="439">
        <v>1421400</v>
      </c>
      <c r="GP28" s="74" t="s">
        <v>268</v>
      </c>
      <c r="GQ28" s="74" t="s">
        <v>264</v>
      </c>
      <c r="GR28" s="74"/>
      <c r="GS28" s="74">
        <v>8</v>
      </c>
      <c r="GT28" s="74">
        <v>17</v>
      </c>
      <c r="GU28" s="74">
        <v>21</v>
      </c>
      <c r="GV28" s="74">
        <v>20</v>
      </c>
      <c r="GW28" s="74">
        <v>15</v>
      </c>
      <c r="GX28" s="74">
        <v>10</v>
      </c>
      <c r="GY28" s="74">
        <v>0</v>
      </c>
      <c r="GZ28" s="74">
        <f t="shared" ref="GZ28:GZ60" si="10">SUM(GS28:GY28)</f>
        <v>91</v>
      </c>
    </row>
    <row r="29" spans="1:208">
      <c r="A29" s="487">
        <v>1421302</v>
      </c>
      <c r="B29" s="478" t="s">
        <v>36</v>
      </c>
      <c r="C29" s="478">
        <v>2</v>
      </c>
      <c r="D29" s="478">
        <v>3</v>
      </c>
      <c r="E29" s="478">
        <v>3</v>
      </c>
      <c r="F29" s="478">
        <v>3</v>
      </c>
      <c r="G29" s="478">
        <v>2</v>
      </c>
      <c r="H29" s="478">
        <v>2</v>
      </c>
      <c r="I29" s="478"/>
      <c r="J29" s="479">
        <f>SUM(C29:H29)</f>
        <v>15</v>
      </c>
      <c r="K29" s="480">
        <f>'CORTE 4200'!$O$241</f>
        <v>15</v>
      </c>
      <c r="L29" s="480"/>
      <c r="M29" s="481"/>
      <c r="N29" s="500"/>
      <c r="O29">
        <v>1421302</v>
      </c>
      <c r="P29" t="s">
        <v>268</v>
      </c>
      <c r="Q29" t="s">
        <v>264</v>
      </c>
      <c r="R29"/>
      <c r="S29">
        <v>2</v>
      </c>
      <c r="T29">
        <v>3</v>
      </c>
      <c r="U29">
        <v>3</v>
      </c>
      <c r="V29">
        <v>3</v>
      </c>
      <c r="W29">
        <v>2</v>
      </c>
      <c r="X29">
        <v>2</v>
      </c>
      <c r="Y29">
        <v>0</v>
      </c>
      <c r="Z29">
        <f t="shared" si="5"/>
        <v>15</v>
      </c>
      <c r="AA29" s="500"/>
      <c r="AB29" s="74">
        <v>1421302</v>
      </c>
      <c r="AC29" s="74" t="s">
        <v>268</v>
      </c>
      <c r="AD29" s="74" t="s">
        <v>264</v>
      </c>
      <c r="AE29"/>
      <c r="AF29" s="74">
        <v>2</v>
      </c>
      <c r="AG29" s="74">
        <v>3</v>
      </c>
      <c r="AH29" s="74">
        <v>3</v>
      </c>
      <c r="AI29" s="74">
        <v>3</v>
      </c>
      <c r="AJ29" s="74">
        <v>2</v>
      </c>
      <c r="AK29" s="74">
        <v>2</v>
      </c>
      <c r="AL29" s="74">
        <v>0</v>
      </c>
      <c r="AM29" s="74">
        <f t="shared" si="1"/>
        <v>15</v>
      </c>
      <c r="AO29" s="74">
        <v>1421302</v>
      </c>
      <c r="AP29" s="74" t="s">
        <v>268</v>
      </c>
      <c r="AQ29" s="74" t="s">
        <v>264</v>
      </c>
      <c r="AR29" s="74"/>
      <c r="AS29" s="74">
        <v>2</v>
      </c>
      <c r="AT29" s="74">
        <v>3</v>
      </c>
      <c r="AU29" s="74">
        <v>3</v>
      </c>
      <c r="AV29" s="74">
        <v>3</v>
      </c>
      <c r="AW29" s="74">
        <v>2</v>
      </c>
      <c r="AX29" s="74">
        <v>2</v>
      </c>
      <c r="AY29" s="74">
        <v>0</v>
      </c>
      <c r="AZ29" s="74">
        <f t="shared" si="6"/>
        <v>15</v>
      </c>
      <c r="BB29" s="74">
        <v>1421302</v>
      </c>
      <c r="BC29" s="74" t="s">
        <v>268</v>
      </c>
      <c r="BD29" s="74" t="s">
        <v>264</v>
      </c>
      <c r="BE29" s="74"/>
      <c r="BF29" s="74">
        <v>2</v>
      </c>
      <c r="BG29" s="74">
        <v>3</v>
      </c>
      <c r="BH29" s="74">
        <v>3</v>
      </c>
      <c r="BI29" s="74">
        <v>3</v>
      </c>
      <c r="BJ29" s="74">
        <v>2</v>
      </c>
      <c r="BK29" s="74">
        <v>2</v>
      </c>
      <c r="BL29" s="74">
        <v>0</v>
      </c>
      <c r="BM29" s="74">
        <f t="shared" si="8"/>
        <v>15</v>
      </c>
      <c r="BO29" s="74">
        <v>1421302</v>
      </c>
      <c r="BP29" s="74" t="s">
        <v>268</v>
      </c>
      <c r="BQ29" s="74" t="s">
        <v>264</v>
      </c>
      <c r="BR29" s="74"/>
      <c r="BS29" s="74">
        <v>2</v>
      </c>
      <c r="BT29" s="74">
        <v>3</v>
      </c>
      <c r="BU29" s="74">
        <v>3</v>
      </c>
      <c r="BV29" s="74">
        <v>3</v>
      </c>
      <c r="BW29" s="74">
        <v>2</v>
      </c>
      <c r="BX29" s="74">
        <v>2</v>
      </c>
      <c r="BY29" s="74">
        <v>0</v>
      </c>
      <c r="BZ29" s="74">
        <f t="shared" si="7"/>
        <v>15</v>
      </c>
      <c r="CB29" s="74">
        <v>1421302</v>
      </c>
      <c r="CC29" s="74" t="s">
        <v>268</v>
      </c>
      <c r="CD29" s="74" t="s">
        <v>264</v>
      </c>
      <c r="CE29" s="74"/>
      <c r="CF29" s="74">
        <v>2</v>
      </c>
      <c r="CG29" s="74">
        <v>3</v>
      </c>
      <c r="CH29" s="74">
        <v>3</v>
      </c>
      <c r="CI29" s="74">
        <v>3</v>
      </c>
      <c r="CJ29" s="74">
        <v>2</v>
      </c>
      <c r="CK29" s="74">
        <v>2</v>
      </c>
      <c r="CL29" s="74">
        <v>0</v>
      </c>
      <c r="CM29" s="74">
        <f t="shared" si="2"/>
        <v>15</v>
      </c>
      <c r="CO29" s="74">
        <v>1421302</v>
      </c>
      <c r="CP29" s="74" t="s">
        <v>268</v>
      </c>
      <c r="CQ29" s="74" t="s">
        <v>264</v>
      </c>
      <c r="CR29" s="74"/>
      <c r="CS29" s="74">
        <v>2</v>
      </c>
      <c r="CT29" s="74">
        <v>3</v>
      </c>
      <c r="CU29" s="74">
        <v>3</v>
      </c>
      <c r="CV29" s="74">
        <v>3</v>
      </c>
      <c r="CW29" s="74">
        <v>2</v>
      </c>
      <c r="CX29" s="74">
        <v>2</v>
      </c>
      <c r="CY29" s="74">
        <v>0</v>
      </c>
      <c r="CZ29" s="74">
        <v>15</v>
      </c>
      <c r="DB29" s="74">
        <v>1421302</v>
      </c>
      <c r="DC29" s="74" t="s">
        <v>268</v>
      </c>
      <c r="DD29" s="74" t="s">
        <v>264</v>
      </c>
      <c r="DE29" s="74"/>
      <c r="DF29" s="74">
        <v>2</v>
      </c>
      <c r="DG29" s="74">
        <v>3</v>
      </c>
      <c r="DH29" s="74">
        <v>3</v>
      </c>
      <c r="DI29" s="74">
        <v>3</v>
      </c>
      <c r="DJ29" s="74">
        <v>2</v>
      </c>
      <c r="DK29" s="74">
        <v>2</v>
      </c>
      <c r="DL29" s="74">
        <v>0</v>
      </c>
      <c r="DM29" s="74">
        <v>15</v>
      </c>
      <c r="DO29" s="74">
        <v>1421302</v>
      </c>
      <c r="DP29" s="74" t="s">
        <v>268</v>
      </c>
      <c r="DQ29" s="74" t="s">
        <v>264</v>
      </c>
      <c r="DR29" s="74"/>
      <c r="DS29" s="74">
        <v>2</v>
      </c>
      <c r="DT29" s="74">
        <v>3</v>
      </c>
      <c r="DU29" s="74">
        <v>3</v>
      </c>
      <c r="DV29" s="74">
        <v>3</v>
      </c>
      <c r="DW29" s="74">
        <v>2</v>
      </c>
      <c r="DX29" s="74">
        <v>2</v>
      </c>
      <c r="DY29" s="74">
        <v>0</v>
      </c>
      <c r="DZ29" s="74">
        <v>15</v>
      </c>
      <c r="EA29" s="74"/>
      <c r="EB29" s="74">
        <v>1421302</v>
      </c>
      <c r="EC29" s="74" t="s">
        <v>268</v>
      </c>
      <c r="ED29" s="74" t="s">
        <v>264</v>
      </c>
      <c r="EE29" s="74"/>
      <c r="EF29" s="74">
        <v>2</v>
      </c>
      <c r="EG29" s="74">
        <v>3</v>
      </c>
      <c r="EH29" s="74">
        <v>3</v>
      </c>
      <c r="EI29" s="74">
        <v>3</v>
      </c>
      <c r="EJ29" s="74">
        <v>2</v>
      </c>
      <c r="EK29" s="74">
        <v>2</v>
      </c>
      <c r="EL29" s="74">
        <v>0</v>
      </c>
      <c r="EM29" s="74">
        <v>15</v>
      </c>
      <c r="EO29" s="74">
        <v>1421400</v>
      </c>
      <c r="EP29" s="74" t="s">
        <v>268</v>
      </c>
      <c r="EQ29" s="74" t="s">
        <v>264</v>
      </c>
      <c r="ER29" s="74"/>
      <c r="ES29" s="74">
        <v>31</v>
      </c>
      <c r="ET29" s="74">
        <v>85</v>
      </c>
      <c r="EU29" s="74">
        <v>90</v>
      </c>
      <c r="EV29" s="74">
        <v>89</v>
      </c>
      <c r="EW29" s="74">
        <v>62</v>
      </c>
      <c r="EX29" s="74">
        <v>55</v>
      </c>
      <c r="EY29" s="74">
        <v>0</v>
      </c>
      <c r="EZ29" s="74">
        <v>412</v>
      </c>
      <c r="FB29" s="74">
        <v>1421401</v>
      </c>
      <c r="FC29" s="74" t="s">
        <v>268</v>
      </c>
      <c r="FD29" s="74" t="s">
        <v>264</v>
      </c>
      <c r="FE29" s="74"/>
      <c r="FF29" s="74">
        <v>8</v>
      </c>
      <c r="FG29" s="74">
        <v>17</v>
      </c>
      <c r="FH29" s="74">
        <v>22</v>
      </c>
      <c r="FI29" s="74">
        <v>21</v>
      </c>
      <c r="FJ29" s="74">
        <v>16</v>
      </c>
      <c r="FK29" s="74">
        <v>11</v>
      </c>
      <c r="FL29" s="74">
        <v>0</v>
      </c>
      <c r="FM29" s="74">
        <v>95</v>
      </c>
      <c r="FO29" s="74">
        <v>1421401</v>
      </c>
      <c r="FP29" s="74" t="s">
        <v>268</v>
      </c>
      <c r="FQ29" s="74" t="s">
        <v>264</v>
      </c>
      <c r="FR29" s="74"/>
      <c r="FS29" s="74">
        <v>8</v>
      </c>
      <c r="FT29" s="74">
        <v>17</v>
      </c>
      <c r="FU29" s="74">
        <v>22</v>
      </c>
      <c r="FV29" s="74">
        <v>21</v>
      </c>
      <c r="FW29" s="74">
        <v>16</v>
      </c>
      <c r="FX29" s="74">
        <v>11</v>
      </c>
      <c r="FY29" s="74">
        <v>0</v>
      </c>
      <c r="FZ29" s="74">
        <v>95</v>
      </c>
      <c r="GB29" s="74">
        <v>1421401</v>
      </c>
      <c r="GC29" s="74" t="s">
        <v>268</v>
      </c>
      <c r="GD29" s="74" t="s">
        <v>264</v>
      </c>
      <c r="GE29" s="74"/>
      <c r="GF29" s="74">
        <v>2</v>
      </c>
      <c r="GG29" s="74">
        <v>9</v>
      </c>
      <c r="GH29" s="74">
        <v>14</v>
      </c>
      <c r="GI29" s="74">
        <v>13</v>
      </c>
      <c r="GJ29" s="74">
        <v>11</v>
      </c>
      <c r="GK29" s="74">
        <v>8</v>
      </c>
      <c r="GL29" s="74">
        <v>0</v>
      </c>
      <c r="GM29" s="74">
        <v>57</v>
      </c>
      <c r="GO29" s="439">
        <v>1421401</v>
      </c>
      <c r="GP29" s="74" t="s">
        <v>268</v>
      </c>
      <c r="GQ29" s="74" t="s">
        <v>264</v>
      </c>
      <c r="GR29" s="74"/>
      <c r="GS29" s="74">
        <v>0</v>
      </c>
      <c r="GT29" s="74">
        <v>7</v>
      </c>
      <c r="GU29" s="74">
        <v>11</v>
      </c>
      <c r="GV29" s="74">
        <v>10</v>
      </c>
      <c r="GW29" s="74">
        <v>9</v>
      </c>
      <c r="GX29" s="74">
        <v>6</v>
      </c>
      <c r="GY29" s="74">
        <v>0</v>
      </c>
      <c r="GZ29" s="74">
        <f t="shared" si="10"/>
        <v>43</v>
      </c>
    </row>
    <row r="30" spans="1:208">
      <c r="A30" s="488">
        <v>1421400</v>
      </c>
      <c r="B30" s="478" t="s">
        <v>36</v>
      </c>
      <c r="C30" s="478">
        <v>58</v>
      </c>
      <c r="D30" s="478">
        <v>127</v>
      </c>
      <c r="E30" s="478">
        <v>133</v>
      </c>
      <c r="F30" s="478">
        <v>131</v>
      </c>
      <c r="G30" s="478">
        <v>84</v>
      </c>
      <c r="H30" s="478">
        <v>69</v>
      </c>
      <c r="I30" s="478"/>
      <c r="J30" s="479">
        <f t="shared" si="9"/>
        <v>602</v>
      </c>
      <c r="K30" s="480">
        <f>'CORTE 4200'!$O$250</f>
        <v>42</v>
      </c>
      <c r="L30" s="480">
        <v>50</v>
      </c>
      <c r="M30" s="481"/>
      <c r="N30" s="500"/>
      <c r="O30">
        <v>1421400</v>
      </c>
      <c r="P30" t="s">
        <v>268</v>
      </c>
      <c r="Q30" t="s">
        <v>264</v>
      </c>
      <c r="R30"/>
      <c r="S30">
        <v>58</v>
      </c>
      <c r="T30">
        <v>127</v>
      </c>
      <c r="U30">
        <v>133</v>
      </c>
      <c r="V30">
        <v>131</v>
      </c>
      <c r="W30">
        <v>84</v>
      </c>
      <c r="X30">
        <v>69</v>
      </c>
      <c r="Y30">
        <v>0</v>
      </c>
      <c r="Z30">
        <f t="shared" si="5"/>
        <v>602</v>
      </c>
      <c r="AA30" s="500"/>
      <c r="AB30" s="74">
        <v>1421400</v>
      </c>
      <c r="AC30" s="74" t="s">
        <v>268</v>
      </c>
      <c r="AD30" s="74" t="s">
        <v>264</v>
      </c>
      <c r="AE30"/>
      <c r="AF30" s="74">
        <v>58</v>
      </c>
      <c r="AG30" s="74">
        <v>127</v>
      </c>
      <c r="AH30" s="74">
        <v>133</v>
      </c>
      <c r="AI30" s="74">
        <v>131</v>
      </c>
      <c r="AJ30" s="74">
        <v>84</v>
      </c>
      <c r="AK30" s="74">
        <v>69</v>
      </c>
      <c r="AL30" s="74">
        <v>0</v>
      </c>
      <c r="AM30" s="74">
        <f t="shared" si="1"/>
        <v>602</v>
      </c>
      <c r="AO30" s="74">
        <v>1421400</v>
      </c>
      <c r="AP30" s="74" t="s">
        <v>268</v>
      </c>
      <c r="AQ30" s="74" t="s">
        <v>264</v>
      </c>
      <c r="AR30" s="74"/>
      <c r="AS30" s="74">
        <v>56</v>
      </c>
      <c r="AT30" s="74">
        <v>124</v>
      </c>
      <c r="AU30" s="74">
        <v>130</v>
      </c>
      <c r="AV30" s="74">
        <v>129</v>
      </c>
      <c r="AW30" s="74">
        <v>82</v>
      </c>
      <c r="AX30" s="74">
        <v>67</v>
      </c>
      <c r="AY30" s="74">
        <v>0</v>
      </c>
      <c r="AZ30" s="74">
        <f t="shared" si="6"/>
        <v>588</v>
      </c>
      <c r="BB30" s="74">
        <v>1421400</v>
      </c>
      <c r="BC30" s="74" t="s">
        <v>268</v>
      </c>
      <c r="BD30" s="74" t="s">
        <v>264</v>
      </c>
      <c r="BE30" s="74"/>
      <c r="BF30" s="74">
        <v>48</v>
      </c>
      <c r="BG30" s="74">
        <v>112</v>
      </c>
      <c r="BH30" s="74">
        <v>118</v>
      </c>
      <c r="BI30" s="74">
        <v>117</v>
      </c>
      <c r="BJ30" s="74">
        <v>79</v>
      </c>
      <c r="BK30" s="74">
        <v>64</v>
      </c>
      <c r="BL30" s="74">
        <v>0</v>
      </c>
      <c r="BM30" s="74">
        <f t="shared" si="8"/>
        <v>538</v>
      </c>
      <c r="BO30" s="74">
        <v>1421400</v>
      </c>
      <c r="BP30" s="74" t="s">
        <v>268</v>
      </c>
      <c r="BQ30" s="74" t="s">
        <v>264</v>
      </c>
      <c r="BR30" s="74"/>
      <c r="BS30" s="74">
        <v>48</v>
      </c>
      <c r="BT30" s="74">
        <v>112</v>
      </c>
      <c r="BU30" s="74">
        <v>118</v>
      </c>
      <c r="BV30" s="74">
        <v>117</v>
      </c>
      <c r="BW30" s="74">
        <v>79</v>
      </c>
      <c r="BX30" s="74">
        <v>64</v>
      </c>
      <c r="BY30" s="74">
        <v>0</v>
      </c>
      <c r="BZ30" s="74">
        <f t="shared" si="7"/>
        <v>538</v>
      </c>
      <c r="CB30" s="74">
        <v>1421400</v>
      </c>
      <c r="CC30" s="74" t="s">
        <v>268</v>
      </c>
      <c r="CD30" s="74" t="s">
        <v>264</v>
      </c>
      <c r="CE30" s="74"/>
      <c r="CF30" s="74">
        <v>46</v>
      </c>
      <c r="CG30" s="74">
        <v>109</v>
      </c>
      <c r="CH30" s="74">
        <v>115</v>
      </c>
      <c r="CI30" s="74">
        <v>114</v>
      </c>
      <c r="CJ30" s="74">
        <v>77</v>
      </c>
      <c r="CK30" s="74">
        <v>63</v>
      </c>
      <c r="CL30" s="74">
        <v>0</v>
      </c>
      <c r="CM30" s="74">
        <f t="shared" si="2"/>
        <v>524</v>
      </c>
      <c r="CO30" s="74">
        <v>1421400</v>
      </c>
      <c r="CP30" s="74" t="s">
        <v>268</v>
      </c>
      <c r="CQ30" s="74" t="s">
        <v>264</v>
      </c>
      <c r="CR30" s="74"/>
      <c r="CS30" s="74">
        <v>46</v>
      </c>
      <c r="CT30" s="74">
        <v>109</v>
      </c>
      <c r="CU30" s="74">
        <v>115</v>
      </c>
      <c r="CV30" s="74">
        <v>114</v>
      </c>
      <c r="CW30" s="74">
        <v>77</v>
      </c>
      <c r="CX30" s="74">
        <v>63</v>
      </c>
      <c r="CY30" s="74">
        <v>0</v>
      </c>
      <c r="CZ30" s="74">
        <v>524</v>
      </c>
      <c r="DB30" s="74">
        <v>1421400</v>
      </c>
      <c r="DC30" s="74" t="s">
        <v>268</v>
      </c>
      <c r="DD30" s="74" t="s">
        <v>264</v>
      </c>
      <c r="DE30" s="74"/>
      <c r="DF30" s="74">
        <v>43</v>
      </c>
      <c r="DG30" s="74">
        <v>104</v>
      </c>
      <c r="DH30" s="74">
        <v>108</v>
      </c>
      <c r="DI30" s="74">
        <v>105</v>
      </c>
      <c r="DJ30" s="74">
        <v>71</v>
      </c>
      <c r="DK30" s="74">
        <v>58</v>
      </c>
      <c r="DL30" s="74">
        <v>0</v>
      </c>
      <c r="DM30" s="74">
        <v>489</v>
      </c>
      <c r="DO30" s="74">
        <v>1421400</v>
      </c>
      <c r="DP30" s="74" t="s">
        <v>268</v>
      </c>
      <c r="DQ30" s="74" t="s">
        <v>264</v>
      </c>
      <c r="DR30" s="74"/>
      <c r="DS30" s="74">
        <v>40</v>
      </c>
      <c r="DT30" s="74">
        <v>100</v>
      </c>
      <c r="DU30" s="74">
        <v>104</v>
      </c>
      <c r="DV30" s="74">
        <v>101</v>
      </c>
      <c r="DW30" s="74">
        <v>69</v>
      </c>
      <c r="DX30" s="74">
        <v>58</v>
      </c>
      <c r="DY30" s="74">
        <v>0</v>
      </c>
      <c r="DZ30" s="74">
        <v>472</v>
      </c>
      <c r="EA30" s="74"/>
      <c r="EB30" s="74">
        <v>1421400</v>
      </c>
      <c r="EC30" s="74" t="s">
        <v>268</v>
      </c>
      <c r="ED30" s="74" t="s">
        <v>264</v>
      </c>
      <c r="EE30" s="74"/>
      <c r="EF30" s="74">
        <v>35</v>
      </c>
      <c r="EG30" s="74">
        <v>90</v>
      </c>
      <c r="EH30" s="74">
        <v>95</v>
      </c>
      <c r="EI30" s="74">
        <v>94</v>
      </c>
      <c r="EJ30" s="74">
        <v>65</v>
      </c>
      <c r="EK30" s="74">
        <v>57</v>
      </c>
      <c r="EL30" s="74">
        <v>0</v>
      </c>
      <c r="EM30" s="74">
        <v>436</v>
      </c>
      <c r="EO30" s="74">
        <v>1421401</v>
      </c>
      <c r="EP30" s="74" t="s">
        <v>268</v>
      </c>
      <c r="EQ30" s="74" t="s">
        <v>264</v>
      </c>
      <c r="ER30" s="74"/>
      <c r="ES30" s="74">
        <v>11</v>
      </c>
      <c r="ET30" s="74">
        <v>23</v>
      </c>
      <c r="EU30" s="74">
        <v>29</v>
      </c>
      <c r="EV30" s="74">
        <v>27</v>
      </c>
      <c r="EW30" s="74">
        <v>20</v>
      </c>
      <c r="EX30" s="74">
        <v>15</v>
      </c>
      <c r="EY30" s="74">
        <v>0</v>
      </c>
      <c r="EZ30" s="74">
        <v>125</v>
      </c>
      <c r="FB30" s="74">
        <v>1421402</v>
      </c>
      <c r="FC30" s="74" t="s">
        <v>268</v>
      </c>
      <c r="FD30" s="74" t="s">
        <v>264</v>
      </c>
      <c r="FE30" s="74"/>
      <c r="FF30" s="74">
        <v>16</v>
      </c>
      <c r="FG30" s="74">
        <v>42</v>
      </c>
      <c r="FH30" s="74">
        <v>43</v>
      </c>
      <c r="FI30" s="74">
        <v>41</v>
      </c>
      <c r="FJ30" s="74">
        <v>29</v>
      </c>
      <c r="FK30" s="74">
        <v>26</v>
      </c>
      <c r="FL30" s="74">
        <v>0</v>
      </c>
      <c r="FM30" s="74">
        <v>197</v>
      </c>
      <c r="FO30" s="74">
        <v>1421402</v>
      </c>
      <c r="FP30" s="74" t="s">
        <v>268</v>
      </c>
      <c r="FQ30" s="74" t="s">
        <v>264</v>
      </c>
      <c r="FR30" s="74"/>
      <c r="FS30" s="74">
        <v>16</v>
      </c>
      <c r="FT30" s="74">
        <v>42</v>
      </c>
      <c r="FU30" s="74">
        <v>43</v>
      </c>
      <c r="FV30" s="74">
        <v>41</v>
      </c>
      <c r="FW30" s="74">
        <v>29</v>
      </c>
      <c r="FX30" s="74">
        <v>26</v>
      </c>
      <c r="FY30" s="74">
        <v>0</v>
      </c>
      <c r="FZ30" s="74">
        <v>197</v>
      </c>
      <c r="GB30" s="74">
        <v>1421402</v>
      </c>
      <c r="GC30" s="74" t="s">
        <v>268</v>
      </c>
      <c r="GD30" s="74" t="s">
        <v>264</v>
      </c>
      <c r="GE30" s="74"/>
      <c r="GF30" s="74">
        <v>6</v>
      </c>
      <c r="GG30" s="74">
        <v>12</v>
      </c>
      <c r="GH30" s="74">
        <v>13</v>
      </c>
      <c r="GI30" s="74">
        <v>11</v>
      </c>
      <c r="GJ30" s="74">
        <v>9</v>
      </c>
      <c r="GK30" s="74">
        <v>6</v>
      </c>
      <c r="GL30" s="74">
        <v>0</v>
      </c>
      <c r="GM30" s="74">
        <v>57</v>
      </c>
      <c r="GO30" s="439">
        <v>1421402</v>
      </c>
      <c r="GP30" s="74" t="s">
        <v>268</v>
      </c>
      <c r="GQ30" s="74" t="s">
        <v>264</v>
      </c>
      <c r="GR30" s="74"/>
      <c r="GS30" s="74">
        <v>5</v>
      </c>
      <c r="GT30" s="74">
        <v>9</v>
      </c>
      <c r="GU30" s="74">
        <v>9</v>
      </c>
      <c r="GV30" s="74">
        <v>8</v>
      </c>
      <c r="GW30" s="74">
        <v>7</v>
      </c>
      <c r="GX30" s="74">
        <v>5</v>
      </c>
      <c r="GY30" s="74">
        <v>0</v>
      </c>
      <c r="GZ30" s="74">
        <f t="shared" si="10"/>
        <v>43</v>
      </c>
    </row>
    <row r="31" spans="1:208">
      <c r="A31" s="488">
        <v>1421401</v>
      </c>
      <c r="B31" s="478" t="s">
        <v>36</v>
      </c>
      <c r="C31" s="478">
        <v>18</v>
      </c>
      <c r="D31" s="478">
        <v>37</v>
      </c>
      <c r="E31" s="478">
        <v>47</v>
      </c>
      <c r="F31" s="478">
        <v>40</v>
      </c>
      <c r="G31" s="478">
        <v>30</v>
      </c>
      <c r="H31" s="478">
        <v>23</v>
      </c>
      <c r="I31" s="478"/>
      <c r="J31" s="479">
        <f t="shared" si="9"/>
        <v>195</v>
      </c>
      <c r="K31" s="480">
        <f>'CORTE 4200'!$O$259</f>
        <v>22</v>
      </c>
      <c r="L31" s="480"/>
      <c r="M31" s="481"/>
      <c r="N31" s="500"/>
      <c r="O31">
        <v>1421401</v>
      </c>
      <c r="P31" t="s">
        <v>268</v>
      </c>
      <c r="Q31" t="s">
        <v>264</v>
      </c>
      <c r="R31"/>
      <c r="S31">
        <v>18</v>
      </c>
      <c r="T31">
        <v>37</v>
      </c>
      <c r="U31">
        <v>47</v>
      </c>
      <c r="V31">
        <v>40</v>
      </c>
      <c r="W31">
        <v>30</v>
      </c>
      <c r="X31">
        <v>23</v>
      </c>
      <c r="Y31">
        <v>0</v>
      </c>
      <c r="Z31">
        <f t="shared" si="5"/>
        <v>195</v>
      </c>
      <c r="AA31" s="500"/>
      <c r="AB31" s="74">
        <v>1421401</v>
      </c>
      <c r="AC31" s="74" t="s">
        <v>268</v>
      </c>
      <c r="AD31" s="74" t="s">
        <v>264</v>
      </c>
      <c r="AE31"/>
      <c r="AF31" s="74">
        <v>17</v>
      </c>
      <c r="AG31" s="74">
        <v>35</v>
      </c>
      <c r="AH31" s="74">
        <v>45</v>
      </c>
      <c r="AI31" s="74">
        <v>38</v>
      </c>
      <c r="AJ31" s="74">
        <v>29</v>
      </c>
      <c r="AK31" s="74">
        <v>22</v>
      </c>
      <c r="AL31" s="74">
        <v>0</v>
      </c>
      <c r="AM31" s="74">
        <f t="shared" si="1"/>
        <v>186</v>
      </c>
      <c r="AO31" s="74">
        <v>1421401</v>
      </c>
      <c r="AP31" s="74" t="s">
        <v>268</v>
      </c>
      <c r="AQ31" s="74" t="s">
        <v>264</v>
      </c>
      <c r="AR31" s="74"/>
      <c r="AS31" s="74">
        <v>17</v>
      </c>
      <c r="AT31" s="74">
        <v>33</v>
      </c>
      <c r="AU31" s="74">
        <v>43</v>
      </c>
      <c r="AV31" s="74">
        <v>36</v>
      </c>
      <c r="AW31" s="74">
        <v>27</v>
      </c>
      <c r="AX31" s="74">
        <v>20</v>
      </c>
      <c r="AY31" s="74">
        <v>0</v>
      </c>
      <c r="AZ31" s="74">
        <f t="shared" si="6"/>
        <v>176</v>
      </c>
      <c r="BB31" s="74">
        <v>1421401</v>
      </c>
      <c r="BC31" s="74" t="s">
        <v>268</v>
      </c>
      <c r="BD31" s="74" t="s">
        <v>264</v>
      </c>
      <c r="BE31" s="74"/>
      <c r="BF31" s="74">
        <v>17</v>
      </c>
      <c r="BG31" s="74">
        <v>33</v>
      </c>
      <c r="BH31" s="74">
        <v>43</v>
      </c>
      <c r="BI31" s="74">
        <v>36</v>
      </c>
      <c r="BJ31" s="74">
        <v>27</v>
      </c>
      <c r="BK31" s="74">
        <v>20</v>
      </c>
      <c r="BL31" s="74">
        <v>0</v>
      </c>
      <c r="BM31" s="74">
        <f t="shared" si="8"/>
        <v>176</v>
      </c>
      <c r="BO31" s="74">
        <v>1421401</v>
      </c>
      <c r="BP31" s="74" t="s">
        <v>268</v>
      </c>
      <c r="BQ31" s="74" t="s">
        <v>264</v>
      </c>
      <c r="BR31" s="74"/>
      <c r="BS31" s="74">
        <v>17</v>
      </c>
      <c r="BT31" s="74">
        <v>33</v>
      </c>
      <c r="BU31" s="74">
        <v>43</v>
      </c>
      <c r="BV31" s="74">
        <v>36</v>
      </c>
      <c r="BW31" s="74">
        <v>27</v>
      </c>
      <c r="BX31" s="74">
        <v>20</v>
      </c>
      <c r="BY31" s="74">
        <v>0</v>
      </c>
      <c r="BZ31" s="74">
        <f t="shared" si="7"/>
        <v>176</v>
      </c>
      <c r="CB31" s="74">
        <v>1421401</v>
      </c>
      <c r="CC31" s="74" t="s">
        <v>268</v>
      </c>
      <c r="CD31" s="74" t="s">
        <v>264</v>
      </c>
      <c r="CE31" s="74"/>
      <c r="CF31" s="74">
        <v>17</v>
      </c>
      <c r="CG31" s="74">
        <v>33</v>
      </c>
      <c r="CH31" s="74">
        <v>43</v>
      </c>
      <c r="CI31" s="74">
        <v>36</v>
      </c>
      <c r="CJ31" s="74">
        <v>27</v>
      </c>
      <c r="CK31" s="74">
        <v>20</v>
      </c>
      <c r="CL31" s="74">
        <v>0</v>
      </c>
      <c r="CM31" s="74">
        <f t="shared" si="2"/>
        <v>176</v>
      </c>
      <c r="CO31" s="74">
        <v>1421401</v>
      </c>
      <c r="CP31" s="74" t="s">
        <v>268</v>
      </c>
      <c r="CQ31" s="74" t="s">
        <v>264</v>
      </c>
      <c r="CR31" s="74"/>
      <c r="CS31" s="74">
        <v>17</v>
      </c>
      <c r="CT31" s="74">
        <v>33</v>
      </c>
      <c r="CU31" s="74">
        <v>43</v>
      </c>
      <c r="CV31" s="74">
        <v>36</v>
      </c>
      <c r="CW31" s="74">
        <v>27</v>
      </c>
      <c r="CX31" s="74">
        <v>20</v>
      </c>
      <c r="CY31" s="74">
        <v>0</v>
      </c>
      <c r="CZ31" s="74">
        <v>176</v>
      </c>
      <c r="DB31" s="74">
        <v>1421401</v>
      </c>
      <c r="DC31" s="74" t="s">
        <v>268</v>
      </c>
      <c r="DD31" s="74" t="s">
        <v>264</v>
      </c>
      <c r="DE31" s="74"/>
      <c r="DF31" s="74">
        <v>17</v>
      </c>
      <c r="DG31" s="74">
        <v>33</v>
      </c>
      <c r="DH31" s="74">
        <v>43</v>
      </c>
      <c r="DI31" s="74">
        <v>36</v>
      </c>
      <c r="DJ31" s="74">
        <v>27</v>
      </c>
      <c r="DK31" s="74">
        <v>20</v>
      </c>
      <c r="DL31" s="74">
        <v>0</v>
      </c>
      <c r="DM31" s="74">
        <v>176</v>
      </c>
      <c r="DO31" s="74">
        <v>1421401</v>
      </c>
      <c r="DP31" s="74" t="s">
        <v>268</v>
      </c>
      <c r="DQ31" s="74" t="s">
        <v>264</v>
      </c>
      <c r="DR31" s="74"/>
      <c r="DS31" s="74">
        <v>13</v>
      </c>
      <c r="DT31" s="74">
        <v>25</v>
      </c>
      <c r="DU31" s="74">
        <v>31</v>
      </c>
      <c r="DV31" s="74">
        <v>28</v>
      </c>
      <c r="DW31" s="74">
        <v>21</v>
      </c>
      <c r="DX31" s="74">
        <v>16</v>
      </c>
      <c r="DY31" s="74">
        <v>0</v>
      </c>
      <c r="DZ31" s="74">
        <v>134</v>
      </c>
      <c r="EA31" s="74"/>
      <c r="EB31" s="74">
        <v>1421401</v>
      </c>
      <c r="EC31" s="74" t="s">
        <v>268</v>
      </c>
      <c r="ED31" s="74" t="s">
        <v>264</v>
      </c>
      <c r="EE31" s="74"/>
      <c r="EF31" s="74">
        <v>13</v>
      </c>
      <c r="EG31" s="74">
        <v>25</v>
      </c>
      <c r="EH31" s="74">
        <v>31</v>
      </c>
      <c r="EI31" s="74">
        <v>28</v>
      </c>
      <c r="EJ31" s="74">
        <v>21</v>
      </c>
      <c r="EK31" s="74">
        <v>16</v>
      </c>
      <c r="EL31" s="74">
        <v>0</v>
      </c>
      <c r="EM31" s="74">
        <v>134</v>
      </c>
      <c r="EO31" s="74">
        <v>1421402</v>
      </c>
      <c r="EP31" s="74" t="s">
        <v>268</v>
      </c>
      <c r="EQ31" s="74" t="s">
        <v>264</v>
      </c>
      <c r="ER31" s="74"/>
      <c r="ES31" s="74">
        <v>16</v>
      </c>
      <c r="ET31" s="74">
        <v>42</v>
      </c>
      <c r="EU31" s="74">
        <v>43</v>
      </c>
      <c r="EV31" s="74">
        <v>41</v>
      </c>
      <c r="EW31" s="74">
        <v>29</v>
      </c>
      <c r="EX31" s="74">
        <v>26</v>
      </c>
      <c r="EY31" s="74">
        <v>0</v>
      </c>
      <c r="EZ31" s="74">
        <v>197</v>
      </c>
      <c r="FB31" s="74">
        <v>1421460</v>
      </c>
      <c r="FC31" s="74" t="s">
        <v>268</v>
      </c>
      <c r="FD31" s="74" t="s">
        <v>264</v>
      </c>
      <c r="FE31" s="74"/>
      <c r="FF31" s="74">
        <v>7</v>
      </c>
      <c r="FG31" s="74">
        <v>15</v>
      </c>
      <c r="FH31" s="74">
        <v>16</v>
      </c>
      <c r="FI31" s="74">
        <v>11</v>
      </c>
      <c r="FJ31" s="74">
        <v>7</v>
      </c>
      <c r="FK31" s="74">
        <v>4</v>
      </c>
      <c r="FL31" s="74">
        <v>0</v>
      </c>
      <c r="FM31" s="74">
        <v>60</v>
      </c>
      <c r="FO31" s="74">
        <v>1421460</v>
      </c>
      <c r="FP31" s="74" t="s">
        <v>268</v>
      </c>
      <c r="FQ31" s="74" t="s">
        <v>264</v>
      </c>
      <c r="FR31" s="74"/>
      <c r="FS31" s="74">
        <v>7</v>
      </c>
      <c r="FT31" s="74">
        <v>15</v>
      </c>
      <c r="FU31" s="74">
        <v>16</v>
      </c>
      <c r="FV31" s="74">
        <v>11</v>
      </c>
      <c r="FW31" s="74">
        <v>7</v>
      </c>
      <c r="FX31" s="74">
        <v>4</v>
      </c>
      <c r="FY31" s="74">
        <v>0</v>
      </c>
      <c r="FZ31" s="74">
        <v>60</v>
      </c>
      <c r="GB31" s="74">
        <v>1421460</v>
      </c>
      <c r="GC31" s="74" t="s">
        <v>268</v>
      </c>
      <c r="GD31" s="74" t="s">
        <v>264</v>
      </c>
      <c r="GE31" s="74"/>
      <c r="GF31" s="74">
        <v>4</v>
      </c>
      <c r="GG31" s="74">
        <v>10</v>
      </c>
      <c r="GH31" s="74">
        <v>9</v>
      </c>
      <c r="GI31" s="74">
        <v>6</v>
      </c>
      <c r="GJ31" s="74">
        <v>4</v>
      </c>
      <c r="GK31" s="74">
        <v>2</v>
      </c>
      <c r="GL31" s="74">
        <v>0</v>
      </c>
      <c r="GM31" s="74">
        <v>35</v>
      </c>
      <c r="GO31" s="439">
        <v>1421460</v>
      </c>
      <c r="GP31" s="74" t="s">
        <v>268</v>
      </c>
      <c r="GQ31" s="74" t="s">
        <v>264</v>
      </c>
      <c r="GR31" s="74"/>
      <c r="GS31" s="74">
        <v>4</v>
      </c>
      <c r="GT31" s="74">
        <v>10</v>
      </c>
      <c r="GU31" s="74">
        <v>9</v>
      </c>
      <c r="GV31" s="74">
        <v>6</v>
      </c>
      <c r="GW31" s="74">
        <v>4</v>
      </c>
      <c r="GX31" s="74">
        <v>2</v>
      </c>
      <c r="GY31" s="74">
        <v>0</v>
      </c>
      <c r="GZ31" s="74">
        <f t="shared" si="10"/>
        <v>35</v>
      </c>
    </row>
    <row r="32" spans="1:208">
      <c r="A32" s="488">
        <v>1421402</v>
      </c>
      <c r="B32" s="478" t="s">
        <v>36</v>
      </c>
      <c r="C32" s="478">
        <v>20</v>
      </c>
      <c r="D32" s="478">
        <v>49</v>
      </c>
      <c r="E32" s="478">
        <v>50</v>
      </c>
      <c r="F32" s="478">
        <v>48</v>
      </c>
      <c r="G32" s="478">
        <v>35</v>
      </c>
      <c r="H32" s="478">
        <v>29</v>
      </c>
      <c r="I32" s="478"/>
      <c r="J32" s="479">
        <f t="shared" si="9"/>
        <v>231</v>
      </c>
      <c r="K32" s="480">
        <f>'CORTE 4200'!$O$268</f>
        <v>6</v>
      </c>
      <c r="L32" s="480"/>
      <c r="M32" s="481"/>
      <c r="N32" s="500"/>
      <c r="O32">
        <v>1421402</v>
      </c>
      <c r="P32" t="s">
        <v>268</v>
      </c>
      <c r="Q32" t="s">
        <v>264</v>
      </c>
      <c r="R32"/>
      <c r="S32">
        <v>20</v>
      </c>
      <c r="T32">
        <v>49</v>
      </c>
      <c r="U32">
        <v>50</v>
      </c>
      <c r="V32">
        <v>48</v>
      </c>
      <c r="W32">
        <v>35</v>
      </c>
      <c r="X32">
        <v>29</v>
      </c>
      <c r="Y32">
        <v>0</v>
      </c>
      <c r="Z32">
        <f t="shared" si="5"/>
        <v>231</v>
      </c>
      <c r="AA32" s="500"/>
      <c r="AB32" s="74">
        <v>1421402</v>
      </c>
      <c r="AC32" s="74" t="s">
        <v>268</v>
      </c>
      <c r="AD32" s="74" t="s">
        <v>264</v>
      </c>
      <c r="AE32"/>
      <c r="AF32" s="74">
        <v>20</v>
      </c>
      <c r="AG32" s="74">
        <v>49</v>
      </c>
      <c r="AH32" s="74">
        <v>50</v>
      </c>
      <c r="AI32" s="74">
        <v>48</v>
      </c>
      <c r="AJ32" s="74">
        <v>35</v>
      </c>
      <c r="AK32" s="74">
        <v>29</v>
      </c>
      <c r="AL32" s="74">
        <v>0</v>
      </c>
      <c r="AM32" s="74">
        <f t="shared" si="1"/>
        <v>231</v>
      </c>
      <c r="AO32" s="74">
        <v>1421402</v>
      </c>
      <c r="AP32" s="74" t="s">
        <v>268</v>
      </c>
      <c r="AQ32" s="74" t="s">
        <v>264</v>
      </c>
      <c r="AR32" s="74"/>
      <c r="AS32" s="74">
        <v>20</v>
      </c>
      <c r="AT32" s="74">
        <v>49</v>
      </c>
      <c r="AU32" s="74">
        <v>50</v>
      </c>
      <c r="AV32" s="74">
        <v>48</v>
      </c>
      <c r="AW32" s="74">
        <v>35</v>
      </c>
      <c r="AX32" s="74">
        <v>29</v>
      </c>
      <c r="AY32" s="74">
        <v>0</v>
      </c>
      <c r="AZ32" s="74">
        <f t="shared" si="6"/>
        <v>231</v>
      </c>
      <c r="BB32" s="74">
        <v>1421402</v>
      </c>
      <c r="BC32" s="74" t="s">
        <v>268</v>
      </c>
      <c r="BD32" s="74" t="s">
        <v>264</v>
      </c>
      <c r="BE32" s="74"/>
      <c r="BF32" s="74">
        <v>20</v>
      </c>
      <c r="BG32" s="74">
        <v>49</v>
      </c>
      <c r="BH32" s="74">
        <v>50</v>
      </c>
      <c r="BI32" s="74">
        <v>48</v>
      </c>
      <c r="BJ32" s="74">
        <v>35</v>
      </c>
      <c r="BK32" s="74">
        <v>29</v>
      </c>
      <c r="BL32" s="74">
        <v>0</v>
      </c>
      <c r="BM32" s="74">
        <f t="shared" si="8"/>
        <v>231</v>
      </c>
      <c r="BO32" s="74">
        <v>1421402</v>
      </c>
      <c r="BP32" s="74" t="s">
        <v>268</v>
      </c>
      <c r="BQ32" s="74" t="s">
        <v>264</v>
      </c>
      <c r="BR32" s="74"/>
      <c r="BS32" s="74">
        <v>20</v>
      </c>
      <c r="BT32" s="74">
        <v>49</v>
      </c>
      <c r="BU32" s="74">
        <v>50</v>
      </c>
      <c r="BV32" s="74">
        <v>48</v>
      </c>
      <c r="BW32" s="74">
        <v>35</v>
      </c>
      <c r="BX32" s="74">
        <v>29</v>
      </c>
      <c r="BY32" s="74">
        <v>0</v>
      </c>
      <c r="BZ32" s="74">
        <f t="shared" si="7"/>
        <v>231</v>
      </c>
      <c r="CB32" s="74">
        <v>1421402</v>
      </c>
      <c r="CC32" s="74" t="s">
        <v>268</v>
      </c>
      <c r="CD32" s="74" t="s">
        <v>264</v>
      </c>
      <c r="CE32" s="74"/>
      <c r="CF32" s="74">
        <v>20</v>
      </c>
      <c r="CG32" s="74">
        <v>49</v>
      </c>
      <c r="CH32" s="74">
        <v>50</v>
      </c>
      <c r="CI32" s="74">
        <v>48</v>
      </c>
      <c r="CJ32" s="74">
        <v>35</v>
      </c>
      <c r="CK32" s="74">
        <v>29</v>
      </c>
      <c r="CL32" s="74">
        <v>0</v>
      </c>
      <c r="CM32" s="74">
        <f t="shared" si="2"/>
        <v>231</v>
      </c>
      <c r="CO32" s="74">
        <v>1421402</v>
      </c>
      <c r="CP32" s="74" t="s">
        <v>268</v>
      </c>
      <c r="CQ32" s="74" t="s">
        <v>264</v>
      </c>
      <c r="CR32" s="74"/>
      <c r="CS32" s="74">
        <v>20</v>
      </c>
      <c r="CT32" s="74">
        <v>49</v>
      </c>
      <c r="CU32" s="74">
        <v>50</v>
      </c>
      <c r="CV32" s="74">
        <v>48</v>
      </c>
      <c r="CW32" s="74">
        <v>35</v>
      </c>
      <c r="CX32" s="74">
        <v>29</v>
      </c>
      <c r="CY32" s="74">
        <v>0</v>
      </c>
      <c r="CZ32" s="74">
        <v>231</v>
      </c>
      <c r="DB32" s="74">
        <v>1421402</v>
      </c>
      <c r="DC32" s="74" t="s">
        <v>268</v>
      </c>
      <c r="DD32" s="74" t="s">
        <v>264</v>
      </c>
      <c r="DE32" s="74"/>
      <c r="DF32" s="74">
        <v>18</v>
      </c>
      <c r="DG32" s="74">
        <v>45</v>
      </c>
      <c r="DH32" s="74">
        <v>46</v>
      </c>
      <c r="DI32" s="74">
        <v>44</v>
      </c>
      <c r="DJ32" s="74">
        <v>31</v>
      </c>
      <c r="DK32" s="74">
        <v>27</v>
      </c>
      <c r="DL32" s="74">
        <v>0</v>
      </c>
      <c r="DM32" s="74">
        <v>211</v>
      </c>
      <c r="DO32" s="74">
        <v>1421402</v>
      </c>
      <c r="DP32" s="74" t="s">
        <v>268</v>
      </c>
      <c r="DQ32" s="74" t="s">
        <v>264</v>
      </c>
      <c r="DR32" s="74"/>
      <c r="DS32" s="74">
        <v>18</v>
      </c>
      <c r="DT32" s="74">
        <v>45</v>
      </c>
      <c r="DU32" s="74">
        <v>46</v>
      </c>
      <c r="DV32" s="74">
        <v>44</v>
      </c>
      <c r="DW32" s="74">
        <v>31</v>
      </c>
      <c r="DX32" s="74">
        <v>27</v>
      </c>
      <c r="DY32" s="74">
        <v>0</v>
      </c>
      <c r="DZ32" s="74">
        <v>211</v>
      </c>
      <c r="EA32" s="74"/>
      <c r="EB32" s="74">
        <v>1421402</v>
      </c>
      <c r="EC32" s="74" t="s">
        <v>268</v>
      </c>
      <c r="ED32" s="74" t="s">
        <v>264</v>
      </c>
      <c r="EE32" s="74"/>
      <c r="EF32" s="74">
        <v>16</v>
      </c>
      <c r="EG32" s="74">
        <v>42</v>
      </c>
      <c r="EH32" s="74">
        <v>43</v>
      </c>
      <c r="EI32" s="74">
        <v>41</v>
      </c>
      <c r="EJ32" s="74">
        <v>29</v>
      </c>
      <c r="EK32" s="74">
        <v>26</v>
      </c>
      <c r="EL32" s="74">
        <v>0</v>
      </c>
      <c r="EM32" s="74">
        <v>197</v>
      </c>
      <c r="EO32" s="74">
        <v>1421460</v>
      </c>
      <c r="EP32" s="74" t="s">
        <v>268</v>
      </c>
      <c r="EQ32" s="74" t="s">
        <v>264</v>
      </c>
      <c r="ER32" s="74"/>
      <c r="ES32" s="74">
        <v>9</v>
      </c>
      <c r="ET32" s="74">
        <v>18</v>
      </c>
      <c r="EU32" s="74">
        <v>19</v>
      </c>
      <c r="EV32" s="74">
        <v>14</v>
      </c>
      <c r="EW32" s="74">
        <v>9</v>
      </c>
      <c r="EX32" s="74">
        <v>6</v>
      </c>
      <c r="EY32" s="74">
        <v>0</v>
      </c>
      <c r="EZ32" s="74">
        <v>75</v>
      </c>
      <c r="FB32" s="74">
        <v>1421600</v>
      </c>
      <c r="FC32" s="74" t="s">
        <v>263</v>
      </c>
      <c r="FD32" s="74" t="s">
        <v>264</v>
      </c>
      <c r="FE32" s="74"/>
      <c r="FF32" s="74">
        <v>0</v>
      </c>
      <c r="FG32" s="74">
        <v>5</v>
      </c>
      <c r="FH32" s="74">
        <v>5</v>
      </c>
      <c r="FI32" s="74">
        <v>4</v>
      </c>
      <c r="FJ32" s="74">
        <v>3</v>
      </c>
      <c r="FK32" s="74">
        <v>1</v>
      </c>
      <c r="FL32" s="74">
        <v>0</v>
      </c>
      <c r="FM32" s="74">
        <v>18</v>
      </c>
      <c r="FO32" s="74">
        <v>1421600</v>
      </c>
      <c r="FP32" s="74" t="s">
        <v>263</v>
      </c>
      <c r="FQ32" s="74" t="s">
        <v>264</v>
      </c>
      <c r="FR32" s="74"/>
      <c r="FS32" s="74">
        <v>0</v>
      </c>
      <c r="FT32" s="74">
        <v>5</v>
      </c>
      <c r="FU32" s="74">
        <v>5</v>
      </c>
      <c r="FV32" s="74">
        <v>4</v>
      </c>
      <c r="FW32" s="74">
        <v>3</v>
      </c>
      <c r="FX32" s="74">
        <v>1</v>
      </c>
      <c r="FY32" s="74">
        <v>0</v>
      </c>
      <c r="FZ32" s="74">
        <v>18</v>
      </c>
      <c r="GB32" s="74">
        <v>1421600</v>
      </c>
      <c r="GC32" s="74" t="s">
        <v>263</v>
      </c>
      <c r="GD32" s="74" t="s">
        <v>264</v>
      </c>
      <c r="GE32" s="74"/>
      <c r="GF32" s="74">
        <v>0</v>
      </c>
      <c r="GG32" s="74">
        <v>5</v>
      </c>
      <c r="GH32" s="74">
        <v>5</v>
      </c>
      <c r="GI32" s="74">
        <v>4</v>
      </c>
      <c r="GJ32" s="74">
        <v>3</v>
      </c>
      <c r="GK32" s="74">
        <v>1</v>
      </c>
      <c r="GL32" s="74">
        <v>0</v>
      </c>
      <c r="GM32" s="74">
        <v>18</v>
      </c>
      <c r="GO32" s="74">
        <v>1421600</v>
      </c>
      <c r="GP32" s="74" t="s">
        <v>263</v>
      </c>
      <c r="GQ32" s="74" t="s">
        <v>264</v>
      </c>
      <c r="GR32" s="74"/>
      <c r="GS32" s="74">
        <v>0</v>
      </c>
      <c r="GT32" s="74">
        <v>5</v>
      </c>
      <c r="GU32" s="74">
        <v>5</v>
      </c>
      <c r="GV32" s="74">
        <v>4</v>
      </c>
      <c r="GW32" s="74">
        <v>3</v>
      </c>
      <c r="GX32" s="74">
        <v>1</v>
      </c>
      <c r="GY32" s="74">
        <v>0</v>
      </c>
      <c r="GZ32" s="74">
        <f t="shared" si="10"/>
        <v>18</v>
      </c>
    </row>
    <row r="33" spans="1:209">
      <c r="A33" s="488">
        <v>1421460</v>
      </c>
      <c r="B33" s="478" t="s">
        <v>36</v>
      </c>
      <c r="C33" s="478">
        <v>19</v>
      </c>
      <c r="D33" s="478">
        <v>30</v>
      </c>
      <c r="E33" s="478">
        <v>28</v>
      </c>
      <c r="F33" s="478">
        <v>22</v>
      </c>
      <c r="G33" s="478">
        <v>11</v>
      </c>
      <c r="H33" s="478">
        <v>6</v>
      </c>
      <c r="I33" s="478"/>
      <c r="J33" s="479">
        <f t="shared" ref="J33:J71" si="11">SUM(C33:H33)</f>
        <v>116</v>
      </c>
      <c r="K33" s="480">
        <f>'CORTE 4200'!$O$277</f>
        <v>6</v>
      </c>
      <c r="L33" s="480"/>
      <c r="M33" s="481"/>
      <c r="N33" s="500"/>
      <c r="O33">
        <v>1421460</v>
      </c>
      <c r="P33" t="s">
        <v>268</v>
      </c>
      <c r="Q33" t="s">
        <v>264</v>
      </c>
      <c r="R33"/>
      <c r="S33">
        <v>19</v>
      </c>
      <c r="T33">
        <v>30</v>
      </c>
      <c r="U33">
        <v>28</v>
      </c>
      <c r="V33">
        <v>22</v>
      </c>
      <c r="W33">
        <v>11</v>
      </c>
      <c r="X33">
        <v>6</v>
      </c>
      <c r="Y33">
        <v>0</v>
      </c>
      <c r="Z33">
        <f t="shared" si="5"/>
        <v>116</v>
      </c>
      <c r="AA33" s="500"/>
      <c r="AB33" s="74">
        <v>1421460</v>
      </c>
      <c r="AC33" s="74" t="s">
        <v>268</v>
      </c>
      <c r="AD33" s="74" t="s">
        <v>264</v>
      </c>
      <c r="AE33"/>
      <c r="AF33" s="74">
        <v>16</v>
      </c>
      <c r="AG33" s="74">
        <v>29</v>
      </c>
      <c r="AH33" s="74">
        <v>30</v>
      </c>
      <c r="AI33" s="74">
        <v>22</v>
      </c>
      <c r="AJ33" s="74">
        <v>12</v>
      </c>
      <c r="AK33" s="74">
        <v>7</v>
      </c>
      <c r="AL33" s="74">
        <v>0</v>
      </c>
      <c r="AM33" s="74">
        <f t="shared" si="1"/>
        <v>116</v>
      </c>
      <c r="AO33" s="74">
        <v>1421460</v>
      </c>
      <c r="AP33" s="74" t="s">
        <v>268</v>
      </c>
      <c r="AQ33" s="74" t="s">
        <v>264</v>
      </c>
      <c r="AR33" s="74"/>
      <c r="AS33" s="74">
        <v>16</v>
      </c>
      <c r="AT33" s="74">
        <v>29</v>
      </c>
      <c r="AU33" s="74">
        <v>30</v>
      </c>
      <c r="AV33" s="74">
        <v>22</v>
      </c>
      <c r="AW33" s="74">
        <v>12</v>
      </c>
      <c r="AX33" s="74">
        <v>7</v>
      </c>
      <c r="AY33" s="74">
        <v>0</v>
      </c>
      <c r="AZ33" s="74">
        <f t="shared" si="6"/>
        <v>116</v>
      </c>
      <c r="BB33" s="74">
        <v>1421460</v>
      </c>
      <c r="BC33" s="74" t="s">
        <v>268</v>
      </c>
      <c r="BD33" s="74" t="s">
        <v>264</v>
      </c>
      <c r="BE33" s="74"/>
      <c r="BF33" s="74">
        <v>16</v>
      </c>
      <c r="BG33" s="74">
        <v>29</v>
      </c>
      <c r="BH33" s="74">
        <v>30</v>
      </c>
      <c r="BI33" s="74">
        <v>22</v>
      </c>
      <c r="BJ33" s="74">
        <v>12</v>
      </c>
      <c r="BK33" s="74">
        <v>7</v>
      </c>
      <c r="BL33" s="74">
        <v>0</v>
      </c>
      <c r="BM33" s="74">
        <f t="shared" si="8"/>
        <v>116</v>
      </c>
      <c r="BO33" s="74">
        <v>1421460</v>
      </c>
      <c r="BP33" s="74" t="s">
        <v>268</v>
      </c>
      <c r="BQ33" s="74" t="s">
        <v>264</v>
      </c>
      <c r="BR33" s="74"/>
      <c r="BS33" s="74">
        <v>16</v>
      </c>
      <c r="BT33" s="74">
        <v>29</v>
      </c>
      <c r="BU33" s="74">
        <v>30</v>
      </c>
      <c r="BV33" s="74">
        <v>22</v>
      </c>
      <c r="BW33" s="74">
        <v>12</v>
      </c>
      <c r="BX33" s="74">
        <v>7</v>
      </c>
      <c r="BY33" s="74">
        <v>0</v>
      </c>
      <c r="BZ33" s="74">
        <f t="shared" si="7"/>
        <v>116</v>
      </c>
      <c r="CB33" s="74">
        <v>1421460</v>
      </c>
      <c r="CC33" s="74" t="s">
        <v>268</v>
      </c>
      <c r="CD33" s="74" t="s">
        <v>264</v>
      </c>
      <c r="CE33" s="74"/>
      <c r="CF33" s="74">
        <v>16</v>
      </c>
      <c r="CG33" s="74">
        <v>29</v>
      </c>
      <c r="CH33" s="74">
        <v>30</v>
      </c>
      <c r="CI33" s="74">
        <v>22</v>
      </c>
      <c r="CJ33" s="74">
        <v>12</v>
      </c>
      <c r="CK33" s="74">
        <v>7</v>
      </c>
      <c r="CL33" s="74">
        <v>0</v>
      </c>
      <c r="CM33" s="74">
        <f t="shared" si="2"/>
        <v>116</v>
      </c>
      <c r="CO33" s="74">
        <v>1421460</v>
      </c>
      <c r="CP33" s="74" t="s">
        <v>268</v>
      </c>
      <c r="CQ33" s="74" t="s">
        <v>264</v>
      </c>
      <c r="CR33" s="74"/>
      <c r="CS33" s="74">
        <v>16</v>
      </c>
      <c r="CT33" s="74">
        <v>29</v>
      </c>
      <c r="CU33" s="74">
        <v>30</v>
      </c>
      <c r="CV33" s="74">
        <v>22</v>
      </c>
      <c r="CW33" s="74">
        <v>12</v>
      </c>
      <c r="CX33" s="74">
        <v>7</v>
      </c>
      <c r="CY33" s="74">
        <v>0</v>
      </c>
      <c r="CZ33" s="74">
        <v>116</v>
      </c>
      <c r="DB33" s="74">
        <v>1421460</v>
      </c>
      <c r="DC33" s="74" t="s">
        <v>268</v>
      </c>
      <c r="DD33" s="74" t="s">
        <v>264</v>
      </c>
      <c r="DE33" s="74"/>
      <c r="DF33" s="74">
        <v>16</v>
      </c>
      <c r="DG33" s="74">
        <v>29</v>
      </c>
      <c r="DH33" s="74">
        <v>30</v>
      </c>
      <c r="DI33" s="74">
        <v>22</v>
      </c>
      <c r="DJ33" s="74">
        <v>12</v>
      </c>
      <c r="DK33" s="74">
        <v>7</v>
      </c>
      <c r="DL33" s="74">
        <v>0</v>
      </c>
      <c r="DM33" s="74">
        <v>116</v>
      </c>
      <c r="DO33" s="74">
        <v>1421460</v>
      </c>
      <c r="DP33" s="74" t="s">
        <v>268</v>
      </c>
      <c r="DQ33" s="74" t="s">
        <v>264</v>
      </c>
      <c r="DR33" s="74"/>
      <c r="DS33" s="74">
        <v>11</v>
      </c>
      <c r="DT33" s="74">
        <v>21</v>
      </c>
      <c r="DU33" s="74">
        <v>22</v>
      </c>
      <c r="DV33" s="74">
        <v>17</v>
      </c>
      <c r="DW33" s="74">
        <v>11</v>
      </c>
      <c r="DX33" s="74">
        <v>7</v>
      </c>
      <c r="DY33" s="74">
        <v>0</v>
      </c>
      <c r="DZ33" s="74">
        <v>89</v>
      </c>
      <c r="EA33" s="74"/>
      <c r="EB33" s="74">
        <v>1421460</v>
      </c>
      <c r="EC33" s="74" t="s">
        <v>268</v>
      </c>
      <c r="ED33" s="74" t="s">
        <v>264</v>
      </c>
      <c r="EE33" s="74"/>
      <c r="EF33" s="74">
        <v>11</v>
      </c>
      <c r="EG33" s="74">
        <v>21</v>
      </c>
      <c r="EH33" s="74">
        <v>22</v>
      </c>
      <c r="EI33" s="74">
        <v>17</v>
      </c>
      <c r="EJ33" s="74">
        <v>11</v>
      </c>
      <c r="EK33" s="74">
        <v>7</v>
      </c>
      <c r="EL33" s="74">
        <v>0</v>
      </c>
      <c r="EM33" s="74">
        <v>89</v>
      </c>
      <c r="EO33" s="74">
        <v>1421600</v>
      </c>
      <c r="EP33" s="74" t="s">
        <v>263</v>
      </c>
      <c r="EQ33" s="74" t="s">
        <v>264</v>
      </c>
      <c r="ER33" s="74"/>
      <c r="ES33" s="74">
        <v>0</v>
      </c>
      <c r="ET33" s="74">
        <v>5</v>
      </c>
      <c r="EU33" s="74">
        <v>5</v>
      </c>
      <c r="EV33" s="74">
        <v>4</v>
      </c>
      <c r="EW33" s="74">
        <v>3</v>
      </c>
      <c r="EX33" s="74">
        <v>1</v>
      </c>
      <c r="EY33" s="74">
        <v>0</v>
      </c>
      <c r="EZ33" s="74">
        <v>18</v>
      </c>
      <c r="FB33" s="74">
        <v>1421800</v>
      </c>
      <c r="FC33" s="74" t="s">
        <v>270</v>
      </c>
      <c r="FD33" s="74" t="s">
        <v>264</v>
      </c>
      <c r="FE33" s="74"/>
      <c r="FF33" s="74">
        <v>45</v>
      </c>
      <c r="FG33" s="74">
        <v>105</v>
      </c>
      <c r="FH33" s="74">
        <v>119</v>
      </c>
      <c r="FI33" s="74">
        <v>112</v>
      </c>
      <c r="FJ33" s="74">
        <v>81</v>
      </c>
      <c r="FK33" s="74">
        <v>69</v>
      </c>
      <c r="FL33" s="74">
        <v>0</v>
      </c>
      <c r="FM33" s="74">
        <v>531</v>
      </c>
      <c r="FO33" s="74">
        <v>1421800</v>
      </c>
      <c r="FP33" s="74" t="s">
        <v>270</v>
      </c>
      <c r="FQ33" s="74" t="s">
        <v>264</v>
      </c>
      <c r="FR33" s="74"/>
      <c r="FS33" s="74">
        <v>43</v>
      </c>
      <c r="FT33" s="74">
        <v>99</v>
      </c>
      <c r="FU33" s="74">
        <v>113</v>
      </c>
      <c r="FV33" s="74">
        <v>106</v>
      </c>
      <c r="FW33" s="74">
        <v>77</v>
      </c>
      <c r="FX33" s="74">
        <v>65</v>
      </c>
      <c r="FY33" s="74">
        <v>0</v>
      </c>
      <c r="FZ33" s="74">
        <v>503</v>
      </c>
      <c r="GB33" s="74">
        <v>1421800</v>
      </c>
      <c r="GC33" s="74" t="s">
        <v>270</v>
      </c>
      <c r="GD33" s="74" t="s">
        <v>264</v>
      </c>
      <c r="GE33" s="74"/>
      <c r="GF33" s="74">
        <v>21</v>
      </c>
      <c r="GG33" s="74">
        <v>36</v>
      </c>
      <c r="GH33" s="74">
        <v>44</v>
      </c>
      <c r="GI33" s="74">
        <v>39</v>
      </c>
      <c r="GJ33" s="74">
        <v>31</v>
      </c>
      <c r="GK33" s="74">
        <v>23</v>
      </c>
      <c r="GL33" s="74">
        <v>0</v>
      </c>
      <c r="GM33" s="74">
        <v>194</v>
      </c>
      <c r="GO33" s="441">
        <v>1421800</v>
      </c>
      <c r="GP33" s="74" t="s">
        <v>270</v>
      </c>
      <c r="GQ33" s="74" t="s">
        <v>264</v>
      </c>
      <c r="GR33" s="74"/>
      <c r="GS33" s="74">
        <v>18</v>
      </c>
      <c r="GT33" s="74">
        <v>31</v>
      </c>
      <c r="GU33" s="74">
        <v>37</v>
      </c>
      <c r="GV33" s="74">
        <v>33</v>
      </c>
      <c r="GW33" s="74">
        <v>27</v>
      </c>
      <c r="GX33" s="74">
        <v>20</v>
      </c>
      <c r="GY33" s="74">
        <v>0</v>
      </c>
      <c r="GZ33" s="74">
        <f t="shared" si="10"/>
        <v>166</v>
      </c>
    </row>
    <row r="34" spans="1:209">
      <c r="A34" s="478">
        <v>1421600</v>
      </c>
      <c r="B34" s="478" t="s">
        <v>85</v>
      </c>
      <c r="C34" s="478">
        <v>0</v>
      </c>
      <c r="D34" s="478">
        <v>5</v>
      </c>
      <c r="E34" s="478">
        <v>5</v>
      </c>
      <c r="F34" s="478">
        <v>4</v>
      </c>
      <c r="G34" s="478">
        <v>3</v>
      </c>
      <c r="H34" s="478">
        <v>1</v>
      </c>
      <c r="I34" s="478"/>
      <c r="J34" s="479">
        <f>SUM(C34:H34)</f>
        <v>18</v>
      </c>
      <c r="K34" s="480">
        <f>'CORTE 4200'!$O$286</f>
        <v>18</v>
      </c>
      <c r="L34" s="480"/>
      <c r="M34" s="481"/>
      <c r="N34" s="500"/>
      <c r="O34">
        <v>1421600</v>
      </c>
      <c r="P34" t="s">
        <v>263</v>
      </c>
      <c r="Q34" t="s">
        <v>264</v>
      </c>
      <c r="R34"/>
      <c r="S34">
        <v>0</v>
      </c>
      <c r="T34">
        <v>5</v>
      </c>
      <c r="U34">
        <v>5</v>
      </c>
      <c r="V34">
        <v>4</v>
      </c>
      <c r="W34">
        <v>3</v>
      </c>
      <c r="X34">
        <v>1</v>
      </c>
      <c r="Y34">
        <v>0</v>
      </c>
      <c r="Z34">
        <f t="shared" si="5"/>
        <v>18</v>
      </c>
      <c r="AA34" s="500"/>
      <c r="AB34" s="74">
        <v>1421600</v>
      </c>
      <c r="AC34" s="74" t="s">
        <v>263</v>
      </c>
      <c r="AD34" s="74" t="s">
        <v>264</v>
      </c>
      <c r="AE34"/>
      <c r="AF34" s="74">
        <v>0</v>
      </c>
      <c r="AG34" s="74">
        <v>5</v>
      </c>
      <c r="AH34" s="74">
        <v>5</v>
      </c>
      <c r="AI34" s="74">
        <v>4</v>
      </c>
      <c r="AJ34" s="74">
        <v>3</v>
      </c>
      <c r="AK34" s="74">
        <v>1</v>
      </c>
      <c r="AL34" s="74">
        <v>0</v>
      </c>
      <c r="AM34" s="74">
        <f t="shared" si="1"/>
        <v>18</v>
      </c>
      <c r="AO34" s="74">
        <v>1421600</v>
      </c>
      <c r="AP34" s="74" t="s">
        <v>263</v>
      </c>
      <c r="AQ34" s="74" t="s">
        <v>264</v>
      </c>
      <c r="AR34" s="74"/>
      <c r="AS34" s="74">
        <v>0</v>
      </c>
      <c r="AT34" s="74">
        <v>5</v>
      </c>
      <c r="AU34" s="74">
        <v>5</v>
      </c>
      <c r="AV34" s="74">
        <v>4</v>
      </c>
      <c r="AW34" s="74">
        <v>3</v>
      </c>
      <c r="AX34" s="74">
        <v>1</v>
      </c>
      <c r="AY34" s="74">
        <v>0</v>
      </c>
      <c r="AZ34" s="74">
        <f t="shared" si="6"/>
        <v>18</v>
      </c>
      <c r="BB34" s="74">
        <v>1421600</v>
      </c>
      <c r="BC34" s="74" t="s">
        <v>263</v>
      </c>
      <c r="BD34" s="74" t="s">
        <v>264</v>
      </c>
      <c r="BE34" s="74"/>
      <c r="BF34" s="74">
        <v>0</v>
      </c>
      <c r="BG34" s="74">
        <v>5</v>
      </c>
      <c r="BH34" s="74">
        <v>5</v>
      </c>
      <c r="BI34" s="74">
        <v>4</v>
      </c>
      <c r="BJ34" s="74">
        <v>3</v>
      </c>
      <c r="BK34" s="74">
        <v>1</v>
      </c>
      <c r="BL34" s="74">
        <v>0</v>
      </c>
      <c r="BM34" s="74">
        <f t="shared" si="8"/>
        <v>18</v>
      </c>
      <c r="BO34" s="74">
        <v>1421600</v>
      </c>
      <c r="BP34" s="74" t="s">
        <v>263</v>
      </c>
      <c r="BQ34" s="74" t="s">
        <v>264</v>
      </c>
      <c r="BR34" s="74"/>
      <c r="BS34" s="74">
        <v>0</v>
      </c>
      <c r="BT34" s="74">
        <v>5</v>
      </c>
      <c r="BU34" s="74">
        <v>5</v>
      </c>
      <c r="BV34" s="74">
        <v>4</v>
      </c>
      <c r="BW34" s="74">
        <v>3</v>
      </c>
      <c r="BX34" s="74">
        <v>1</v>
      </c>
      <c r="BY34" s="74">
        <v>0</v>
      </c>
      <c r="BZ34" s="74">
        <f t="shared" si="7"/>
        <v>18</v>
      </c>
      <c r="CB34" s="74">
        <v>1421600</v>
      </c>
      <c r="CC34" s="74" t="s">
        <v>263</v>
      </c>
      <c r="CD34" s="74" t="s">
        <v>264</v>
      </c>
      <c r="CE34" s="74"/>
      <c r="CF34" s="74">
        <v>0</v>
      </c>
      <c r="CG34" s="74">
        <v>5</v>
      </c>
      <c r="CH34" s="74">
        <v>5</v>
      </c>
      <c r="CI34" s="74">
        <v>4</v>
      </c>
      <c r="CJ34" s="74">
        <v>3</v>
      </c>
      <c r="CK34" s="74">
        <v>1</v>
      </c>
      <c r="CL34" s="74">
        <v>0</v>
      </c>
      <c r="CM34" s="74">
        <f t="shared" si="2"/>
        <v>18</v>
      </c>
      <c r="CO34" s="74">
        <v>1421600</v>
      </c>
      <c r="CP34" s="74" t="s">
        <v>263</v>
      </c>
      <c r="CQ34" s="74" t="s">
        <v>264</v>
      </c>
      <c r="CR34" s="74"/>
      <c r="CS34" s="74">
        <v>0</v>
      </c>
      <c r="CT34" s="74">
        <v>5</v>
      </c>
      <c r="CU34" s="74">
        <v>5</v>
      </c>
      <c r="CV34" s="74">
        <v>4</v>
      </c>
      <c r="CW34" s="74">
        <v>3</v>
      </c>
      <c r="CX34" s="74">
        <v>1</v>
      </c>
      <c r="CY34" s="74">
        <v>0</v>
      </c>
      <c r="CZ34" s="74">
        <v>18</v>
      </c>
      <c r="DB34" s="74">
        <v>1421600</v>
      </c>
      <c r="DC34" s="74" t="s">
        <v>263</v>
      </c>
      <c r="DD34" s="74" t="s">
        <v>264</v>
      </c>
      <c r="DE34" s="74"/>
      <c r="DF34" s="74">
        <v>0</v>
      </c>
      <c r="DG34" s="74">
        <v>5</v>
      </c>
      <c r="DH34" s="74">
        <v>5</v>
      </c>
      <c r="DI34" s="74">
        <v>4</v>
      </c>
      <c r="DJ34" s="74">
        <v>3</v>
      </c>
      <c r="DK34" s="74">
        <v>1</v>
      </c>
      <c r="DL34" s="74">
        <v>0</v>
      </c>
      <c r="DM34" s="74">
        <v>18</v>
      </c>
      <c r="DO34" s="74">
        <v>1421600</v>
      </c>
      <c r="DP34" s="74" t="s">
        <v>263</v>
      </c>
      <c r="DQ34" s="74" t="s">
        <v>264</v>
      </c>
      <c r="DR34" s="74"/>
      <c r="DS34" s="74">
        <v>0</v>
      </c>
      <c r="DT34" s="74">
        <v>5</v>
      </c>
      <c r="DU34" s="74">
        <v>5</v>
      </c>
      <c r="DV34" s="74">
        <v>4</v>
      </c>
      <c r="DW34" s="74">
        <v>3</v>
      </c>
      <c r="DX34" s="74">
        <v>1</v>
      </c>
      <c r="DY34" s="74">
        <v>0</v>
      </c>
      <c r="DZ34" s="74">
        <v>18</v>
      </c>
      <c r="EA34" s="74"/>
      <c r="EB34" s="74">
        <v>1421600</v>
      </c>
      <c r="EC34" s="74" t="s">
        <v>263</v>
      </c>
      <c r="ED34" s="74" t="s">
        <v>264</v>
      </c>
      <c r="EE34" s="74"/>
      <c r="EF34" s="74">
        <v>0</v>
      </c>
      <c r="EG34" s="74">
        <v>5</v>
      </c>
      <c r="EH34" s="74">
        <v>5</v>
      </c>
      <c r="EI34" s="74">
        <v>4</v>
      </c>
      <c r="EJ34" s="74">
        <v>3</v>
      </c>
      <c r="EK34" s="74">
        <v>1</v>
      </c>
      <c r="EL34" s="74">
        <v>0</v>
      </c>
      <c r="EM34" s="74">
        <v>18</v>
      </c>
      <c r="EO34" s="74">
        <v>1421700</v>
      </c>
      <c r="EP34" s="74" t="s">
        <v>270</v>
      </c>
      <c r="EQ34" s="74" t="s">
        <v>264</v>
      </c>
      <c r="ER34" s="74"/>
      <c r="ES34" s="74">
        <v>0</v>
      </c>
      <c r="ET34" s="74">
        <v>2</v>
      </c>
      <c r="EU34" s="74">
        <v>3</v>
      </c>
      <c r="EV34" s="74">
        <v>2</v>
      </c>
      <c r="EW34" s="74">
        <v>1</v>
      </c>
      <c r="EX34" s="74">
        <v>0</v>
      </c>
      <c r="EY34" s="74">
        <v>0</v>
      </c>
      <c r="EZ34" s="74">
        <v>8</v>
      </c>
      <c r="FB34" s="74">
        <v>1421801</v>
      </c>
      <c r="FC34" s="74" t="s">
        <v>270</v>
      </c>
      <c r="FD34" s="74" t="s">
        <v>264</v>
      </c>
      <c r="FE34" s="74"/>
      <c r="FF34" s="74">
        <v>29</v>
      </c>
      <c r="FG34" s="74">
        <v>60</v>
      </c>
      <c r="FH34" s="74">
        <v>61</v>
      </c>
      <c r="FI34" s="74">
        <v>57</v>
      </c>
      <c r="FJ34" s="74">
        <v>41</v>
      </c>
      <c r="FK34" s="74">
        <v>31</v>
      </c>
      <c r="FL34" s="74">
        <v>0</v>
      </c>
      <c r="FM34" s="74">
        <v>279</v>
      </c>
      <c r="FO34" s="74">
        <v>1421801</v>
      </c>
      <c r="FP34" s="74" t="s">
        <v>270</v>
      </c>
      <c r="FQ34" s="74" t="s">
        <v>264</v>
      </c>
      <c r="FR34" s="74"/>
      <c r="FS34" s="74">
        <v>29</v>
      </c>
      <c r="FT34" s="74">
        <v>60</v>
      </c>
      <c r="FU34" s="74">
        <v>61</v>
      </c>
      <c r="FV34" s="74">
        <v>57</v>
      </c>
      <c r="FW34" s="74">
        <v>41</v>
      </c>
      <c r="FX34" s="74">
        <v>31</v>
      </c>
      <c r="FY34" s="74">
        <v>0</v>
      </c>
      <c r="FZ34" s="74">
        <v>279</v>
      </c>
      <c r="GB34" s="74">
        <v>1421801</v>
      </c>
      <c r="GC34" s="74" t="s">
        <v>270</v>
      </c>
      <c r="GD34" s="74" t="s">
        <v>264</v>
      </c>
      <c r="GE34" s="74"/>
      <c r="GF34" s="74">
        <v>17</v>
      </c>
      <c r="GG34" s="74">
        <v>30</v>
      </c>
      <c r="GH34" s="74">
        <v>31</v>
      </c>
      <c r="GI34" s="74">
        <v>27</v>
      </c>
      <c r="GJ34" s="74">
        <v>21</v>
      </c>
      <c r="GK34" s="74">
        <v>13</v>
      </c>
      <c r="GL34" s="74">
        <v>0</v>
      </c>
      <c r="GM34" s="74">
        <v>139</v>
      </c>
      <c r="GO34" s="441">
        <v>1421801</v>
      </c>
      <c r="GP34" s="74" t="s">
        <v>270</v>
      </c>
      <c r="GQ34" s="74" t="s">
        <v>264</v>
      </c>
      <c r="GR34" s="74"/>
      <c r="GS34" s="74">
        <v>16</v>
      </c>
      <c r="GT34" s="74">
        <v>27</v>
      </c>
      <c r="GU34" s="74">
        <v>27</v>
      </c>
      <c r="GV34" s="74">
        <v>24</v>
      </c>
      <c r="GW34" s="74">
        <v>19</v>
      </c>
      <c r="GX34" s="74">
        <v>12</v>
      </c>
      <c r="GY34" s="74">
        <v>0</v>
      </c>
      <c r="GZ34" s="74">
        <f t="shared" si="10"/>
        <v>125</v>
      </c>
    </row>
    <row r="35" spans="1:209">
      <c r="A35" s="478">
        <v>1421700</v>
      </c>
      <c r="B35" s="478" t="s">
        <v>36</v>
      </c>
      <c r="C35" s="478">
        <v>3</v>
      </c>
      <c r="D35" s="478">
        <v>7</v>
      </c>
      <c r="E35" s="478">
        <v>9</v>
      </c>
      <c r="F35" s="478">
        <v>6</v>
      </c>
      <c r="G35" s="478">
        <v>3</v>
      </c>
      <c r="H35" s="478">
        <v>1</v>
      </c>
      <c r="I35" s="478"/>
      <c r="J35" s="479">
        <f>SUM(C35:H35)</f>
        <v>29</v>
      </c>
      <c r="K35" s="480">
        <f>'CORTE 4200'!$O$295</f>
        <v>29</v>
      </c>
      <c r="L35" s="480"/>
      <c r="M35" s="481"/>
      <c r="N35" s="500"/>
      <c r="O35">
        <v>1421700</v>
      </c>
      <c r="P35" t="s">
        <v>270</v>
      </c>
      <c r="Q35" t="s">
        <v>264</v>
      </c>
      <c r="R35"/>
      <c r="S35">
        <v>3</v>
      </c>
      <c r="T35">
        <v>7</v>
      </c>
      <c r="U35">
        <v>9</v>
      </c>
      <c r="V35">
        <v>6</v>
      </c>
      <c r="W35">
        <v>3</v>
      </c>
      <c r="X35">
        <v>1</v>
      </c>
      <c r="Y35">
        <v>0</v>
      </c>
      <c r="Z35">
        <f t="shared" si="5"/>
        <v>29</v>
      </c>
      <c r="AA35" s="500"/>
      <c r="AB35" s="74">
        <v>1421700</v>
      </c>
      <c r="AC35" s="74" t="s">
        <v>270</v>
      </c>
      <c r="AD35" s="74" t="s">
        <v>264</v>
      </c>
      <c r="AE35"/>
      <c r="AF35" s="74">
        <v>3</v>
      </c>
      <c r="AG35" s="74">
        <v>7</v>
      </c>
      <c r="AH35" s="74">
        <v>9</v>
      </c>
      <c r="AI35" s="74">
        <v>6</v>
      </c>
      <c r="AJ35" s="74">
        <v>3</v>
      </c>
      <c r="AK35" s="74">
        <v>1</v>
      </c>
      <c r="AL35" s="74">
        <v>0</v>
      </c>
      <c r="AM35" s="74">
        <f t="shared" si="1"/>
        <v>29</v>
      </c>
      <c r="AO35" s="74">
        <v>1421700</v>
      </c>
      <c r="AP35" s="74" t="s">
        <v>270</v>
      </c>
      <c r="AQ35" s="74" t="s">
        <v>264</v>
      </c>
      <c r="AR35" s="74"/>
      <c r="AS35" s="74">
        <v>3</v>
      </c>
      <c r="AT35" s="74">
        <v>7</v>
      </c>
      <c r="AU35" s="74">
        <v>9</v>
      </c>
      <c r="AV35" s="74">
        <v>6</v>
      </c>
      <c r="AW35" s="74">
        <v>3</v>
      </c>
      <c r="AX35" s="74">
        <v>1</v>
      </c>
      <c r="AY35" s="74">
        <v>0</v>
      </c>
      <c r="AZ35" s="74">
        <f t="shared" si="6"/>
        <v>29</v>
      </c>
      <c r="BB35" s="74">
        <v>1421700</v>
      </c>
      <c r="BC35" s="74" t="s">
        <v>270</v>
      </c>
      <c r="BD35" s="74" t="s">
        <v>264</v>
      </c>
      <c r="BE35" s="74"/>
      <c r="BF35" s="74">
        <v>2</v>
      </c>
      <c r="BG35" s="74">
        <v>5</v>
      </c>
      <c r="BH35" s="74">
        <v>6</v>
      </c>
      <c r="BI35" s="74">
        <v>4</v>
      </c>
      <c r="BJ35" s="74">
        <v>2</v>
      </c>
      <c r="BK35" s="74">
        <v>0</v>
      </c>
      <c r="BL35" s="74">
        <v>0</v>
      </c>
      <c r="BM35" s="74">
        <f t="shared" si="8"/>
        <v>19</v>
      </c>
      <c r="BO35" s="74">
        <v>1421700</v>
      </c>
      <c r="BP35" s="74" t="s">
        <v>270</v>
      </c>
      <c r="BQ35" s="74" t="s">
        <v>264</v>
      </c>
      <c r="BR35" s="74"/>
      <c r="BS35" s="74">
        <v>2</v>
      </c>
      <c r="BT35" s="74">
        <v>5</v>
      </c>
      <c r="BU35" s="74">
        <v>6</v>
      </c>
      <c r="BV35" s="74">
        <v>4</v>
      </c>
      <c r="BW35" s="74">
        <v>2</v>
      </c>
      <c r="BX35" s="74">
        <v>0</v>
      </c>
      <c r="BY35" s="74">
        <v>0</v>
      </c>
      <c r="BZ35" s="74">
        <f t="shared" si="7"/>
        <v>19</v>
      </c>
      <c r="CB35" s="74">
        <v>1421700</v>
      </c>
      <c r="CC35" s="74" t="s">
        <v>270</v>
      </c>
      <c r="CD35" s="74" t="s">
        <v>264</v>
      </c>
      <c r="CE35" s="74"/>
      <c r="CF35" s="74">
        <v>2</v>
      </c>
      <c r="CG35" s="74">
        <v>5</v>
      </c>
      <c r="CH35" s="74">
        <v>6</v>
      </c>
      <c r="CI35" s="74">
        <v>4</v>
      </c>
      <c r="CJ35" s="74">
        <v>2</v>
      </c>
      <c r="CK35" s="74">
        <v>0</v>
      </c>
      <c r="CL35" s="74">
        <v>0</v>
      </c>
      <c r="CM35" s="74">
        <f t="shared" si="2"/>
        <v>19</v>
      </c>
      <c r="CO35" s="74">
        <v>1421700</v>
      </c>
      <c r="CP35" s="74" t="s">
        <v>270</v>
      </c>
      <c r="CQ35" s="74" t="s">
        <v>264</v>
      </c>
      <c r="CR35" s="74"/>
      <c r="CS35" s="74">
        <v>2</v>
      </c>
      <c r="CT35" s="74">
        <v>5</v>
      </c>
      <c r="CU35" s="74">
        <v>6</v>
      </c>
      <c r="CV35" s="74">
        <v>4</v>
      </c>
      <c r="CW35" s="74">
        <v>2</v>
      </c>
      <c r="CX35" s="74">
        <v>0</v>
      </c>
      <c r="CY35" s="74">
        <v>0</v>
      </c>
      <c r="CZ35" s="74">
        <v>19</v>
      </c>
      <c r="DB35" s="74">
        <v>1421700</v>
      </c>
      <c r="DC35" s="74" t="s">
        <v>270</v>
      </c>
      <c r="DD35" s="74" t="s">
        <v>264</v>
      </c>
      <c r="DE35" s="74"/>
      <c r="DF35" s="74">
        <v>2</v>
      </c>
      <c r="DG35" s="74">
        <v>5</v>
      </c>
      <c r="DH35" s="74">
        <v>6</v>
      </c>
      <c r="DI35" s="74">
        <v>4</v>
      </c>
      <c r="DJ35" s="74">
        <v>2</v>
      </c>
      <c r="DK35" s="74">
        <v>0</v>
      </c>
      <c r="DL35" s="74">
        <v>0</v>
      </c>
      <c r="DM35" s="74">
        <v>19</v>
      </c>
      <c r="DO35" s="74">
        <v>1421700</v>
      </c>
      <c r="DP35" s="74" t="s">
        <v>270</v>
      </c>
      <c r="DQ35" s="74" t="s">
        <v>264</v>
      </c>
      <c r="DR35" s="74"/>
      <c r="DS35" s="74">
        <v>0</v>
      </c>
      <c r="DT35" s="74">
        <v>2</v>
      </c>
      <c r="DU35" s="74">
        <v>3</v>
      </c>
      <c r="DV35" s="74">
        <v>2</v>
      </c>
      <c r="DW35" s="74">
        <v>1</v>
      </c>
      <c r="DX35" s="74">
        <v>0</v>
      </c>
      <c r="DY35" s="74">
        <v>0</v>
      </c>
      <c r="DZ35" s="74">
        <v>8</v>
      </c>
      <c r="EA35" s="74"/>
      <c r="EB35" s="74">
        <v>1421700</v>
      </c>
      <c r="EC35" s="74" t="s">
        <v>270</v>
      </c>
      <c r="ED35" s="74" t="s">
        <v>264</v>
      </c>
      <c r="EE35" s="74"/>
      <c r="EF35" s="74">
        <v>0</v>
      </c>
      <c r="EG35" s="74">
        <v>2</v>
      </c>
      <c r="EH35" s="74">
        <v>3</v>
      </c>
      <c r="EI35" s="74">
        <v>2</v>
      </c>
      <c r="EJ35" s="74">
        <v>1</v>
      </c>
      <c r="EK35" s="74">
        <v>0</v>
      </c>
      <c r="EL35" s="74">
        <v>0</v>
      </c>
      <c r="EM35" s="74">
        <v>8</v>
      </c>
      <c r="EO35" s="74">
        <v>1421800</v>
      </c>
      <c r="EP35" s="74" t="s">
        <v>270</v>
      </c>
      <c r="EQ35" s="74" t="s">
        <v>264</v>
      </c>
      <c r="ER35" s="74"/>
      <c r="ES35" s="74">
        <v>51</v>
      </c>
      <c r="ET35" s="74">
        <v>114</v>
      </c>
      <c r="EU35" s="74">
        <v>128</v>
      </c>
      <c r="EV35" s="74">
        <v>121</v>
      </c>
      <c r="EW35" s="74">
        <v>86</v>
      </c>
      <c r="EX35" s="74">
        <v>71</v>
      </c>
      <c r="EY35" s="74">
        <v>0</v>
      </c>
      <c r="EZ35" s="74">
        <v>571</v>
      </c>
      <c r="FB35" s="74">
        <v>1421802</v>
      </c>
      <c r="FC35" s="74" t="s">
        <v>270</v>
      </c>
      <c r="FD35" s="74" t="s">
        <v>264</v>
      </c>
      <c r="FE35" s="74"/>
      <c r="FF35" s="74">
        <v>0</v>
      </c>
      <c r="FG35" s="74">
        <v>4</v>
      </c>
      <c r="FH35" s="74">
        <v>8</v>
      </c>
      <c r="FI35" s="74">
        <v>8</v>
      </c>
      <c r="FJ35" s="74">
        <v>7</v>
      </c>
      <c r="FK35" s="74">
        <v>5</v>
      </c>
      <c r="FL35" s="74">
        <v>0</v>
      </c>
      <c r="FM35" s="74">
        <v>32</v>
      </c>
      <c r="FO35" s="74">
        <v>1421802</v>
      </c>
      <c r="FP35" s="74" t="s">
        <v>270</v>
      </c>
      <c r="FQ35" s="74" t="s">
        <v>264</v>
      </c>
      <c r="FR35" s="74"/>
      <c r="FS35" s="74">
        <v>0</v>
      </c>
      <c r="FT35" s="74">
        <v>4</v>
      </c>
      <c r="FU35" s="74">
        <v>8</v>
      </c>
      <c r="FV35" s="74">
        <v>8</v>
      </c>
      <c r="FW35" s="74">
        <v>7</v>
      </c>
      <c r="FX35" s="74">
        <v>5</v>
      </c>
      <c r="FY35" s="74">
        <v>0</v>
      </c>
      <c r="FZ35" s="74">
        <v>32</v>
      </c>
      <c r="GB35" s="74">
        <v>1421802</v>
      </c>
      <c r="GC35" s="74" t="s">
        <v>270</v>
      </c>
      <c r="GD35" s="74" t="s">
        <v>264</v>
      </c>
      <c r="GE35" s="74"/>
      <c r="GF35" s="74">
        <v>0</v>
      </c>
      <c r="GG35" s="74">
        <v>4</v>
      </c>
      <c r="GH35" s="74">
        <v>8</v>
      </c>
      <c r="GI35" s="74">
        <v>8</v>
      </c>
      <c r="GJ35" s="74">
        <v>7</v>
      </c>
      <c r="GK35" s="74">
        <v>5</v>
      </c>
      <c r="GL35" s="74">
        <v>0</v>
      </c>
      <c r="GM35" s="74">
        <v>32</v>
      </c>
      <c r="GO35" s="441">
        <v>1421802</v>
      </c>
      <c r="GP35" s="74" t="s">
        <v>270</v>
      </c>
      <c r="GQ35" s="74" t="s">
        <v>264</v>
      </c>
      <c r="GR35" s="74"/>
      <c r="GS35" s="74">
        <v>0</v>
      </c>
      <c r="GT35" s="74">
        <v>4</v>
      </c>
      <c r="GU35" s="74">
        <v>8</v>
      </c>
      <c r="GV35" s="74">
        <v>8</v>
      </c>
      <c r="GW35" s="74">
        <v>7</v>
      </c>
      <c r="GX35" s="74">
        <v>5</v>
      </c>
      <c r="GY35" s="74">
        <v>0</v>
      </c>
      <c r="GZ35" s="74">
        <f t="shared" si="10"/>
        <v>32</v>
      </c>
    </row>
    <row r="36" spans="1:209">
      <c r="A36" s="489">
        <v>1421800</v>
      </c>
      <c r="B36" s="478" t="s">
        <v>95</v>
      </c>
      <c r="C36" s="478">
        <v>71</v>
      </c>
      <c r="D36" s="478">
        <v>152</v>
      </c>
      <c r="E36" s="478">
        <v>171</v>
      </c>
      <c r="F36" s="478">
        <v>160</v>
      </c>
      <c r="G36" s="478">
        <v>111</v>
      </c>
      <c r="H36" s="478">
        <v>87</v>
      </c>
      <c r="I36" s="478"/>
      <c r="J36" s="479">
        <f t="shared" ref="J36:J69" si="12">SUM(C36:H36)</f>
        <v>752</v>
      </c>
      <c r="K36" s="480">
        <f>'CORTE 4200'!$O$304</f>
        <v>-76</v>
      </c>
      <c r="L36" s="480">
        <v>50</v>
      </c>
      <c r="M36" s="481"/>
      <c r="N36" s="500"/>
      <c r="O36">
        <v>1421800</v>
      </c>
      <c r="P36" t="s">
        <v>270</v>
      </c>
      <c r="Q36" t="s">
        <v>264</v>
      </c>
      <c r="R36"/>
      <c r="S36">
        <v>71</v>
      </c>
      <c r="T36">
        <v>152</v>
      </c>
      <c r="U36">
        <v>171</v>
      </c>
      <c r="V36">
        <v>160</v>
      </c>
      <c r="W36">
        <v>111</v>
      </c>
      <c r="X36">
        <v>87</v>
      </c>
      <c r="Y36">
        <v>0</v>
      </c>
      <c r="Z36">
        <f t="shared" si="5"/>
        <v>752</v>
      </c>
      <c r="AA36" s="500"/>
      <c r="AB36" s="74">
        <v>1421800</v>
      </c>
      <c r="AC36" s="74" t="s">
        <v>270</v>
      </c>
      <c r="AD36" s="74" t="s">
        <v>264</v>
      </c>
      <c r="AE36"/>
      <c r="AF36" s="74">
        <v>71</v>
      </c>
      <c r="AG36" s="74">
        <v>152</v>
      </c>
      <c r="AH36" s="74">
        <v>171</v>
      </c>
      <c r="AI36" s="74">
        <v>160</v>
      </c>
      <c r="AJ36" s="74">
        <v>111</v>
      </c>
      <c r="AK36" s="74">
        <v>87</v>
      </c>
      <c r="AL36" s="74">
        <v>0</v>
      </c>
      <c r="AM36" s="74">
        <f t="shared" si="1"/>
        <v>752</v>
      </c>
      <c r="AO36" s="74">
        <v>1421800</v>
      </c>
      <c r="AP36" s="74" t="s">
        <v>270</v>
      </c>
      <c r="AQ36" s="74" t="s">
        <v>264</v>
      </c>
      <c r="AR36" s="74"/>
      <c r="AS36" s="74">
        <v>71</v>
      </c>
      <c r="AT36" s="74">
        <v>152</v>
      </c>
      <c r="AU36" s="74">
        <v>171</v>
      </c>
      <c r="AV36" s="74">
        <v>160</v>
      </c>
      <c r="AW36" s="74">
        <v>111</v>
      </c>
      <c r="AX36" s="74">
        <v>87</v>
      </c>
      <c r="AY36" s="74">
        <v>0</v>
      </c>
      <c r="AZ36" s="74">
        <f t="shared" si="6"/>
        <v>752</v>
      </c>
      <c r="BB36" s="74">
        <v>1421800</v>
      </c>
      <c r="BC36" s="74" t="s">
        <v>270</v>
      </c>
      <c r="BD36" s="74" t="s">
        <v>264</v>
      </c>
      <c r="BE36" s="74"/>
      <c r="BF36" s="74">
        <v>63</v>
      </c>
      <c r="BG36" s="74">
        <v>140</v>
      </c>
      <c r="BH36" s="74">
        <v>159</v>
      </c>
      <c r="BI36" s="74">
        <v>148</v>
      </c>
      <c r="BJ36" s="74">
        <v>108</v>
      </c>
      <c r="BK36" s="74">
        <v>84</v>
      </c>
      <c r="BL36" s="74">
        <v>0</v>
      </c>
      <c r="BM36" s="74">
        <f t="shared" si="8"/>
        <v>702</v>
      </c>
      <c r="BO36" s="74">
        <v>1421800</v>
      </c>
      <c r="BP36" s="74" t="s">
        <v>270</v>
      </c>
      <c r="BQ36" s="74" t="s">
        <v>264</v>
      </c>
      <c r="BR36" s="74"/>
      <c r="BS36" s="74">
        <v>63</v>
      </c>
      <c r="BT36" s="74">
        <v>140</v>
      </c>
      <c r="BU36" s="74">
        <v>159</v>
      </c>
      <c r="BV36" s="74">
        <v>148</v>
      </c>
      <c r="BW36" s="74">
        <v>108</v>
      </c>
      <c r="BX36" s="74">
        <v>84</v>
      </c>
      <c r="BY36" s="74">
        <v>0</v>
      </c>
      <c r="BZ36" s="74">
        <f t="shared" si="7"/>
        <v>702</v>
      </c>
      <c r="CB36" s="74">
        <v>1421800</v>
      </c>
      <c r="CC36" s="74" t="s">
        <v>270</v>
      </c>
      <c r="CD36" s="74" t="s">
        <v>264</v>
      </c>
      <c r="CE36" s="74"/>
      <c r="CF36" s="74">
        <v>63</v>
      </c>
      <c r="CG36" s="74">
        <v>140</v>
      </c>
      <c r="CH36" s="74">
        <v>159</v>
      </c>
      <c r="CI36" s="74">
        <v>148</v>
      </c>
      <c r="CJ36" s="74">
        <v>108</v>
      </c>
      <c r="CK36" s="74">
        <v>84</v>
      </c>
      <c r="CL36" s="74">
        <v>0</v>
      </c>
      <c r="CM36" s="74">
        <f t="shared" si="2"/>
        <v>702</v>
      </c>
      <c r="CO36" s="74">
        <v>1421800</v>
      </c>
      <c r="CP36" s="74" t="s">
        <v>270</v>
      </c>
      <c r="CQ36" s="74" t="s">
        <v>264</v>
      </c>
      <c r="CR36" s="74"/>
      <c r="CS36" s="74">
        <v>63</v>
      </c>
      <c r="CT36" s="74">
        <v>135</v>
      </c>
      <c r="CU36" s="74">
        <v>154</v>
      </c>
      <c r="CV36" s="74">
        <v>142</v>
      </c>
      <c r="CW36" s="74">
        <v>103</v>
      </c>
      <c r="CX36" s="74">
        <v>81</v>
      </c>
      <c r="CY36" s="74">
        <v>0</v>
      </c>
      <c r="CZ36" s="74">
        <v>678</v>
      </c>
      <c r="DB36" s="74">
        <v>1421800</v>
      </c>
      <c r="DC36" s="74" t="s">
        <v>270</v>
      </c>
      <c r="DD36" s="74" t="s">
        <v>264</v>
      </c>
      <c r="DE36" s="74"/>
      <c r="DF36" s="74">
        <v>56</v>
      </c>
      <c r="DG36" s="74">
        <v>124</v>
      </c>
      <c r="DH36" s="74">
        <v>142</v>
      </c>
      <c r="DI36" s="74">
        <v>131</v>
      </c>
      <c r="DJ36" s="74">
        <v>93</v>
      </c>
      <c r="DK36" s="74">
        <v>76</v>
      </c>
      <c r="DL36" s="74">
        <v>0</v>
      </c>
      <c r="DM36" s="74">
        <v>622</v>
      </c>
      <c r="DO36" s="74">
        <v>1421800</v>
      </c>
      <c r="DP36" s="74" t="s">
        <v>270</v>
      </c>
      <c r="DQ36" s="74" t="s">
        <v>264</v>
      </c>
      <c r="DR36" s="74"/>
      <c r="DS36" s="74">
        <v>52</v>
      </c>
      <c r="DT36" s="74">
        <v>116</v>
      </c>
      <c r="DU36" s="74">
        <v>130</v>
      </c>
      <c r="DV36" s="74">
        <v>123</v>
      </c>
      <c r="DW36" s="74">
        <v>87</v>
      </c>
      <c r="DX36" s="74">
        <v>72</v>
      </c>
      <c r="DY36" s="74">
        <v>0</v>
      </c>
      <c r="DZ36" s="74">
        <v>580</v>
      </c>
      <c r="EA36" s="74"/>
      <c r="EB36" s="74">
        <v>1421800</v>
      </c>
      <c r="EC36" s="74" t="s">
        <v>270</v>
      </c>
      <c r="ED36" s="74" t="s">
        <v>264</v>
      </c>
      <c r="EE36" s="74"/>
      <c r="EF36" s="74">
        <v>52</v>
      </c>
      <c r="EG36" s="74">
        <v>116</v>
      </c>
      <c r="EH36" s="74">
        <v>130</v>
      </c>
      <c r="EI36" s="74">
        <v>123</v>
      </c>
      <c r="EJ36" s="74">
        <v>87</v>
      </c>
      <c r="EK36" s="74">
        <v>72</v>
      </c>
      <c r="EL36" s="74">
        <v>0</v>
      </c>
      <c r="EM36" s="74">
        <v>580</v>
      </c>
      <c r="EO36" s="74">
        <v>1421801</v>
      </c>
      <c r="EP36" s="74" t="s">
        <v>270</v>
      </c>
      <c r="EQ36" s="74" t="s">
        <v>264</v>
      </c>
      <c r="ER36" s="74"/>
      <c r="ES36" s="74">
        <v>33</v>
      </c>
      <c r="ET36" s="74">
        <v>68</v>
      </c>
      <c r="EU36" s="74">
        <v>69</v>
      </c>
      <c r="EV36" s="74">
        <v>65</v>
      </c>
      <c r="EW36" s="74">
        <v>47</v>
      </c>
      <c r="EX36" s="74">
        <v>34</v>
      </c>
      <c r="EY36" s="74">
        <v>0</v>
      </c>
      <c r="EZ36" s="74">
        <v>316</v>
      </c>
      <c r="FB36" s="74">
        <v>1421900</v>
      </c>
      <c r="FC36" s="74" t="s">
        <v>263</v>
      </c>
      <c r="FD36" s="74" t="s">
        <v>264</v>
      </c>
      <c r="FE36" s="74"/>
      <c r="FF36" s="74">
        <v>0</v>
      </c>
      <c r="FG36" s="74">
        <v>2</v>
      </c>
      <c r="FH36" s="74">
        <v>4</v>
      </c>
      <c r="FI36" s="74">
        <v>4</v>
      </c>
      <c r="FJ36" s="74">
        <v>4</v>
      </c>
      <c r="FK36" s="74">
        <v>3</v>
      </c>
      <c r="FL36" s="74">
        <v>0</v>
      </c>
      <c r="FM36" s="74">
        <v>17</v>
      </c>
      <c r="FO36" s="74">
        <v>1421900</v>
      </c>
      <c r="FP36" s="74" t="s">
        <v>263</v>
      </c>
      <c r="FQ36" s="74" t="s">
        <v>264</v>
      </c>
      <c r="FR36" s="74"/>
      <c r="FS36" s="74">
        <v>0</v>
      </c>
      <c r="FT36" s="74">
        <v>2</v>
      </c>
      <c r="FU36" s="74">
        <v>4</v>
      </c>
      <c r="FV36" s="74">
        <v>4</v>
      </c>
      <c r="FW36" s="74">
        <v>4</v>
      </c>
      <c r="FX36" s="74">
        <v>3</v>
      </c>
      <c r="FY36" s="74">
        <v>0</v>
      </c>
      <c r="FZ36" s="74">
        <v>17</v>
      </c>
      <c r="GB36" s="74">
        <v>1421900</v>
      </c>
      <c r="GC36" s="74" t="s">
        <v>263</v>
      </c>
      <c r="GD36" s="74" t="s">
        <v>264</v>
      </c>
      <c r="GE36" s="74"/>
      <c r="GF36" s="74">
        <v>0</v>
      </c>
      <c r="GG36" s="74">
        <v>2</v>
      </c>
      <c r="GH36" s="74">
        <v>4</v>
      </c>
      <c r="GI36" s="74">
        <v>4</v>
      </c>
      <c r="GJ36" s="74">
        <v>4</v>
      </c>
      <c r="GK36" s="74">
        <v>3</v>
      </c>
      <c r="GL36" s="74">
        <v>0</v>
      </c>
      <c r="GM36" s="74">
        <v>17</v>
      </c>
      <c r="GO36" s="442">
        <v>1421900</v>
      </c>
      <c r="GP36" s="74" t="s">
        <v>263</v>
      </c>
      <c r="GQ36" s="74" t="s">
        <v>264</v>
      </c>
      <c r="GR36" s="74"/>
      <c r="GS36" s="74">
        <v>0</v>
      </c>
      <c r="GT36" s="74">
        <v>2</v>
      </c>
      <c r="GU36" s="74">
        <v>4</v>
      </c>
      <c r="GV36" s="74">
        <v>4</v>
      </c>
      <c r="GW36" s="74">
        <v>4</v>
      </c>
      <c r="GX36" s="74">
        <v>3</v>
      </c>
      <c r="GY36" s="74">
        <v>0</v>
      </c>
      <c r="GZ36" s="74">
        <f t="shared" si="10"/>
        <v>17</v>
      </c>
    </row>
    <row r="37" spans="1:209">
      <c r="A37" s="489">
        <v>1421801</v>
      </c>
      <c r="B37" s="478" t="s">
        <v>95</v>
      </c>
      <c r="C37" s="478">
        <v>42</v>
      </c>
      <c r="D37" s="478">
        <v>84</v>
      </c>
      <c r="E37" s="478">
        <v>86</v>
      </c>
      <c r="F37" s="478">
        <v>79</v>
      </c>
      <c r="G37" s="478">
        <v>57</v>
      </c>
      <c r="H37" s="478">
        <v>40</v>
      </c>
      <c r="I37" s="478"/>
      <c r="J37" s="479">
        <f>SUM(C37:H37)</f>
        <v>388</v>
      </c>
      <c r="K37" s="480">
        <f>'CORTE 4200'!$O$313</f>
        <v>-34</v>
      </c>
      <c r="L37" s="480"/>
      <c r="M37" s="481"/>
      <c r="N37" s="500"/>
      <c r="O37">
        <v>1421801</v>
      </c>
      <c r="P37" t="s">
        <v>270</v>
      </c>
      <c r="Q37" t="s">
        <v>264</v>
      </c>
      <c r="R37"/>
      <c r="S37">
        <v>42</v>
      </c>
      <c r="T37">
        <v>84</v>
      </c>
      <c r="U37">
        <v>86</v>
      </c>
      <c r="V37">
        <v>79</v>
      </c>
      <c r="W37">
        <v>57</v>
      </c>
      <c r="X37">
        <v>40</v>
      </c>
      <c r="Y37">
        <v>0</v>
      </c>
      <c r="Z37">
        <f t="shared" si="5"/>
        <v>388</v>
      </c>
      <c r="AA37" s="500"/>
      <c r="AB37" s="74">
        <v>1421801</v>
      </c>
      <c r="AC37" s="74" t="s">
        <v>270</v>
      </c>
      <c r="AD37" s="74" t="s">
        <v>264</v>
      </c>
      <c r="AE37"/>
      <c r="AF37" s="74">
        <v>42</v>
      </c>
      <c r="AG37" s="74">
        <v>84</v>
      </c>
      <c r="AH37" s="74">
        <v>86</v>
      </c>
      <c r="AI37" s="74">
        <v>79</v>
      </c>
      <c r="AJ37" s="74">
        <v>57</v>
      </c>
      <c r="AK37" s="74">
        <v>40</v>
      </c>
      <c r="AL37" s="74">
        <v>0</v>
      </c>
      <c r="AM37" s="74">
        <f t="shared" si="1"/>
        <v>388</v>
      </c>
      <c r="AO37" s="74">
        <v>1421801</v>
      </c>
      <c r="AP37" s="74" t="s">
        <v>270</v>
      </c>
      <c r="AQ37" s="74" t="s">
        <v>264</v>
      </c>
      <c r="AR37" s="74"/>
      <c r="AS37" s="74">
        <v>40</v>
      </c>
      <c r="AT37" s="74">
        <v>79</v>
      </c>
      <c r="AU37" s="74">
        <v>81</v>
      </c>
      <c r="AV37" s="74">
        <v>75</v>
      </c>
      <c r="AW37" s="74">
        <v>53</v>
      </c>
      <c r="AX37" s="74">
        <v>36</v>
      </c>
      <c r="AY37" s="74">
        <v>0</v>
      </c>
      <c r="AZ37" s="74">
        <f t="shared" si="6"/>
        <v>364</v>
      </c>
      <c r="BB37" s="74">
        <v>1421801</v>
      </c>
      <c r="BC37" s="74" t="s">
        <v>270</v>
      </c>
      <c r="BD37" s="74" t="s">
        <v>264</v>
      </c>
      <c r="BE37" s="74"/>
      <c r="BF37" s="74">
        <v>39</v>
      </c>
      <c r="BG37" s="74">
        <v>77</v>
      </c>
      <c r="BH37" s="74">
        <v>78</v>
      </c>
      <c r="BI37" s="74">
        <v>73</v>
      </c>
      <c r="BJ37" s="74">
        <v>52</v>
      </c>
      <c r="BK37" s="74">
        <v>35</v>
      </c>
      <c r="BL37" s="74">
        <v>0</v>
      </c>
      <c r="BM37" s="74">
        <f t="shared" si="8"/>
        <v>354</v>
      </c>
      <c r="BO37" s="74">
        <v>1421801</v>
      </c>
      <c r="BP37" s="74" t="s">
        <v>270</v>
      </c>
      <c r="BQ37" s="74" t="s">
        <v>264</v>
      </c>
      <c r="BR37" s="74"/>
      <c r="BS37" s="74">
        <v>39</v>
      </c>
      <c r="BT37" s="74">
        <v>77</v>
      </c>
      <c r="BU37" s="74">
        <v>78</v>
      </c>
      <c r="BV37" s="74">
        <v>73</v>
      </c>
      <c r="BW37" s="74">
        <v>52</v>
      </c>
      <c r="BX37" s="74">
        <v>35</v>
      </c>
      <c r="BY37" s="74">
        <v>0</v>
      </c>
      <c r="BZ37" s="74">
        <f t="shared" si="7"/>
        <v>354</v>
      </c>
      <c r="CB37" s="74">
        <v>1421801</v>
      </c>
      <c r="CC37" s="74" t="s">
        <v>270</v>
      </c>
      <c r="CD37" s="74" t="s">
        <v>264</v>
      </c>
      <c r="CE37" s="74"/>
      <c r="CF37" s="74">
        <v>39</v>
      </c>
      <c r="CG37" s="74">
        <v>77</v>
      </c>
      <c r="CH37" s="74">
        <v>78</v>
      </c>
      <c r="CI37" s="74">
        <v>73</v>
      </c>
      <c r="CJ37" s="74">
        <v>52</v>
      </c>
      <c r="CK37" s="74">
        <v>35</v>
      </c>
      <c r="CL37" s="74">
        <v>0</v>
      </c>
      <c r="CM37" s="74">
        <f t="shared" si="2"/>
        <v>354</v>
      </c>
      <c r="CO37" s="74">
        <v>1421801</v>
      </c>
      <c r="CP37" s="74" t="s">
        <v>270</v>
      </c>
      <c r="CQ37" s="74" t="s">
        <v>264</v>
      </c>
      <c r="CR37" s="74"/>
      <c r="CS37" s="74">
        <v>39</v>
      </c>
      <c r="CT37" s="74">
        <v>77</v>
      </c>
      <c r="CU37" s="74">
        <v>78</v>
      </c>
      <c r="CV37" s="74">
        <v>73</v>
      </c>
      <c r="CW37" s="74">
        <v>52</v>
      </c>
      <c r="CX37" s="74">
        <v>35</v>
      </c>
      <c r="CY37" s="74">
        <v>0</v>
      </c>
      <c r="CZ37" s="74">
        <v>354</v>
      </c>
      <c r="DB37" s="74">
        <v>1421801</v>
      </c>
      <c r="DC37" s="74" t="s">
        <v>270</v>
      </c>
      <c r="DD37" s="74" t="s">
        <v>264</v>
      </c>
      <c r="DE37" s="74"/>
      <c r="DF37" s="74">
        <v>38</v>
      </c>
      <c r="DG37" s="74">
        <v>75</v>
      </c>
      <c r="DH37" s="74">
        <v>76</v>
      </c>
      <c r="DI37" s="74">
        <v>71</v>
      </c>
      <c r="DJ37" s="74">
        <v>51</v>
      </c>
      <c r="DK37" s="74">
        <v>35</v>
      </c>
      <c r="DL37" s="74">
        <v>0</v>
      </c>
      <c r="DM37" s="74">
        <v>346</v>
      </c>
      <c r="DO37" s="74">
        <v>1421801</v>
      </c>
      <c r="DP37" s="74" t="s">
        <v>270</v>
      </c>
      <c r="DQ37" s="74" t="s">
        <v>264</v>
      </c>
      <c r="DR37" s="74"/>
      <c r="DS37" s="74">
        <v>35</v>
      </c>
      <c r="DT37" s="74">
        <v>71</v>
      </c>
      <c r="DU37" s="74">
        <v>72</v>
      </c>
      <c r="DV37" s="74">
        <v>68</v>
      </c>
      <c r="DW37" s="74">
        <v>49</v>
      </c>
      <c r="DX37" s="74">
        <v>35</v>
      </c>
      <c r="DY37" s="74">
        <v>0</v>
      </c>
      <c r="DZ37" s="74">
        <v>330</v>
      </c>
      <c r="EA37" s="74"/>
      <c r="EB37" s="74">
        <v>1421801</v>
      </c>
      <c r="EC37" s="74" t="s">
        <v>270</v>
      </c>
      <c r="ED37" s="74" t="s">
        <v>264</v>
      </c>
      <c r="EE37" s="74"/>
      <c r="EF37" s="74">
        <v>35</v>
      </c>
      <c r="EG37" s="74">
        <v>71</v>
      </c>
      <c r="EH37" s="74">
        <v>72</v>
      </c>
      <c r="EI37" s="74">
        <v>68</v>
      </c>
      <c r="EJ37" s="74">
        <v>49</v>
      </c>
      <c r="EK37" s="74">
        <v>35</v>
      </c>
      <c r="EL37" s="74">
        <v>0</v>
      </c>
      <c r="EM37" s="74">
        <v>330</v>
      </c>
      <c r="EO37" s="74">
        <v>1421802</v>
      </c>
      <c r="EP37" s="74" t="s">
        <v>270</v>
      </c>
      <c r="EQ37" s="74" t="s">
        <v>264</v>
      </c>
      <c r="ER37" s="74"/>
      <c r="ES37" s="74">
        <v>0</v>
      </c>
      <c r="ET37" s="74">
        <v>4</v>
      </c>
      <c r="EU37" s="74">
        <v>8</v>
      </c>
      <c r="EV37" s="74">
        <v>8</v>
      </c>
      <c r="EW37" s="74">
        <v>7</v>
      </c>
      <c r="EX37" s="74">
        <v>5</v>
      </c>
      <c r="EY37" s="74">
        <v>0</v>
      </c>
      <c r="EZ37" s="74">
        <v>32</v>
      </c>
      <c r="FB37" s="74">
        <v>1421901</v>
      </c>
      <c r="FC37" s="74" t="s">
        <v>263</v>
      </c>
      <c r="FD37" s="74" t="s">
        <v>264</v>
      </c>
      <c r="FE37" s="74"/>
      <c r="FF37" s="74">
        <v>1</v>
      </c>
      <c r="FG37" s="74">
        <v>4</v>
      </c>
      <c r="FH37" s="74">
        <v>6</v>
      </c>
      <c r="FI37" s="74">
        <v>6</v>
      </c>
      <c r="FJ37" s="74">
        <v>6</v>
      </c>
      <c r="FK37" s="74">
        <v>5</v>
      </c>
      <c r="FL37" s="74">
        <v>0</v>
      </c>
      <c r="FM37" s="74">
        <v>28</v>
      </c>
      <c r="FO37" s="74">
        <v>1421901</v>
      </c>
      <c r="FP37" s="74" t="s">
        <v>263</v>
      </c>
      <c r="FQ37" s="74" t="s">
        <v>264</v>
      </c>
      <c r="FR37" s="74"/>
      <c r="FS37" s="74">
        <v>1</v>
      </c>
      <c r="FT37" s="74">
        <v>4</v>
      </c>
      <c r="FU37" s="74">
        <v>6</v>
      </c>
      <c r="FV37" s="74">
        <v>6</v>
      </c>
      <c r="FW37" s="74">
        <v>6</v>
      </c>
      <c r="FX37" s="74">
        <v>5</v>
      </c>
      <c r="FY37" s="74">
        <v>0</v>
      </c>
      <c r="FZ37" s="74">
        <v>28</v>
      </c>
      <c r="GB37" s="74">
        <v>1421901</v>
      </c>
      <c r="GC37" s="74" t="s">
        <v>263</v>
      </c>
      <c r="GD37" s="74" t="s">
        <v>264</v>
      </c>
      <c r="GE37" s="74"/>
      <c r="GF37" s="74">
        <v>0</v>
      </c>
      <c r="GG37" s="74">
        <v>2</v>
      </c>
      <c r="GH37" s="74">
        <v>4</v>
      </c>
      <c r="GI37" s="74">
        <v>4</v>
      </c>
      <c r="GJ37" s="74">
        <v>4</v>
      </c>
      <c r="GK37" s="74">
        <v>3</v>
      </c>
      <c r="GL37" s="74">
        <v>0</v>
      </c>
      <c r="GM37" s="74">
        <v>17</v>
      </c>
      <c r="GO37" s="442">
        <v>1421901</v>
      </c>
      <c r="GP37" s="74" t="s">
        <v>263</v>
      </c>
      <c r="GQ37" s="74" t="s">
        <v>264</v>
      </c>
      <c r="GR37" s="74"/>
      <c r="GS37" s="74">
        <v>0</v>
      </c>
      <c r="GT37" s="74">
        <v>2</v>
      </c>
      <c r="GU37" s="74">
        <v>4</v>
      </c>
      <c r="GV37" s="74">
        <v>4</v>
      </c>
      <c r="GW37" s="74">
        <v>4</v>
      </c>
      <c r="GX37" s="74">
        <v>3</v>
      </c>
      <c r="GY37" s="74">
        <v>0</v>
      </c>
      <c r="GZ37" s="74">
        <f t="shared" si="10"/>
        <v>17</v>
      </c>
    </row>
    <row r="38" spans="1:209">
      <c r="A38" s="489">
        <v>1421802</v>
      </c>
      <c r="B38" s="478" t="s">
        <v>95</v>
      </c>
      <c r="C38" s="478">
        <v>0</v>
      </c>
      <c r="D38" s="478">
        <v>4</v>
      </c>
      <c r="E38" s="478">
        <v>8</v>
      </c>
      <c r="F38" s="478">
        <v>8</v>
      </c>
      <c r="G38" s="478">
        <v>7</v>
      </c>
      <c r="H38" s="478">
        <v>5</v>
      </c>
      <c r="I38" s="478"/>
      <c r="J38" s="479">
        <f>SUM(C38:H38)</f>
        <v>32</v>
      </c>
      <c r="K38" s="480">
        <f>'CORTE 4200'!$O$322</f>
        <v>0</v>
      </c>
      <c r="L38" s="480"/>
      <c r="M38" s="481"/>
      <c r="N38" s="500"/>
      <c r="O38">
        <v>1421802</v>
      </c>
      <c r="P38" t="s">
        <v>270</v>
      </c>
      <c r="Q38" t="s">
        <v>264</v>
      </c>
      <c r="R38"/>
      <c r="S38">
        <v>0</v>
      </c>
      <c r="T38">
        <v>4</v>
      </c>
      <c r="U38">
        <v>8</v>
      </c>
      <c r="V38">
        <v>8</v>
      </c>
      <c r="W38">
        <v>7</v>
      </c>
      <c r="X38">
        <v>5</v>
      </c>
      <c r="Y38">
        <v>0</v>
      </c>
      <c r="Z38">
        <f t="shared" si="5"/>
        <v>32</v>
      </c>
      <c r="AA38" s="500"/>
      <c r="AB38" s="74">
        <v>1421802</v>
      </c>
      <c r="AC38" s="74" t="s">
        <v>270</v>
      </c>
      <c r="AD38" s="74" t="s">
        <v>264</v>
      </c>
      <c r="AE38"/>
      <c r="AF38" s="74">
        <v>0</v>
      </c>
      <c r="AG38" s="74">
        <v>4</v>
      </c>
      <c r="AH38" s="74">
        <v>8</v>
      </c>
      <c r="AI38" s="74">
        <v>8</v>
      </c>
      <c r="AJ38" s="74">
        <v>7</v>
      </c>
      <c r="AK38" s="74">
        <v>5</v>
      </c>
      <c r="AL38" s="74">
        <v>0</v>
      </c>
      <c r="AM38" s="74">
        <f t="shared" si="1"/>
        <v>32</v>
      </c>
      <c r="AO38" s="74">
        <v>1421802</v>
      </c>
      <c r="AP38" s="74" t="s">
        <v>270</v>
      </c>
      <c r="AQ38" s="74" t="s">
        <v>264</v>
      </c>
      <c r="AR38" s="74"/>
      <c r="AS38" s="74">
        <v>0</v>
      </c>
      <c r="AT38" s="74">
        <v>4</v>
      </c>
      <c r="AU38" s="74">
        <v>8</v>
      </c>
      <c r="AV38" s="74">
        <v>8</v>
      </c>
      <c r="AW38" s="74">
        <v>7</v>
      </c>
      <c r="AX38" s="74">
        <v>5</v>
      </c>
      <c r="AY38" s="74">
        <v>0</v>
      </c>
      <c r="AZ38" s="74">
        <f t="shared" si="6"/>
        <v>32</v>
      </c>
      <c r="BB38" s="74">
        <v>1421802</v>
      </c>
      <c r="BC38" s="74" t="s">
        <v>270</v>
      </c>
      <c r="BD38" s="74" t="s">
        <v>264</v>
      </c>
      <c r="BE38" s="74"/>
      <c r="BF38" s="74">
        <v>0</v>
      </c>
      <c r="BG38" s="74">
        <v>4</v>
      </c>
      <c r="BH38" s="74">
        <v>8</v>
      </c>
      <c r="BI38" s="74">
        <v>8</v>
      </c>
      <c r="BJ38" s="74">
        <v>7</v>
      </c>
      <c r="BK38" s="74">
        <v>5</v>
      </c>
      <c r="BL38" s="74">
        <v>0</v>
      </c>
      <c r="BM38" s="74">
        <f t="shared" si="8"/>
        <v>32</v>
      </c>
      <c r="BO38" s="74">
        <v>1421802</v>
      </c>
      <c r="BP38" s="74" t="s">
        <v>270</v>
      </c>
      <c r="BQ38" s="74" t="s">
        <v>264</v>
      </c>
      <c r="BR38" s="74"/>
      <c r="BS38" s="74">
        <v>0</v>
      </c>
      <c r="BT38" s="74">
        <v>4</v>
      </c>
      <c r="BU38" s="74">
        <v>8</v>
      </c>
      <c r="BV38" s="74">
        <v>8</v>
      </c>
      <c r="BW38" s="74">
        <v>7</v>
      </c>
      <c r="BX38" s="74">
        <v>5</v>
      </c>
      <c r="BY38" s="74">
        <v>0</v>
      </c>
      <c r="BZ38" s="74">
        <f t="shared" si="7"/>
        <v>32</v>
      </c>
      <c r="CB38" s="74">
        <v>1421802</v>
      </c>
      <c r="CC38" s="74" t="s">
        <v>270</v>
      </c>
      <c r="CD38" s="74" t="s">
        <v>264</v>
      </c>
      <c r="CE38" s="74"/>
      <c r="CF38" s="74">
        <v>0</v>
      </c>
      <c r="CG38" s="74">
        <v>4</v>
      </c>
      <c r="CH38" s="74">
        <v>8</v>
      </c>
      <c r="CI38" s="74">
        <v>8</v>
      </c>
      <c r="CJ38" s="74">
        <v>7</v>
      </c>
      <c r="CK38" s="74">
        <v>5</v>
      </c>
      <c r="CL38" s="74">
        <v>0</v>
      </c>
      <c r="CM38" s="74">
        <f t="shared" si="2"/>
        <v>32</v>
      </c>
      <c r="CO38" s="74">
        <v>1421802</v>
      </c>
      <c r="CP38" s="74" t="s">
        <v>270</v>
      </c>
      <c r="CQ38" s="74" t="s">
        <v>264</v>
      </c>
      <c r="CR38" s="74"/>
      <c r="CS38" s="74">
        <v>0</v>
      </c>
      <c r="CT38" s="74">
        <v>4</v>
      </c>
      <c r="CU38" s="74">
        <v>8</v>
      </c>
      <c r="CV38" s="74">
        <v>8</v>
      </c>
      <c r="CW38" s="74">
        <v>7</v>
      </c>
      <c r="CX38" s="74">
        <v>5</v>
      </c>
      <c r="CY38" s="74">
        <v>0</v>
      </c>
      <c r="CZ38" s="74">
        <v>32</v>
      </c>
      <c r="DB38" s="74">
        <v>1421802</v>
      </c>
      <c r="DC38" s="74" t="s">
        <v>270</v>
      </c>
      <c r="DD38" s="74" t="s">
        <v>264</v>
      </c>
      <c r="DE38" s="74"/>
      <c r="DF38" s="74">
        <v>0</v>
      </c>
      <c r="DG38" s="74">
        <v>4</v>
      </c>
      <c r="DH38" s="74">
        <v>8</v>
      </c>
      <c r="DI38" s="74">
        <v>8</v>
      </c>
      <c r="DJ38" s="74">
        <v>7</v>
      </c>
      <c r="DK38" s="74">
        <v>5</v>
      </c>
      <c r="DL38" s="74">
        <v>0</v>
      </c>
      <c r="DM38" s="74">
        <v>32</v>
      </c>
      <c r="DO38" s="74">
        <v>1421802</v>
      </c>
      <c r="DP38" s="74" t="s">
        <v>270</v>
      </c>
      <c r="DQ38" s="74" t="s">
        <v>264</v>
      </c>
      <c r="DR38" s="74"/>
      <c r="DS38" s="74">
        <v>0</v>
      </c>
      <c r="DT38" s="74">
        <v>4</v>
      </c>
      <c r="DU38" s="74">
        <v>8</v>
      </c>
      <c r="DV38" s="74">
        <v>8</v>
      </c>
      <c r="DW38" s="74">
        <v>7</v>
      </c>
      <c r="DX38" s="74">
        <v>5</v>
      </c>
      <c r="DY38" s="74">
        <v>0</v>
      </c>
      <c r="DZ38" s="74">
        <v>32</v>
      </c>
      <c r="EA38" s="74"/>
      <c r="EB38" s="74">
        <v>1421802</v>
      </c>
      <c r="EC38" s="74" t="s">
        <v>270</v>
      </c>
      <c r="ED38" s="74" t="s">
        <v>264</v>
      </c>
      <c r="EE38" s="74"/>
      <c r="EF38" s="74">
        <v>0</v>
      </c>
      <c r="EG38" s="74">
        <v>4</v>
      </c>
      <c r="EH38" s="74">
        <v>8</v>
      </c>
      <c r="EI38" s="74">
        <v>8</v>
      </c>
      <c r="EJ38" s="74">
        <v>7</v>
      </c>
      <c r="EK38" s="74">
        <v>5</v>
      </c>
      <c r="EL38" s="74">
        <v>0</v>
      </c>
      <c r="EM38" s="74">
        <v>32</v>
      </c>
      <c r="EO38" s="74">
        <v>1421900</v>
      </c>
      <c r="EP38" s="74" t="s">
        <v>263</v>
      </c>
      <c r="EQ38" s="74" t="s">
        <v>264</v>
      </c>
      <c r="ER38" s="74"/>
      <c r="ES38" s="74">
        <v>0</v>
      </c>
      <c r="ET38" s="74">
        <v>4</v>
      </c>
      <c r="EU38" s="74">
        <v>7</v>
      </c>
      <c r="EV38" s="74">
        <v>6</v>
      </c>
      <c r="EW38" s="74">
        <v>5</v>
      </c>
      <c r="EX38" s="74">
        <v>3</v>
      </c>
      <c r="EY38" s="74">
        <v>0</v>
      </c>
      <c r="EZ38" s="74">
        <v>25</v>
      </c>
      <c r="FB38" s="74">
        <v>1421902</v>
      </c>
      <c r="FC38" s="74" t="s">
        <v>263</v>
      </c>
      <c r="FD38" s="74" t="s">
        <v>264</v>
      </c>
      <c r="FE38" s="74"/>
      <c r="FF38" s="74">
        <v>3</v>
      </c>
      <c r="FG38" s="74">
        <v>4</v>
      </c>
      <c r="FH38" s="74">
        <v>2</v>
      </c>
      <c r="FI38" s="74">
        <v>2</v>
      </c>
      <c r="FJ38" s="74">
        <v>1</v>
      </c>
      <c r="FK38" s="74">
        <v>0</v>
      </c>
      <c r="FL38" s="74">
        <v>0</v>
      </c>
      <c r="FM38" s="74">
        <v>12</v>
      </c>
      <c r="FO38" s="74">
        <v>1421902</v>
      </c>
      <c r="FP38" s="74" t="s">
        <v>263</v>
      </c>
      <c r="FQ38" s="74" t="s">
        <v>264</v>
      </c>
      <c r="FR38" s="74"/>
      <c r="FS38" s="74">
        <v>3</v>
      </c>
      <c r="FT38" s="74">
        <v>4</v>
      </c>
      <c r="FU38" s="74">
        <v>2</v>
      </c>
      <c r="FV38" s="74">
        <v>2</v>
      </c>
      <c r="FW38" s="74">
        <v>1</v>
      </c>
      <c r="FX38" s="74">
        <v>0</v>
      </c>
      <c r="FY38" s="74">
        <v>0</v>
      </c>
      <c r="FZ38" s="74">
        <v>12</v>
      </c>
      <c r="GB38" s="74">
        <v>1421902</v>
      </c>
      <c r="GC38" s="74" t="s">
        <v>263</v>
      </c>
      <c r="GD38" s="74" t="s">
        <v>264</v>
      </c>
      <c r="GE38" s="74"/>
      <c r="GF38" s="74">
        <v>3</v>
      </c>
      <c r="GG38" s="74">
        <v>4</v>
      </c>
      <c r="GH38" s="74">
        <v>2</v>
      </c>
      <c r="GI38" s="74">
        <v>2</v>
      </c>
      <c r="GJ38" s="74">
        <v>1</v>
      </c>
      <c r="GK38" s="74">
        <v>0</v>
      </c>
      <c r="GL38" s="74">
        <v>0</v>
      </c>
      <c r="GM38" s="74">
        <v>12</v>
      </c>
      <c r="GO38" s="442">
        <v>1421902</v>
      </c>
      <c r="GP38" s="74" t="s">
        <v>263</v>
      </c>
      <c r="GQ38" s="74" t="s">
        <v>264</v>
      </c>
      <c r="GR38" s="74"/>
      <c r="GS38" s="74">
        <v>3</v>
      </c>
      <c r="GT38" s="74">
        <v>4</v>
      </c>
      <c r="GU38" s="74">
        <v>2</v>
      </c>
      <c r="GV38" s="74">
        <v>2</v>
      </c>
      <c r="GW38" s="74">
        <v>1</v>
      </c>
      <c r="GX38" s="74">
        <v>0</v>
      </c>
      <c r="GY38" s="74">
        <v>0</v>
      </c>
      <c r="GZ38" s="74">
        <f t="shared" si="10"/>
        <v>12</v>
      </c>
    </row>
    <row r="39" spans="1:209" s="17" customFormat="1">
      <c r="A39" s="490">
        <v>1421900</v>
      </c>
      <c r="B39" s="478" t="s">
        <v>50</v>
      </c>
      <c r="C39" s="478">
        <v>7</v>
      </c>
      <c r="D39" s="478">
        <v>19</v>
      </c>
      <c r="E39" s="478">
        <v>21</v>
      </c>
      <c r="F39" s="478">
        <v>17</v>
      </c>
      <c r="G39" s="478">
        <v>12</v>
      </c>
      <c r="H39" s="478">
        <v>8</v>
      </c>
      <c r="I39" s="478"/>
      <c r="J39" s="479">
        <f>SUM(C39:H39)</f>
        <v>84</v>
      </c>
      <c r="K39" s="480">
        <f>'CORTE 4200'!$O$331</f>
        <v>-510</v>
      </c>
      <c r="L39" s="480"/>
      <c r="M39" s="481"/>
      <c r="N39" s="500"/>
      <c r="O39">
        <v>1421900</v>
      </c>
      <c r="P39" t="s">
        <v>263</v>
      </c>
      <c r="Q39" t="s">
        <v>264</v>
      </c>
      <c r="R39"/>
      <c r="S39">
        <v>7</v>
      </c>
      <c r="T39">
        <v>19</v>
      </c>
      <c r="U39">
        <v>21</v>
      </c>
      <c r="V39">
        <v>17</v>
      </c>
      <c r="W39">
        <v>12</v>
      </c>
      <c r="X39">
        <v>8</v>
      </c>
      <c r="Y39">
        <v>0</v>
      </c>
      <c r="Z39">
        <f t="shared" si="5"/>
        <v>84</v>
      </c>
      <c r="AA39" s="500"/>
      <c r="AB39" s="74">
        <v>1421900</v>
      </c>
      <c r="AC39" s="74" t="s">
        <v>263</v>
      </c>
      <c r="AD39" s="74" t="s">
        <v>264</v>
      </c>
      <c r="AE39"/>
      <c r="AF39" s="74">
        <v>7</v>
      </c>
      <c r="AG39" s="74">
        <v>19</v>
      </c>
      <c r="AH39" s="74">
        <v>21</v>
      </c>
      <c r="AI39" s="74">
        <v>17</v>
      </c>
      <c r="AJ39" s="74">
        <v>12</v>
      </c>
      <c r="AK39" s="74">
        <v>8</v>
      </c>
      <c r="AL39" s="74">
        <v>0</v>
      </c>
      <c r="AM39" s="74">
        <f t="shared" si="1"/>
        <v>84</v>
      </c>
      <c r="AN39" s="18"/>
      <c r="AO39" s="74">
        <v>1421900</v>
      </c>
      <c r="AP39" s="74" t="s">
        <v>263</v>
      </c>
      <c r="AQ39" s="74" t="s">
        <v>264</v>
      </c>
      <c r="AR39" s="74"/>
      <c r="AS39" s="74">
        <v>7</v>
      </c>
      <c r="AT39" s="74">
        <v>19</v>
      </c>
      <c r="AU39" s="74">
        <v>21</v>
      </c>
      <c r="AV39" s="74">
        <v>17</v>
      </c>
      <c r="AW39" s="74">
        <v>12</v>
      </c>
      <c r="AX39" s="74">
        <v>8</v>
      </c>
      <c r="AY39" s="74">
        <v>0</v>
      </c>
      <c r="AZ39" s="74">
        <f t="shared" si="6"/>
        <v>84</v>
      </c>
      <c r="BA39" s="18"/>
      <c r="BB39" s="74">
        <v>1421900</v>
      </c>
      <c r="BC39" s="74" t="s">
        <v>263</v>
      </c>
      <c r="BD39" s="74" t="s">
        <v>264</v>
      </c>
      <c r="BE39" s="74"/>
      <c r="BF39" s="74">
        <v>7</v>
      </c>
      <c r="BG39" s="74">
        <v>19</v>
      </c>
      <c r="BH39" s="74">
        <v>21</v>
      </c>
      <c r="BI39" s="74">
        <v>17</v>
      </c>
      <c r="BJ39" s="74">
        <v>12</v>
      </c>
      <c r="BK39" s="74">
        <v>8</v>
      </c>
      <c r="BL39" s="74">
        <v>0</v>
      </c>
      <c r="BM39" s="74">
        <f t="shared" si="8"/>
        <v>84</v>
      </c>
      <c r="BN39" s="18"/>
      <c r="BO39" s="74">
        <v>1421900</v>
      </c>
      <c r="BP39" s="74" t="s">
        <v>263</v>
      </c>
      <c r="BQ39" s="74" t="s">
        <v>264</v>
      </c>
      <c r="BR39" s="74"/>
      <c r="BS39" s="74">
        <v>5</v>
      </c>
      <c r="BT39" s="74">
        <v>15</v>
      </c>
      <c r="BU39" s="74">
        <v>18</v>
      </c>
      <c r="BV39" s="74">
        <v>15</v>
      </c>
      <c r="BW39" s="74">
        <v>11</v>
      </c>
      <c r="BX39" s="74">
        <v>8</v>
      </c>
      <c r="BY39" s="74">
        <v>0</v>
      </c>
      <c r="BZ39" s="74">
        <f t="shared" si="7"/>
        <v>72</v>
      </c>
      <c r="CA39" s="18"/>
      <c r="CB39" s="74">
        <v>1421900</v>
      </c>
      <c r="CC39" s="74" t="s">
        <v>263</v>
      </c>
      <c r="CD39" s="74" t="s">
        <v>264</v>
      </c>
      <c r="CE39" s="74"/>
      <c r="CF39" s="74">
        <v>5</v>
      </c>
      <c r="CG39" s="74">
        <v>15</v>
      </c>
      <c r="CH39" s="74">
        <v>18</v>
      </c>
      <c r="CI39" s="74">
        <v>15</v>
      </c>
      <c r="CJ39" s="74">
        <v>11</v>
      </c>
      <c r="CK39" s="74">
        <v>8</v>
      </c>
      <c r="CL39" s="74">
        <v>0</v>
      </c>
      <c r="CM39" s="74">
        <f t="shared" si="2"/>
        <v>72</v>
      </c>
      <c r="CN39" s="18"/>
      <c r="CO39" s="74">
        <v>1421900</v>
      </c>
      <c r="CP39" s="74" t="s">
        <v>263</v>
      </c>
      <c r="CQ39" s="74" t="s">
        <v>264</v>
      </c>
      <c r="CR39" s="74"/>
      <c r="CS39" s="74">
        <v>5</v>
      </c>
      <c r="CT39" s="74">
        <v>15</v>
      </c>
      <c r="CU39" s="74">
        <v>18</v>
      </c>
      <c r="CV39" s="74">
        <v>15</v>
      </c>
      <c r="CW39" s="74">
        <v>11</v>
      </c>
      <c r="CX39" s="74">
        <v>8</v>
      </c>
      <c r="CY39" s="74">
        <v>0</v>
      </c>
      <c r="CZ39" s="74">
        <v>72</v>
      </c>
      <c r="DA39" s="18"/>
      <c r="DB39" s="74">
        <v>1421900</v>
      </c>
      <c r="DC39" s="74" t="s">
        <v>263</v>
      </c>
      <c r="DD39" s="74" t="s">
        <v>264</v>
      </c>
      <c r="DE39" s="74"/>
      <c r="DF39" s="74">
        <v>3</v>
      </c>
      <c r="DG39" s="74">
        <v>11</v>
      </c>
      <c r="DH39" s="74">
        <v>13</v>
      </c>
      <c r="DI39" s="74">
        <v>11</v>
      </c>
      <c r="DJ39" s="74">
        <v>8</v>
      </c>
      <c r="DK39" s="74">
        <v>4</v>
      </c>
      <c r="DL39" s="74">
        <v>0</v>
      </c>
      <c r="DM39" s="74">
        <v>50</v>
      </c>
      <c r="DN39" s="18"/>
      <c r="DO39" s="74">
        <v>1421900</v>
      </c>
      <c r="DP39" s="74" t="s">
        <v>263</v>
      </c>
      <c r="DQ39" s="74" t="s">
        <v>264</v>
      </c>
      <c r="DR39" s="74"/>
      <c r="DS39" s="74">
        <v>2</v>
      </c>
      <c r="DT39" s="74">
        <v>8</v>
      </c>
      <c r="DU39" s="74">
        <v>11</v>
      </c>
      <c r="DV39" s="74">
        <v>10</v>
      </c>
      <c r="DW39" s="74">
        <v>7</v>
      </c>
      <c r="DX39" s="74">
        <v>4</v>
      </c>
      <c r="DY39" s="74">
        <v>0</v>
      </c>
      <c r="DZ39" s="74">
        <v>42</v>
      </c>
      <c r="EA39" s="74"/>
      <c r="EB39" s="74">
        <v>1421900</v>
      </c>
      <c r="EC39" s="74" t="s">
        <v>263</v>
      </c>
      <c r="ED39" s="74" t="s">
        <v>264</v>
      </c>
      <c r="EE39" s="74"/>
      <c r="EF39" s="74">
        <v>2</v>
      </c>
      <c r="EG39" s="74">
        <v>7</v>
      </c>
      <c r="EH39" s="74">
        <v>10</v>
      </c>
      <c r="EI39" s="74">
        <v>9</v>
      </c>
      <c r="EJ39" s="74">
        <v>7</v>
      </c>
      <c r="EK39" s="74">
        <v>4</v>
      </c>
      <c r="EL39" s="74">
        <v>0</v>
      </c>
      <c r="EM39" s="74">
        <v>39</v>
      </c>
      <c r="EN39" s="18"/>
      <c r="EO39" s="74">
        <v>1421901</v>
      </c>
      <c r="EP39" s="74" t="s">
        <v>263</v>
      </c>
      <c r="EQ39" s="74" t="s">
        <v>264</v>
      </c>
      <c r="ER39" s="74"/>
      <c r="ES39" s="74">
        <v>1</v>
      </c>
      <c r="ET39" s="74">
        <v>4</v>
      </c>
      <c r="EU39" s="74">
        <v>6</v>
      </c>
      <c r="EV39" s="74">
        <v>6</v>
      </c>
      <c r="EW39" s="74">
        <v>6</v>
      </c>
      <c r="EX39" s="74">
        <v>5</v>
      </c>
      <c r="EY39" s="74">
        <v>0</v>
      </c>
      <c r="EZ39" s="74">
        <v>28</v>
      </c>
      <c r="FA39" s="18"/>
      <c r="FB39" s="74">
        <v>1422000</v>
      </c>
      <c r="FC39" s="74" t="s">
        <v>263</v>
      </c>
      <c r="FD39" s="74" t="s">
        <v>264</v>
      </c>
      <c r="FE39" s="74"/>
      <c r="FF39" s="74">
        <v>11</v>
      </c>
      <c r="FG39" s="74">
        <v>23</v>
      </c>
      <c r="FH39" s="74">
        <v>26</v>
      </c>
      <c r="FI39" s="74">
        <v>26</v>
      </c>
      <c r="FJ39" s="74">
        <v>18</v>
      </c>
      <c r="FK39" s="74">
        <v>16</v>
      </c>
      <c r="FL39" s="74">
        <v>0</v>
      </c>
      <c r="FM39" s="74">
        <v>120</v>
      </c>
      <c r="FN39" s="18"/>
      <c r="FO39" s="74">
        <v>1422000</v>
      </c>
      <c r="FP39" s="74" t="s">
        <v>263</v>
      </c>
      <c r="FQ39" s="74" t="s">
        <v>264</v>
      </c>
      <c r="FR39" s="74"/>
      <c r="FS39" s="74">
        <v>9</v>
      </c>
      <c r="FT39" s="74">
        <v>17</v>
      </c>
      <c r="FU39" s="74">
        <v>20</v>
      </c>
      <c r="FV39" s="74">
        <v>20</v>
      </c>
      <c r="FW39" s="74">
        <v>14</v>
      </c>
      <c r="FX39" s="74">
        <v>12</v>
      </c>
      <c r="FY39" s="74">
        <v>0</v>
      </c>
      <c r="FZ39" s="74">
        <v>92</v>
      </c>
      <c r="GA39" s="18"/>
      <c r="GB39" s="74">
        <v>1422000</v>
      </c>
      <c r="GC39" s="74" t="s">
        <v>263</v>
      </c>
      <c r="GD39" s="74" t="s">
        <v>264</v>
      </c>
      <c r="GE39" s="74"/>
      <c r="GF39" s="74">
        <v>6</v>
      </c>
      <c r="GG39" s="74">
        <v>8</v>
      </c>
      <c r="GH39" s="74">
        <v>11</v>
      </c>
      <c r="GI39" s="74">
        <v>11</v>
      </c>
      <c r="GJ39" s="74">
        <v>8</v>
      </c>
      <c r="GK39" s="74">
        <v>6</v>
      </c>
      <c r="GL39" s="74">
        <v>0</v>
      </c>
      <c r="GM39" s="74">
        <v>50</v>
      </c>
      <c r="GN39" s="18"/>
      <c r="GO39" s="74">
        <v>1422000</v>
      </c>
      <c r="GP39" s="74" t="s">
        <v>263</v>
      </c>
      <c r="GQ39" s="74" t="s">
        <v>264</v>
      </c>
      <c r="GR39" s="74"/>
      <c r="GS39" s="74">
        <v>4</v>
      </c>
      <c r="GT39" s="74">
        <v>6</v>
      </c>
      <c r="GU39" s="74">
        <v>8</v>
      </c>
      <c r="GV39" s="74">
        <v>8</v>
      </c>
      <c r="GW39" s="74">
        <v>6</v>
      </c>
      <c r="GX39" s="74">
        <v>4</v>
      </c>
      <c r="GY39" s="74">
        <v>0</v>
      </c>
      <c r="GZ39" s="74">
        <f t="shared" si="10"/>
        <v>36</v>
      </c>
      <c r="HA39" s="18"/>
    </row>
    <row r="40" spans="1:209">
      <c r="A40" s="490">
        <v>1421901</v>
      </c>
      <c r="B40" s="478" t="s">
        <v>50</v>
      </c>
      <c r="C40" s="478">
        <v>4</v>
      </c>
      <c r="D40" s="478">
        <v>9</v>
      </c>
      <c r="E40" s="478">
        <v>12</v>
      </c>
      <c r="F40" s="478">
        <v>11</v>
      </c>
      <c r="G40" s="478">
        <v>10</v>
      </c>
      <c r="H40" s="478">
        <v>7</v>
      </c>
      <c r="I40" s="478"/>
      <c r="J40" s="479">
        <f t="shared" ref="J40:J50" si="13">SUM(C40:H40)</f>
        <v>53</v>
      </c>
      <c r="K40" s="480">
        <f>'CORTE 4200'!$O$340</f>
        <v>16</v>
      </c>
      <c r="L40" s="480"/>
      <c r="M40" s="481"/>
      <c r="N40" s="500"/>
      <c r="O40">
        <v>1421901</v>
      </c>
      <c r="P40" t="s">
        <v>263</v>
      </c>
      <c r="Q40" t="s">
        <v>264</v>
      </c>
      <c r="R40"/>
      <c r="S40">
        <v>4</v>
      </c>
      <c r="T40">
        <v>9</v>
      </c>
      <c r="U40">
        <v>12</v>
      </c>
      <c r="V40">
        <v>11</v>
      </c>
      <c r="W40">
        <v>10</v>
      </c>
      <c r="X40">
        <v>7</v>
      </c>
      <c r="Y40">
        <v>0</v>
      </c>
      <c r="Z40">
        <f t="shared" si="5"/>
        <v>53</v>
      </c>
      <c r="AA40" s="500"/>
      <c r="AB40" s="74">
        <v>1421901</v>
      </c>
      <c r="AC40" s="74" t="s">
        <v>263</v>
      </c>
      <c r="AD40" s="74" t="s">
        <v>264</v>
      </c>
      <c r="AE40"/>
      <c r="AF40" s="74">
        <v>4</v>
      </c>
      <c r="AG40" s="74">
        <v>9</v>
      </c>
      <c r="AH40" s="74">
        <v>12</v>
      </c>
      <c r="AI40" s="74">
        <v>11</v>
      </c>
      <c r="AJ40" s="74">
        <v>10</v>
      </c>
      <c r="AK40" s="74">
        <v>7</v>
      </c>
      <c r="AL40" s="74">
        <v>0</v>
      </c>
      <c r="AM40" s="74">
        <f t="shared" si="1"/>
        <v>53</v>
      </c>
      <c r="AO40" s="74">
        <v>1421901</v>
      </c>
      <c r="AP40" s="74" t="s">
        <v>263</v>
      </c>
      <c r="AQ40" s="74" t="s">
        <v>264</v>
      </c>
      <c r="AR40" s="74"/>
      <c r="AS40" s="74">
        <v>4</v>
      </c>
      <c r="AT40" s="74">
        <v>9</v>
      </c>
      <c r="AU40" s="74">
        <v>12</v>
      </c>
      <c r="AV40" s="74">
        <v>11</v>
      </c>
      <c r="AW40" s="74">
        <v>10</v>
      </c>
      <c r="AX40" s="74">
        <v>7</v>
      </c>
      <c r="AY40" s="74">
        <v>0</v>
      </c>
      <c r="AZ40" s="74">
        <f t="shared" si="6"/>
        <v>53</v>
      </c>
      <c r="BB40" s="74">
        <v>1421901</v>
      </c>
      <c r="BC40" s="74" t="s">
        <v>263</v>
      </c>
      <c r="BD40" s="74" t="s">
        <v>264</v>
      </c>
      <c r="BE40" s="74"/>
      <c r="BF40" s="74">
        <v>4</v>
      </c>
      <c r="BG40" s="74">
        <v>9</v>
      </c>
      <c r="BH40" s="74">
        <v>12</v>
      </c>
      <c r="BI40" s="74">
        <v>11</v>
      </c>
      <c r="BJ40" s="74">
        <v>10</v>
      </c>
      <c r="BK40" s="74">
        <v>7</v>
      </c>
      <c r="BL40" s="74">
        <v>0</v>
      </c>
      <c r="BM40" s="74">
        <f t="shared" si="8"/>
        <v>53</v>
      </c>
      <c r="BO40" s="74">
        <v>1421901</v>
      </c>
      <c r="BP40" s="74" t="s">
        <v>263</v>
      </c>
      <c r="BQ40" s="74" t="s">
        <v>264</v>
      </c>
      <c r="BR40" s="74"/>
      <c r="BS40" s="74">
        <v>2</v>
      </c>
      <c r="BT40" s="74">
        <v>5</v>
      </c>
      <c r="BU40" s="74">
        <v>8</v>
      </c>
      <c r="BV40" s="74">
        <v>8</v>
      </c>
      <c r="BW40" s="74">
        <v>8</v>
      </c>
      <c r="BX40" s="74">
        <v>6</v>
      </c>
      <c r="BY40" s="74">
        <v>0</v>
      </c>
      <c r="BZ40" s="74">
        <f t="shared" si="7"/>
        <v>37</v>
      </c>
      <c r="CB40" s="74">
        <v>1421901</v>
      </c>
      <c r="CC40" s="74" t="s">
        <v>263</v>
      </c>
      <c r="CD40" s="74" t="s">
        <v>264</v>
      </c>
      <c r="CE40" s="74"/>
      <c r="CF40" s="74">
        <v>2</v>
      </c>
      <c r="CG40" s="74">
        <v>5</v>
      </c>
      <c r="CH40" s="74">
        <v>8</v>
      </c>
      <c r="CI40" s="74">
        <v>8</v>
      </c>
      <c r="CJ40" s="74">
        <v>8</v>
      </c>
      <c r="CK40" s="74">
        <v>6</v>
      </c>
      <c r="CL40" s="74">
        <v>0</v>
      </c>
      <c r="CM40" s="74">
        <f t="shared" si="2"/>
        <v>37</v>
      </c>
      <c r="CO40" s="74">
        <v>1421901</v>
      </c>
      <c r="CP40" s="74" t="s">
        <v>263</v>
      </c>
      <c r="CQ40" s="74" t="s">
        <v>264</v>
      </c>
      <c r="CR40" s="74"/>
      <c r="CS40" s="74">
        <v>2</v>
      </c>
      <c r="CT40" s="74">
        <v>5</v>
      </c>
      <c r="CU40" s="74">
        <v>8</v>
      </c>
      <c r="CV40" s="74">
        <v>8</v>
      </c>
      <c r="CW40" s="74">
        <v>8</v>
      </c>
      <c r="CX40" s="74">
        <v>6</v>
      </c>
      <c r="CY40" s="74">
        <v>0</v>
      </c>
      <c r="CZ40" s="74">
        <v>37</v>
      </c>
      <c r="DB40" s="74">
        <v>1421901</v>
      </c>
      <c r="DC40" s="74" t="s">
        <v>263</v>
      </c>
      <c r="DD40" s="74" t="s">
        <v>264</v>
      </c>
      <c r="DE40" s="74"/>
      <c r="DF40" s="74">
        <v>1</v>
      </c>
      <c r="DG40" s="74">
        <v>4</v>
      </c>
      <c r="DH40" s="74">
        <v>6</v>
      </c>
      <c r="DI40" s="74">
        <v>6</v>
      </c>
      <c r="DJ40" s="74">
        <v>6</v>
      </c>
      <c r="DK40" s="74">
        <v>5</v>
      </c>
      <c r="DL40" s="74">
        <v>0</v>
      </c>
      <c r="DM40" s="74">
        <v>28</v>
      </c>
      <c r="DO40" s="74">
        <v>1421901</v>
      </c>
      <c r="DP40" s="74" t="s">
        <v>263</v>
      </c>
      <c r="DQ40" s="74" t="s">
        <v>264</v>
      </c>
      <c r="DR40" s="74"/>
      <c r="DS40" s="74">
        <v>1</v>
      </c>
      <c r="DT40" s="74">
        <v>4</v>
      </c>
      <c r="DU40" s="74">
        <v>6</v>
      </c>
      <c r="DV40" s="74">
        <v>6</v>
      </c>
      <c r="DW40" s="74">
        <v>6</v>
      </c>
      <c r="DX40" s="74">
        <v>5</v>
      </c>
      <c r="DY40" s="74">
        <v>0</v>
      </c>
      <c r="DZ40" s="74">
        <v>28</v>
      </c>
      <c r="EA40" s="74"/>
      <c r="EB40" s="74">
        <v>1421901</v>
      </c>
      <c r="EC40" s="74" t="s">
        <v>263</v>
      </c>
      <c r="ED40" s="74" t="s">
        <v>264</v>
      </c>
      <c r="EE40" s="74"/>
      <c r="EF40" s="74">
        <v>1</v>
      </c>
      <c r="EG40" s="74">
        <v>4</v>
      </c>
      <c r="EH40" s="74">
        <v>6</v>
      </c>
      <c r="EI40" s="74">
        <v>6</v>
      </c>
      <c r="EJ40" s="74">
        <v>6</v>
      </c>
      <c r="EK40" s="74">
        <v>5</v>
      </c>
      <c r="EL40" s="74">
        <v>0</v>
      </c>
      <c r="EM40" s="74">
        <v>28</v>
      </c>
      <c r="EO40" s="74">
        <v>1421902</v>
      </c>
      <c r="EP40" s="74" t="s">
        <v>263</v>
      </c>
      <c r="EQ40" s="74" t="s">
        <v>264</v>
      </c>
      <c r="ER40" s="74"/>
      <c r="ES40" s="74">
        <v>3</v>
      </c>
      <c r="ET40" s="74">
        <v>4</v>
      </c>
      <c r="EU40" s="74">
        <v>2</v>
      </c>
      <c r="EV40" s="74">
        <v>2</v>
      </c>
      <c r="EW40" s="74">
        <v>1</v>
      </c>
      <c r="EX40" s="74">
        <v>0</v>
      </c>
      <c r="EY40" s="74">
        <v>0</v>
      </c>
      <c r="EZ40" s="74">
        <v>12</v>
      </c>
      <c r="FB40" s="74">
        <v>1422100</v>
      </c>
      <c r="FC40" s="74" t="s">
        <v>274</v>
      </c>
      <c r="FD40" s="74" t="s">
        <v>264</v>
      </c>
      <c r="FE40" s="74"/>
      <c r="FF40" s="74">
        <v>36</v>
      </c>
      <c r="FG40" s="74">
        <v>90</v>
      </c>
      <c r="FH40" s="74">
        <v>93</v>
      </c>
      <c r="FI40" s="74">
        <v>92</v>
      </c>
      <c r="FJ40" s="74">
        <v>63</v>
      </c>
      <c r="FK40" s="74">
        <v>59</v>
      </c>
      <c r="FL40" s="74">
        <v>0</v>
      </c>
      <c r="FM40" s="74">
        <v>433</v>
      </c>
      <c r="FO40" s="74">
        <v>1422100</v>
      </c>
      <c r="FP40" s="74" t="s">
        <v>274</v>
      </c>
      <c r="FQ40" s="74" t="s">
        <v>264</v>
      </c>
      <c r="FR40" s="74"/>
      <c r="FS40" s="74">
        <v>34</v>
      </c>
      <c r="FT40" s="74">
        <v>84</v>
      </c>
      <c r="FU40" s="74">
        <v>87</v>
      </c>
      <c r="FV40" s="74">
        <v>86</v>
      </c>
      <c r="FW40" s="74">
        <v>59</v>
      </c>
      <c r="FX40" s="74">
        <v>55</v>
      </c>
      <c r="FY40" s="74">
        <v>0</v>
      </c>
      <c r="FZ40" s="74">
        <v>405</v>
      </c>
      <c r="GB40" s="74">
        <v>1422100</v>
      </c>
      <c r="GC40" s="74" t="s">
        <v>274</v>
      </c>
      <c r="GD40" s="74" t="s">
        <v>264</v>
      </c>
      <c r="GE40" s="74"/>
      <c r="GF40" s="74">
        <v>6</v>
      </c>
      <c r="GG40" s="74">
        <v>15</v>
      </c>
      <c r="GH40" s="74">
        <v>19</v>
      </c>
      <c r="GI40" s="74">
        <v>18</v>
      </c>
      <c r="GJ40" s="74">
        <v>15</v>
      </c>
      <c r="GK40" s="74">
        <v>10</v>
      </c>
      <c r="GL40" s="74">
        <v>0</v>
      </c>
      <c r="GM40" s="74">
        <v>83</v>
      </c>
      <c r="GO40" s="438">
        <v>1422100</v>
      </c>
      <c r="GP40" s="74" t="s">
        <v>274</v>
      </c>
      <c r="GQ40" s="74" t="s">
        <v>264</v>
      </c>
      <c r="GR40" s="74"/>
      <c r="GS40" s="74">
        <v>6</v>
      </c>
      <c r="GT40" s="74">
        <v>15</v>
      </c>
      <c r="GU40" s="74">
        <v>19</v>
      </c>
      <c r="GV40" s="74">
        <v>18</v>
      </c>
      <c r="GW40" s="74">
        <v>15</v>
      </c>
      <c r="GX40" s="74">
        <v>10</v>
      </c>
      <c r="GY40" s="74">
        <v>0</v>
      </c>
      <c r="GZ40" s="74">
        <f t="shared" si="10"/>
        <v>83</v>
      </c>
    </row>
    <row r="41" spans="1:209">
      <c r="A41" s="490">
        <v>1421902</v>
      </c>
      <c r="B41" s="478" t="s">
        <v>50</v>
      </c>
      <c r="C41" s="478">
        <v>3</v>
      </c>
      <c r="D41" s="478">
        <v>6</v>
      </c>
      <c r="E41" s="478">
        <v>4</v>
      </c>
      <c r="F41" s="478">
        <v>4</v>
      </c>
      <c r="G41" s="478">
        <v>3</v>
      </c>
      <c r="H41" s="478">
        <v>2</v>
      </c>
      <c r="I41" s="478"/>
      <c r="J41" s="479">
        <f t="shared" si="13"/>
        <v>22</v>
      </c>
      <c r="K41" s="480">
        <f>'CORTE 4200'!$O$349</f>
        <v>10</v>
      </c>
      <c r="L41" s="480"/>
      <c r="M41" s="481"/>
      <c r="N41" s="500"/>
      <c r="O41">
        <v>1421902</v>
      </c>
      <c r="P41" t="s">
        <v>263</v>
      </c>
      <c r="Q41" t="s">
        <v>264</v>
      </c>
      <c r="R41"/>
      <c r="S41">
        <v>3</v>
      </c>
      <c r="T41">
        <v>6</v>
      </c>
      <c r="U41">
        <v>4</v>
      </c>
      <c r="V41">
        <v>4</v>
      </c>
      <c r="W41">
        <v>3</v>
      </c>
      <c r="X41">
        <v>2</v>
      </c>
      <c r="Y41">
        <v>0</v>
      </c>
      <c r="Z41">
        <f t="shared" si="5"/>
        <v>22</v>
      </c>
      <c r="AA41" s="500"/>
      <c r="AB41" s="74">
        <v>1421902</v>
      </c>
      <c r="AC41" s="74" t="s">
        <v>263</v>
      </c>
      <c r="AD41" s="74" t="s">
        <v>264</v>
      </c>
      <c r="AE41"/>
      <c r="AF41" s="74">
        <v>3</v>
      </c>
      <c r="AG41" s="74">
        <v>6</v>
      </c>
      <c r="AH41" s="74">
        <v>4</v>
      </c>
      <c r="AI41" s="74">
        <v>4</v>
      </c>
      <c r="AJ41" s="74">
        <v>3</v>
      </c>
      <c r="AK41" s="74">
        <v>2</v>
      </c>
      <c r="AL41" s="74">
        <v>0</v>
      </c>
      <c r="AM41" s="74">
        <f t="shared" si="1"/>
        <v>22</v>
      </c>
      <c r="AO41" s="74">
        <v>1421902</v>
      </c>
      <c r="AP41" s="74" t="s">
        <v>263</v>
      </c>
      <c r="AQ41" s="74" t="s">
        <v>264</v>
      </c>
      <c r="AR41" s="74"/>
      <c r="AS41" s="74">
        <v>3</v>
      </c>
      <c r="AT41" s="74">
        <v>4</v>
      </c>
      <c r="AU41" s="74">
        <v>2</v>
      </c>
      <c r="AV41" s="74">
        <v>2</v>
      </c>
      <c r="AW41" s="74">
        <v>1</v>
      </c>
      <c r="AX41" s="74">
        <v>0</v>
      </c>
      <c r="AY41" s="74">
        <v>0</v>
      </c>
      <c r="AZ41" s="74">
        <f t="shared" si="6"/>
        <v>12</v>
      </c>
      <c r="BB41" s="74">
        <v>1421902</v>
      </c>
      <c r="BC41" s="74" t="s">
        <v>263</v>
      </c>
      <c r="BD41" s="74" t="s">
        <v>264</v>
      </c>
      <c r="BE41" s="74"/>
      <c r="BF41" s="74">
        <v>3</v>
      </c>
      <c r="BG41" s="74">
        <v>4</v>
      </c>
      <c r="BH41" s="74">
        <v>2</v>
      </c>
      <c r="BI41" s="74">
        <v>2</v>
      </c>
      <c r="BJ41" s="74">
        <v>1</v>
      </c>
      <c r="BK41" s="74">
        <v>0</v>
      </c>
      <c r="BL41" s="74">
        <v>0</v>
      </c>
      <c r="BM41" s="74">
        <f t="shared" si="8"/>
        <v>12</v>
      </c>
      <c r="BO41" s="74">
        <v>1421902</v>
      </c>
      <c r="BP41" s="74" t="s">
        <v>263</v>
      </c>
      <c r="BQ41" s="74" t="s">
        <v>264</v>
      </c>
      <c r="BR41" s="74"/>
      <c r="BS41" s="74">
        <v>3</v>
      </c>
      <c r="BT41" s="74">
        <v>4</v>
      </c>
      <c r="BU41" s="74">
        <v>2</v>
      </c>
      <c r="BV41" s="74">
        <v>2</v>
      </c>
      <c r="BW41" s="74">
        <v>1</v>
      </c>
      <c r="BX41" s="74">
        <v>0</v>
      </c>
      <c r="BY41" s="74">
        <v>0</v>
      </c>
      <c r="BZ41" s="74">
        <f t="shared" si="7"/>
        <v>12</v>
      </c>
      <c r="CB41" s="74">
        <v>1421902</v>
      </c>
      <c r="CC41" s="74" t="s">
        <v>263</v>
      </c>
      <c r="CD41" s="74" t="s">
        <v>264</v>
      </c>
      <c r="CE41" s="74"/>
      <c r="CF41" s="74">
        <v>3</v>
      </c>
      <c r="CG41" s="74">
        <v>4</v>
      </c>
      <c r="CH41" s="74">
        <v>2</v>
      </c>
      <c r="CI41" s="74">
        <v>2</v>
      </c>
      <c r="CJ41" s="74">
        <v>1</v>
      </c>
      <c r="CK41" s="74">
        <v>0</v>
      </c>
      <c r="CL41" s="74">
        <v>0</v>
      </c>
      <c r="CM41" s="74">
        <f t="shared" si="2"/>
        <v>12</v>
      </c>
      <c r="CO41" s="74">
        <v>1421902</v>
      </c>
      <c r="CP41" s="74" t="s">
        <v>263</v>
      </c>
      <c r="CQ41" s="74" t="s">
        <v>264</v>
      </c>
      <c r="CR41" s="74"/>
      <c r="CS41" s="74">
        <v>3</v>
      </c>
      <c r="CT41" s="74">
        <v>4</v>
      </c>
      <c r="CU41" s="74">
        <v>2</v>
      </c>
      <c r="CV41" s="74">
        <v>2</v>
      </c>
      <c r="CW41" s="74">
        <v>1</v>
      </c>
      <c r="CX41" s="74">
        <v>0</v>
      </c>
      <c r="CY41" s="74">
        <v>0</v>
      </c>
      <c r="CZ41" s="74">
        <v>12</v>
      </c>
      <c r="DB41" s="74">
        <v>1421902</v>
      </c>
      <c r="DC41" s="74" t="s">
        <v>263</v>
      </c>
      <c r="DD41" s="74" t="s">
        <v>264</v>
      </c>
      <c r="DE41" s="74"/>
      <c r="DF41" s="74">
        <v>3</v>
      </c>
      <c r="DG41" s="74">
        <v>4</v>
      </c>
      <c r="DH41" s="74">
        <v>2</v>
      </c>
      <c r="DI41" s="74">
        <v>2</v>
      </c>
      <c r="DJ41" s="74">
        <v>1</v>
      </c>
      <c r="DK41" s="74">
        <v>0</v>
      </c>
      <c r="DL41" s="74">
        <v>0</v>
      </c>
      <c r="DM41" s="74">
        <v>12</v>
      </c>
      <c r="DO41" s="74">
        <v>1421902</v>
      </c>
      <c r="DP41" s="74" t="s">
        <v>263</v>
      </c>
      <c r="DQ41" s="74" t="s">
        <v>264</v>
      </c>
      <c r="DR41" s="74"/>
      <c r="DS41" s="74">
        <v>3</v>
      </c>
      <c r="DT41" s="74">
        <v>4</v>
      </c>
      <c r="DU41" s="74">
        <v>2</v>
      </c>
      <c r="DV41" s="74">
        <v>2</v>
      </c>
      <c r="DW41" s="74">
        <v>1</v>
      </c>
      <c r="DX41" s="74">
        <v>0</v>
      </c>
      <c r="DY41" s="74">
        <v>0</v>
      </c>
      <c r="DZ41" s="74">
        <v>12</v>
      </c>
      <c r="EA41" s="74"/>
      <c r="EB41" s="74">
        <v>1421902</v>
      </c>
      <c r="EC41" s="74" t="s">
        <v>263</v>
      </c>
      <c r="ED41" s="74" t="s">
        <v>264</v>
      </c>
      <c r="EE41" s="74"/>
      <c r="EF41" s="74">
        <v>3</v>
      </c>
      <c r="EG41" s="74">
        <v>4</v>
      </c>
      <c r="EH41" s="74">
        <v>2</v>
      </c>
      <c r="EI41" s="74">
        <v>2</v>
      </c>
      <c r="EJ41" s="74">
        <v>1</v>
      </c>
      <c r="EK41" s="74">
        <v>0</v>
      </c>
      <c r="EL41" s="74">
        <v>0</v>
      </c>
      <c r="EM41" s="74">
        <v>12</v>
      </c>
      <c r="EO41" s="74">
        <v>1422000</v>
      </c>
      <c r="EP41" s="74" t="s">
        <v>263</v>
      </c>
      <c r="EQ41" s="74" t="s">
        <v>264</v>
      </c>
      <c r="ER41" s="74"/>
      <c r="ES41" s="74">
        <v>16</v>
      </c>
      <c r="ET41" s="74">
        <v>30</v>
      </c>
      <c r="EU41" s="74">
        <v>34</v>
      </c>
      <c r="EV41" s="74">
        <v>33</v>
      </c>
      <c r="EW41" s="74">
        <v>25</v>
      </c>
      <c r="EX41" s="74">
        <v>19</v>
      </c>
      <c r="EY41" s="74">
        <v>0</v>
      </c>
      <c r="EZ41" s="74">
        <v>157</v>
      </c>
      <c r="FB41" s="74">
        <v>1422101</v>
      </c>
      <c r="FC41" s="74" t="s">
        <v>274</v>
      </c>
      <c r="FD41" s="74" t="s">
        <v>264</v>
      </c>
      <c r="FE41" s="74"/>
      <c r="FF41" s="74">
        <v>21</v>
      </c>
      <c r="FG41" s="74">
        <v>30</v>
      </c>
      <c r="FH41" s="74">
        <v>33</v>
      </c>
      <c r="FI41" s="74">
        <v>31</v>
      </c>
      <c r="FJ41" s="74">
        <v>25</v>
      </c>
      <c r="FK41" s="74">
        <v>19</v>
      </c>
      <c r="FL41" s="74">
        <v>0</v>
      </c>
      <c r="FM41" s="74">
        <v>159</v>
      </c>
      <c r="FO41" s="74">
        <v>1422101</v>
      </c>
      <c r="FP41" s="74" t="s">
        <v>274</v>
      </c>
      <c r="FQ41" s="74" t="s">
        <v>264</v>
      </c>
      <c r="FR41" s="74"/>
      <c r="FS41" s="74">
        <v>21</v>
      </c>
      <c r="FT41" s="74">
        <v>30</v>
      </c>
      <c r="FU41" s="74">
        <v>33</v>
      </c>
      <c r="FV41" s="74">
        <v>31</v>
      </c>
      <c r="FW41" s="74">
        <v>25</v>
      </c>
      <c r="FX41" s="74">
        <v>19</v>
      </c>
      <c r="FY41" s="74">
        <v>0</v>
      </c>
      <c r="FZ41" s="74">
        <v>159</v>
      </c>
      <c r="GB41" s="74">
        <v>1422101</v>
      </c>
      <c r="GC41" s="74" t="s">
        <v>274</v>
      </c>
      <c r="GD41" s="74" t="s">
        <v>264</v>
      </c>
      <c r="GE41" s="74"/>
      <c r="GF41" s="74">
        <v>20</v>
      </c>
      <c r="GG41" s="74">
        <v>28</v>
      </c>
      <c r="GH41" s="74">
        <v>31</v>
      </c>
      <c r="GI41" s="74">
        <v>29</v>
      </c>
      <c r="GJ41" s="74">
        <v>23</v>
      </c>
      <c r="GK41" s="74">
        <v>17</v>
      </c>
      <c r="GL41" s="74">
        <v>0</v>
      </c>
      <c r="GM41" s="74">
        <v>148</v>
      </c>
      <c r="GO41" s="438">
        <v>1422101</v>
      </c>
      <c r="GP41" s="74" t="s">
        <v>274</v>
      </c>
      <c r="GQ41" s="74" t="s">
        <v>264</v>
      </c>
      <c r="GR41" s="74"/>
      <c r="GS41" s="74">
        <v>17</v>
      </c>
      <c r="GT41" s="74">
        <v>23</v>
      </c>
      <c r="GU41" s="74">
        <v>24</v>
      </c>
      <c r="GV41" s="74">
        <v>23</v>
      </c>
      <c r="GW41" s="74">
        <v>19</v>
      </c>
      <c r="GX41" s="74">
        <v>14</v>
      </c>
      <c r="GY41" s="74">
        <v>0</v>
      </c>
      <c r="GZ41" s="74">
        <f t="shared" si="10"/>
        <v>120</v>
      </c>
      <c r="HA41" s="17"/>
    </row>
    <row r="42" spans="1:209">
      <c r="A42" s="478">
        <v>1422000</v>
      </c>
      <c r="B42" s="478" t="s">
        <v>50</v>
      </c>
      <c r="C42" s="478">
        <v>40</v>
      </c>
      <c r="D42" s="478">
        <v>73</v>
      </c>
      <c r="E42" s="478">
        <v>75</v>
      </c>
      <c r="F42" s="478">
        <v>70</v>
      </c>
      <c r="G42" s="478">
        <v>47</v>
      </c>
      <c r="H42" s="478">
        <v>32</v>
      </c>
      <c r="I42" s="478"/>
      <c r="J42" s="479">
        <f>SUM(C42:H42)</f>
        <v>337</v>
      </c>
      <c r="K42" s="480">
        <f>'CORTE 4200'!$O$358</f>
        <v>12</v>
      </c>
      <c r="L42" s="480">
        <v>50</v>
      </c>
      <c r="M42" s="481"/>
      <c r="N42" s="500"/>
      <c r="O42">
        <v>1422000</v>
      </c>
      <c r="P42" t="s">
        <v>263</v>
      </c>
      <c r="Q42" t="s">
        <v>264</v>
      </c>
      <c r="R42"/>
      <c r="S42">
        <v>40</v>
      </c>
      <c r="T42">
        <v>73</v>
      </c>
      <c r="U42">
        <v>75</v>
      </c>
      <c r="V42">
        <v>70</v>
      </c>
      <c r="W42">
        <v>47</v>
      </c>
      <c r="X42">
        <v>32</v>
      </c>
      <c r="Y42">
        <v>0</v>
      </c>
      <c r="Z42">
        <f t="shared" si="5"/>
        <v>337</v>
      </c>
      <c r="AA42" s="500"/>
      <c r="AB42" s="74">
        <v>1422000</v>
      </c>
      <c r="AC42" s="74" t="s">
        <v>263</v>
      </c>
      <c r="AD42" s="74" t="s">
        <v>264</v>
      </c>
      <c r="AE42"/>
      <c r="AF42" s="74">
        <v>39</v>
      </c>
      <c r="AG42" s="74">
        <v>72</v>
      </c>
      <c r="AH42" s="74">
        <v>74</v>
      </c>
      <c r="AI42" s="74">
        <v>70</v>
      </c>
      <c r="AJ42" s="74">
        <v>47</v>
      </c>
      <c r="AK42" s="74">
        <v>32</v>
      </c>
      <c r="AL42" s="74">
        <v>0</v>
      </c>
      <c r="AM42" s="74">
        <f t="shared" si="1"/>
        <v>334</v>
      </c>
      <c r="AO42" s="74">
        <v>1422000</v>
      </c>
      <c r="AP42" s="74" t="s">
        <v>263</v>
      </c>
      <c r="AQ42" s="74" t="s">
        <v>264</v>
      </c>
      <c r="AR42" s="74"/>
      <c r="AS42" s="74">
        <v>37</v>
      </c>
      <c r="AT42" s="74">
        <v>67</v>
      </c>
      <c r="AU42" s="74">
        <v>70</v>
      </c>
      <c r="AV42" s="74">
        <v>66</v>
      </c>
      <c r="AW42" s="74">
        <v>43</v>
      </c>
      <c r="AX42" s="74">
        <v>29</v>
      </c>
      <c r="AY42" s="74">
        <v>0</v>
      </c>
      <c r="AZ42" s="74">
        <f t="shared" si="6"/>
        <v>312</v>
      </c>
      <c r="BB42" s="74">
        <v>1422000</v>
      </c>
      <c r="BC42" s="74" t="s">
        <v>263</v>
      </c>
      <c r="BD42" s="74" t="s">
        <v>264</v>
      </c>
      <c r="BE42" s="74"/>
      <c r="BF42" s="74">
        <v>28</v>
      </c>
      <c r="BG42" s="74">
        <v>53</v>
      </c>
      <c r="BH42" s="74">
        <v>55</v>
      </c>
      <c r="BI42" s="74">
        <v>52</v>
      </c>
      <c r="BJ42" s="74">
        <v>39</v>
      </c>
      <c r="BK42" s="74">
        <v>25</v>
      </c>
      <c r="BL42" s="74">
        <v>0</v>
      </c>
      <c r="BM42" s="74">
        <f t="shared" si="8"/>
        <v>252</v>
      </c>
      <c r="BO42" s="74">
        <v>1422000</v>
      </c>
      <c r="BP42" s="74" t="s">
        <v>263</v>
      </c>
      <c r="BQ42" s="74" t="s">
        <v>264</v>
      </c>
      <c r="BR42" s="74"/>
      <c r="BS42" s="74">
        <v>28</v>
      </c>
      <c r="BT42" s="74">
        <v>53</v>
      </c>
      <c r="BU42" s="74">
        <v>55</v>
      </c>
      <c r="BV42" s="74">
        <v>52</v>
      </c>
      <c r="BW42" s="74">
        <v>39</v>
      </c>
      <c r="BX42" s="74">
        <v>25</v>
      </c>
      <c r="BY42" s="74">
        <v>0</v>
      </c>
      <c r="BZ42" s="74">
        <f t="shared" si="7"/>
        <v>252</v>
      </c>
      <c r="CB42" s="74">
        <v>1422000</v>
      </c>
      <c r="CC42" s="74" t="s">
        <v>263</v>
      </c>
      <c r="CD42" s="74" t="s">
        <v>264</v>
      </c>
      <c r="CE42" s="74"/>
      <c r="CF42" s="74">
        <v>26</v>
      </c>
      <c r="CG42" s="74">
        <v>50</v>
      </c>
      <c r="CH42" s="74">
        <v>52</v>
      </c>
      <c r="CI42" s="74">
        <v>49</v>
      </c>
      <c r="CJ42" s="74">
        <v>37</v>
      </c>
      <c r="CK42" s="74">
        <v>24</v>
      </c>
      <c r="CL42" s="74">
        <v>0</v>
      </c>
      <c r="CM42" s="74">
        <f t="shared" si="2"/>
        <v>238</v>
      </c>
      <c r="CO42" s="74">
        <v>1422000</v>
      </c>
      <c r="CP42" s="74" t="s">
        <v>263</v>
      </c>
      <c r="CQ42" s="74" t="s">
        <v>264</v>
      </c>
      <c r="CR42" s="74"/>
      <c r="CS42" s="74">
        <v>26</v>
      </c>
      <c r="CT42" s="74">
        <v>49</v>
      </c>
      <c r="CU42" s="74">
        <v>51</v>
      </c>
      <c r="CV42" s="74">
        <v>48</v>
      </c>
      <c r="CW42" s="74">
        <v>36</v>
      </c>
      <c r="CX42" s="74">
        <v>24</v>
      </c>
      <c r="CY42" s="74">
        <v>0</v>
      </c>
      <c r="CZ42" s="74">
        <v>234</v>
      </c>
      <c r="DB42" s="74">
        <v>1422000</v>
      </c>
      <c r="DC42" s="74" t="s">
        <v>263</v>
      </c>
      <c r="DD42" s="74" t="s">
        <v>264</v>
      </c>
      <c r="DE42" s="74"/>
      <c r="DF42" s="74">
        <v>24</v>
      </c>
      <c r="DG42" s="74">
        <v>45</v>
      </c>
      <c r="DH42" s="74">
        <v>47</v>
      </c>
      <c r="DI42" s="74">
        <v>44</v>
      </c>
      <c r="DJ42" s="74">
        <v>33</v>
      </c>
      <c r="DK42" s="74">
        <v>24</v>
      </c>
      <c r="DL42" s="74">
        <v>0</v>
      </c>
      <c r="DM42" s="74">
        <v>217</v>
      </c>
      <c r="DO42" s="74">
        <v>1422000</v>
      </c>
      <c r="DP42" s="74" t="s">
        <v>263</v>
      </c>
      <c r="DQ42" s="74" t="s">
        <v>264</v>
      </c>
      <c r="DR42" s="74"/>
      <c r="DS42" s="74">
        <v>19</v>
      </c>
      <c r="DT42" s="74">
        <v>37</v>
      </c>
      <c r="DU42" s="74">
        <v>40</v>
      </c>
      <c r="DV42" s="74">
        <v>39</v>
      </c>
      <c r="DW42" s="74">
        <v>29</v>
      </c>
      <c r="DX42" s="74">
        <v>22</v>
      </c>
      <c r="DY42" s="74">
        <v>0</v>
      </c>
      <c r="DZ42" s="74">
        <v>186</v>
      </c>
      <c r="EA42" s="74"/>
      <c r="EB42" s="74">
        <v>1422000</v>
      </c>
      <c r="EC42" s="74" t="s">
        <v>263</v>
      </c>
      <c r="ED42" s="74" t="s">
        <v>264</v>
      </c>
      <c r="EE42" s="74"/>
      <c r="EF42" s="74">
        <v>18</v>
      </c>
      <c r="EG42" s="74">
        <v>33</v>
      </c>
      <c r="EH42" s="74">
        <v>37</v>
      </c>
      <c r="EI42" s="74">
        <v>36</v>
      </c>
      <c r="EJ42" s="74">
        <v>27</v>
      </c>
      <c r="EK42" s="74">
        <v>20</v>
      </c>
      <c r="EL42" s="74">
        <v>0</v>
      </c>
      <c r="EM42" s="74">
        <v>171</v>
      </c>
      <c r="EO42" s="74">
        <v>1422100</v>
      </c>
      <c r="EP42" s="74" t="s">
        <v>274</v>
      </c>
      <c r="EQ42" s="74" t="s">
        <v>264</v>
      </c>
      <c r="ER42" s="74"/>
      <c r="ES42" s="74">
        <v>40</v>
      </c>
      <c r="ET42" s="74">
        <v>96</v>
      </c>
      <c r="EU42" s="74">
        <v>99</v>
      </c>
      <c r="EV42" s="74">
        <v>98</v>
      </c>
      <c r="EW42" s="74">
        <v>68</v>
      </c>
      <c r="EX42" s="74">
        <v>62</v>
      </c>
      <c r="EY42" s="74">
        <v>0</v>
      </c>
      <c r="EZ42" s="74">
        <v>463</v>
      </c>
      <c r="FB42" s="74">
        <v>1422190</v>
      </c>
      <c r="FC42" s="74" t="s">
        <v>275</v>
      </c>
      <c r="FD42" s="74" t="s">
        <v>264</v>
      </c>
      <c r="FE42" s="74"/>
      <c r="FF42" s="74">
        <v>3</v>
      </c>
      <c r="FG42" s="74">
        <v>6</v>
      </c>
      <c r="FH42" s="74">
        <v>8</v>
      </c>
      <c r="FI42" s="74">
        <v>8</v>
      </c>
      <c r="FJ42" s="74">
        <v>7</v>
      </c>
      <c r="FK42" s="74">
        <v>6</v>
      </c>
      <c r="FL42" s="74">
        <v>0</v>
      </c>
      <c r="FM42" s="74">
        <v>38</v>
      </c>
      <c r="FO42" s="74">
        <v>1422190</v>
      </c>
      <c r="FP42" s="74" t="s">
        <v>275</v>
      </c>
      <c r="FQ42" s="74" t="s">
        <v>264</v>
      </c>
      <c r="FR42" s="74"/>
      <c r="FS42" s="74">
        <v>3</v>
      </c>
      <c r="FT42" s="74">
        <v>6</v>
      </c>
      <c r="FU42" s="74">
        <v>8</v>
      </c>
      <c r="FV42" s="74">
        <v>8</v>
      </c>
      <c r="FW42" s="74">
        <v>7</v>
      </c>
      <c r="FX42" s="74">
        <v>6</v>
      </c>
      <c r="FY42" s="74">
        <v>0</v>
      </c>
      <c r="FZ42" s="74">
        <v>38</v>
      </c>
      <c r="GB42" s="74">
        <v>1422190</v>
      </c>
      <c r="GC42" s="74" t="s">
        <v>275</v>
      </c>
      <c r="GD42" s="74" t="s">
        <v>264</v>
      </c>
      <c r="GE42" s="74"/>
      <c r="GF42" s="74">
        <v>0</v>
      </c>
      <c r="GG42" s="74">
        <v>2</v>
      </c>
      <c r="GH42" s="74">
        <v>4</v>
      </c>
      <c r="GI42" s="74">
        <v>4</v>
      </c>
      <c r="GJ42" s="74">
        <v>4</v>
      </c>
      <c r="GK42" s="74">
        <v>3</v>
      </c>
      <c r="GL42" s="74">
        <v>0</v>
      </c>
      <c r="GM42" s="74">
        <v>17</v>
      </c>
      <c r="GO42" s="438">
        <v>1422190</v>
      </c>
      <c r="GP42" s="74" t="s">
        <v>275</v>
      </c>
      <c r="GQ42" s="74" t="s">
        <v>264</v>
      </c>
      <c r="GR42" s="74"/>
      <c r="GS42" s="74">
        <v>0</v>
      </c>
      <c r="GT42" s="74">
        <v>2</v>
      </c>
      <c r="GU42" s="74">
        <v>4</v>
      </c>
      <c r="GV42" s="74">
        <v>4</v>
      </c>
      <c r="GW42" s="74">
        <v>4</v>
      </c>
      <c r="GX42" s="74">
        <v>3</v>
      </c>
      <c r="GY42" s="74">
        <v>0</v>
      </c>
      <c r="GZ42" s="74">
        <f t="shared" si="10"/>
        <v>17</v>
      </c>
    </row>
    <row r="43" spans="1:209">
      <c r="A43" s="487">
        <v>1422100</v>
      </c>
      <c r="B43" s="478" t="s">
        <v>95</v>
      </c>
      <c r="C43" s="478">
        <v>43</v>
      </c>
      <c r="D43" s="478">
        <v>105</v>
      </c>
      <c r="E43" s="478">
        <v>108</v>
      </c>
      <c r="F43" s="478">
        <v>103</v>
      </c>
      <c r="G43" s="478">
        <v>72</v>
      </c>
      <c r="H43" s="478">
        <v>65</v>
      </c>
      <c r="I43" s="478"/>
      <c r="J43" s="479">
        <f>SUM(C43:H43)</f>
        <v>496</v>
      </c>
      <c r="K43" s="480">
        <f>'CORTE 4200'!$O$367</f>
        <v>-75</v>
      </c>
      <c r="L43" s="480"/>
      <c r="M43" s="481"/>
      <c r="N43" s="500"/>
      <c r="O43">
        <v>1422100</v>
      </c>
      <c r="P43" t="s">
        <v>274</v>
      </c>
      <c r="Q43" t="s">
        <v>264</v>
      </c>
      <c r="R43"/>
      <c r="S43">
        <v>43</v>
      </c>
      <c r="T43">
        <v>105</v>
      </c>
      <c r="U43">
        <v>108</v>
      </c>
      <c r="V43">
        <v>103</v>
      </c>
      <c r="W43">
        <v>72</v>
      </c>
      <c r="X43">
        <v>65</v>
      </c>
      <c r="Y43">
        <v>0</v>
      </c>
      <c r="Z43">
        <f t="shared" si="5"/>
        <v>496</v>
      </c>
      <c r="AA43" s="500"/>
      <c r="AB43" s="74">
        <v>1422100</v>
      </c>
      <c r="AC43" s="74" t="s">
        <v>274</v>
      </c>
      <c r="AD43" s="74" t="s">
        <v>264</v>
      </c>
      <c r="AE43"/>
      <c r="AF43" s="74">
        <v>43</v>
      </c>
      <c r="AG43" s="74">
        <v>105</v>
      </c>
      <c r="AH43" s="74">
        <v>108</v>
      </c>
      <c r="AI43" s="74">
        <v>103</v>
      </c>
      <c r="AJ43" s="74">
        <v>72</v>
      </c>
      <c r="AK43" s="74">
        <v>66</v>
      </c>
      <c r="AL43" s="74">
        <v>0</v>
      </c>
      <c r="AM43" s="74">
        <f t="shared" si="1"/>
        <v>497</v>
      </c>
      <c r="AO43" s="74">
        <v>1422100</v>
      </c>
      <c r="AP43" s="74" t="s">
        <v>274</v>
      </c>
      <c r="AQ43" s="74" t="s">
        <v>264</v>
      </c>
      <c r="AR43" s="74"/>
      <c r="AS43" s="74">
        <v>43</v>
      </c>
      <c r="AT43" s="74">
        <v>105</v>
      </c>
      <c r="AU43" s="74">
        <v>108</v>
      </c>
      <c r="AV43" s="74">
        <v>103</v>
      </c>
      <c r="AW43" s="74">
        <v>72</v>
      </c>
      <c r="AX43" s="74">
        <v>66</v>
      </c>
      <c r="AY43" s="74">
        <v>0</v>
      </c>
      <c r="AZ43" s="74">
        <f t="shared" si="6"/>
        <v>497</v>
      </c>
      <c r="BB43" s="74">
        <v>1422100</v>
      </c>
      <c r="BC43" s="74" t="s">
        <v>274</v>
      </c>
      <c r="BD43" s="74" t="s">
        <v>264</v>
      </c>
      <c r="BE43" s="74"/>
      <c r="BF43" s="74">
        <v>43</v>
      </c>
      <c r="BG43" s="74">
        <v>105</v>
      </c>
      <c r="BH43" s="74">
        <v>108</v>
      </c>
      <c r="BI43" s="74">
        <v>103</v>
      </c>
      <c r="BJ43" s="74">
        <v>72</v>
      </c>
      <c r="BK43" s="74">
        <v>66</v>
      </c>
      <c r="BL43" s="74">
        <v>0</v>
      </c>
      <c r="BM43" s="74">
        <f t="shared" si="8"/>
        <v>497</v>
      </c>
      <c r="BO43" s="74">
        <v>1422100</v>
      </c>
      <c r="BP43" s="74" t="s">
        <v>274</v>
      </c>
      <c r="BQ43" s="74" t="s">
        <v>264</v>
      </c>
      <c r="BR43" s="74"/>
      <c r="BS43" s="74">
        <v>43</v>
      </c>
      <c r="BT43" s="74">
        <v>105</v>
      </c>
      <c r="BU43" s="74">
        <v>108</v>
      </c>
      <c r="BV43" s="74">
        <v>103</v>
      </c>
      <c r="BW43" s="74">
        <v>72</v>
      </c>
      <c r="BX43" s="74">
        <v>66</v>
      </c>
      <c r="BY43" s="74">
        <v>0</v>
      </c>
      <c r="BZ43" s="74">
        <f t="shared" si="7"/>
        <v>497</v>
      </c>
      <c r="CB43" s="74">
        <v>1422100</v>
      </c>
      <c r="CC43" s="74" t="s">
        <v>274</v>
      </c>
      <c r="CD43" s="74" t="s">
        <v>264</v>
      </c>
      <c r="CE43" s="74"/>
      <c r="CF43" s="74">
        <v>43</v>
      </c>
      <c r="CG43" s="74">
        <v>105</v>
      </c>
      <c r="CH43" s="74">
        <v>108</v>
      </c>
      <c r="CI43" s="74">
        <v>103</v>
      </c>
      <c r="CJ43" s="74">
        <v>72</v>
      </c>
      <c r="CK43" s="74">
        <v>66</v>
      </c>
      <c r="CL43" s="74">
        <v>0</v>
      </c>
      <c r="CM43" s="74">
        <f t="shared" si="2"/>
        <v>497</v>
      </c>
      <c r="CO43" s="74">
        <v>1422100</v>
      </c>
      <c r="CP43" s="74" t="s">
        <v>274</v>
      </c>
      <c r="CQ43" s="74" t="s">
        <v>264</v>
      </c>
      <c r="CR43" s="74"/>
      <c r="CS43" s="74">
        <v>43</v>
      </c>
      <c r="CT43" s="74">
        <v>105</v>
      </c>
      <c r="CU43" s="74">
        <v>108</v>
      </c>
      <c r="CV43" s="74">
        <v>103</v>
      </c>
      <c r="CW43" s="74">
        <v>72</v>
      </c>
      <c r="CX43" s="74">
        <v>66</v>
      </c>
      <c r="CY43" s="74">
        <v>0</v>
      </c>
      <c r="CZ43" s="74">
        <v>497</v>
      </c>
      <c r="DB43" s="74">
        <v>1422100</v>
      </c>
      <c r="DC43" s="74" t="s">
        <v>274</v>
      </c>
      <c r="DD43" s="74" t="s">
        <v>264</v>
      </c>
      <c r="DE43" s="74"/>
      <c r="DF43" s="74">
        <v>42</v>
      </c>
      <c r="DG43" s="74">
        <v>101</v>
      </c>
      <c r="DH43" s="74">
        <v>104</v>
      </c>
      <c r="DI43" s="74">
        <v>100</v>
      </c>
      <c r="DJ43" s="74">
        <v>69</v>
      </c>
      <c r="DK43" s="74">
        <v>63</v>
      </c>
      <c r="DL43" s="74">
        <v>0</v>
      </c>
      <c r="DM43" s="74">
        <v>479</v>
      </c>
      <c r="DO43" s="74">
        <v>1422100</v>
      </c>
      <c r="DP43" s="74" t="s">
        <v>274</v>
      </c>
      <c r="DQ43" s="74" t="s">
        <v>264</v>
      </c>
      <c r="DR43" s="74"/>
      <c r="DS43" s="74">
        <v>42</v>
      </c>
      <c r="DT43" s="74">
        <v>101</v>
      </c>
      <c r="DU43" s="74">
        <v>104</v>
      </c>
      <c r="DV43" s="74">
        <v>100</v>
      </c>
      <c r="DW43" s="74">
        <v>69</v>
      </c>
      <c r="DX43" s="74">
        <v>63</v>
      </c>
      <c r="DY43" s="74">
        <v>0</v>
      </c>
      <c r="DZ43" s="74">
        <v>479</v>
      </c>
      <c r="EA43" s="74"/>
      <c r="EB43" s="74">
        <v>1422100</v>
      </c>
      <c r="EC43" s="74" t="s">
        <v>274</v>
      </c>
      <c r="ED43" s="74" t="s">
        <v>264</v>
      </c>
      <c r="EE43" s="74"/>
      <c r="EF43" s="74">
        <v>40</v>
      </c>
      <c r="EG43" s="74">
        <v>96</v>
      </c>
      <c r="EH43" s="74">
        <v>99</v>
      </c>
      <c r="EI43" s="74">
        <v>98</v>
      </c>
      <c r="EJ43" s="74">
        <v>68</v>
      </c>
      <c r="EK43" s="74">
        <v>62</v>
      </c>
      <c r="EL43" s="74">
        <v>0</v>
      </c>
      <c r="EM43" s="74">
        <v>463</v>
      </c>
      <c r="EO43" s="74">
        <v>1422101</v>
      </c>
      <c r="EP43" s="74" t="s">
        <v>274</v>
      </c>
      <c r="EQ43" s="74" t="s">
        <v>264</v>
      </c>
      <c r="ER43" s="74"/>
      <c r="ES43" s="74">
        <v>22</v>
      </c>
      <c r="ET43" s="74">
        <v>33</v>
      </c>
      <c r="EU43" s="74">
        <v>36</v>
      </c>
      <c r="EV43" s="74">
        <v>33</v>
      </c>
      <c r="EW43" s="74">
        <v>26</v>
      </c>
      <c r="EX43" s="74">
        <v>19</v>
      </c>
      <c r="EY43" s="74">
        <v>0</v>
      </c>
      <c r="EZ43" s="74">
        <v>169</v>
      </c>
      <c r="FB43" s="74">
        <v>1422200</v>
      </c>
      <c r="FC43" s="74" t="s">
        <v>276</v>
      </c>
      <c r="FD43" s="74" t="s">
        <v>264</v>
      </c>
      <c r="FE43" s="74"/>
      <c r="FF43" s="74">
        <v>36</v>
      </c>
      <c r="FG43" s="74">
        <v>71</v>
      </c>
      <c r="FH43" s="74">
        <v>75</v>
      </c>
      <c r="FI43" s="74">
        <v>73</v>
      </c>
      <c r="FJ43" s="74">
        <v>50</v>
      </c>
      <c r="FK43" s="74">
        <v>42</v>
      </c>
      <c r="FL43" s="74">
        <v>0</v>
      </c>
      <c r="FM43" s="74">
        <v>347</v>
      </c>
      <c r="FO43" s="74">
        <v>1422200</v>
      </c>
      <c r="FP43" s="74" t="s">
        <v>276</v>
      </c>
      <c r="FQ43" s="74" t="s">
        <v>264</v>
      </c>
      <c r="FR43" s="74"/>
      <c r="FS43" s="74">
        <v>34</v>
      </c>
      <c r="FT43" s="74">
        <v>65</v>
      </c>
      <c r="FU43" s="74">
        <v>69</v>
      </c>
      <c r="FV43" s="74">
        <v>67</v>
      </c>
      <c r="FW43" s="74">
        <v>46</v>
      </c>
      <c r="FX43" s="74">
        <v>38</v>
      </c>
      <c r="FY43" s="74">
        <v>0</v>
      </c>
      <c r="FZ43" s="74">
        <v>319</v>
      </c>
      <c r="GB43" s="74">
        <v>1422200</v>
      </c>
      <c r="GC43" s="74" t="s">
        <v>276</v>
      </c>
      <c r="GD43" s="74" t="s">
        <v>264</v>
      </c>
      <c r="GE43" s="74"/>
      <c r="GF43" s="74">
        <v>18</v>
      </c>
      <c r="GG43" s="74">
        <v>26</v>
      </c>
      <c r="GH43" s="74">
        <v>30</v>
      </c>
      <c r="GI43" s="74">
        <v>28</v>
      </c>
      <c r="GJ43" s="74">
        <v>21</v>
      </c>
      <c r="GK43" s="74">
        <v>16</v>
      </c>
      <c r="GL43" s="74">
        <v>0</v>
      </c>
      <c r="GM43" s="74">
        <v>139</v>
      </c>
      <c r="GO43" s="74">
        <v>1422200</v>
      </c>
      <c r="GP43" s="74" t="s">
        <v>276</v>
      </c>
      <c r="GQ43" s="74" t="s">
        <v>264</v>
      </c>
      <c r="GR43" s="74"/>
      <c r="GS43" s="74">
        <v>15</v>
      </c>
      <c r="GT43" s="74">
        <v>21</v>
      </c>
      <c r="GU43" s="74">
        <v>23</v>
      </c>
      <c r="GV43" s="74">
        <v>22</v>
      </c>
      <c r="GW43" s="74">
        <v>17</v>
      </c>
      <c r="GX43" s="74">
        <v>13</v>
      </c>
      <c r="GY43" s="74">
        <v>0</v>
      </c>
      <c r="GZ43" s="74">
        <f t="shared" si="10"/>
        <v>111</v>
      </c>
    </row>
    <row r="44" spans="1:209">
      <c r="A44" s="487">
        <v>1422101</v>
      </c>
      <c r="B44" s="478" t="s">
        <v>95</v>
      </c>
      <c r="C44" s="478">
        <v>24</v>
      </c>
      <c r="D44" s="478">
        <v>39</v>
      </c>
      <c r="E44" s="478">
        <v>42</v>
      </c>
      <c r="F44" s="478">
        <v>36</v>
      </c>
      <c r="G44" s="478">
        <v>28</v>
      </c>
      <c r="H44" s="478">
        <v>21</v>
      </c>
      <c r="I44" s="478"/>
      <c r="J44" s="479">
        <f>SUM(C44:H44)</f>
        <v>190</v>
      </c>
      <c r="K44" s="480">
        <f>'CORTE 4200'!$O$376</f>
        <v>-50</v>
      </c>
      <c r="L44" s="480"/>
      <c r="M44" s="481"/>
      <c r="N44" s="500"/>
      <c r="O44">
        <v>1422101</v>
      </c>
      <c r="P44" t="s">
        <v>274</v>
      </c>
      <c r="Q44" t="s">
        <v>264</v>
      </c>
      <c r="R44"/>
      <c r="S44">
        <v>24</v>
      </c>
      <c r="T44">
        <v>39</v>
      </c>
      <c r="U44">
        <v>42</v>
      </c>
      <c r="V44">
        <v>36</v>
      </c>
      <c r="W44">
        <v>28</v>
      </c>
      <c r="X44">
        <v>21</v>
      </c>
      <c r="Y44">
        <v>0</v>
      </c>
      <c r="Z44">
        <f t="shared" si="5"/>
        <v>190</v>
      </c>
      <c r="AA44" s="500"/>
      <c r="AB44" s="74">
        <v>1422101</v>
      </c>
      <c r="AC44" s="74" t="s">
        <v>274</v>
      </c>
      <c r="AD44" s="74" t="s">
        <v>264</v>
      </c>
      <c r="AE44"/>
      <c r="AF44" s="74">
        <v>24</v>
      </c>
      <c r="AG44" s="74">
        <v>39</v>
      </c>
      <c r="AH44" s="74">
        <v>42</v>
      </c>
      <c r="AI44" s="74">
        <v>36</v>
      </c>
      <c r="AJ44" s="74">
        <v>28</v>
      </c>
      <c r="AK44" s="74">
        <v>21</v>
      </c>
      <c r="AL44" s="74">
        <v>0</v>
      </c>
      <c r="AM44" s="74">
        <f t="shared" si="1"/>
        <v>190</v>
      </c>
      <c r="AO44" s="74">
        <v>1422101</v>
      </c>
      <c r="AP44" s="74" t="s">
        <v>274</v>
      </c>
      <c r="AQ44" s="74" t="s">
        <v>264</v>
      </c>
      <c r="AR44" s="74"/>
      <c r="AS44" s="74">
        <v>24</v>
      </c>
      <c r="AT44" s="74">
        <v>39</v>
      </c>
      <c r="AU44" s="74">
        <v>42</v>
      </c>
      <c r="AV44" s="74">
        <v>36</v>
      </c>
      <c r="AW44" s="74">
        <v>28</v>
      </c>
      <c r="AX44" s="74">
        <v>21</v>
      </c>
      <c r="AY44" s="74">
        <v>0</v>
      </c>
      <c r="AZ44" s="74">
        <f t="shared" si="6"/>
        <v>190</v>
      </c>
      <c r="BB44" s="74">
        <v>1422101</v>
      </c>
      <c r="BC44" s="74" t="s">
        <v>274</v>
      </c>
      <c r="BD44" s="74" t="s">
        <v>264</v>
      </c>
      <c r="BE44" s="74"/>
      <c r="BF44" s="74">
        <v>24</v>
      </c>
      <c r="BG44" s="74">
        <v>39</v>
      </c>
      <c r="BH44" s="74">
        <v>42</v>
      </c>
      <c r="BI44" s="74">
        <v>36</v>
      </c>
      <c r="BJ44" s="74">
        <v>28</v>
      </c>
      <c r="BK44" s="74">
        <v>21</v>
      </c>
      <c r="BL44" s="74">
        <v>0</v>
      </c>
      <c r="BM44" s="74">
        <f t="shared" si="8"/>
        <v>190</v>
      </c>
      <c r="BO44" s="74">
        <v>1422101</v>
      </c>
      <c r="BP44" s="74" t="s">
        <v>274</v>
      </c>
      <c r="BQ44" s="74" t="s">
        <v>264</v>
      </c>
      <c r="BR44" s="74"/>
      <c r="BS44" s="74">
        <v>24</v>
      </c>
      <c r="BT44" s="74">
        <v>39</v>
      </c>
      <c r="BU44" s="74">
        <v>42</v>
      </c>
      <c r="BV44" s="74">
        <v>36</v>
      </c>
      <c r="BW44" s="74">
        <v>28</v>
      </c>
      <c r="BX44" s="74">
        <v>21</v>
      </c>
      <c r="BY44" s="74">
        <v>0</v>
      </c>
      <c r="BZ44" s="74">
        <f t="shared" si="7"/>
        <v>190</v>
      </c>
      <c r="CB44" s="74">
        <v>1422101</v>
      </c>
      <c r="CC44" s="74" t="s">
        <v>274</v>
      </c>
      <c r="CD44" s="74" t="s">
        <v>264</v>
      </c>
      <c r="CE44" s="74"/>
      <c r="CF44" s="74">
        <v>24</v>
      </c>
      <c r="CG44" s="74">
        <v>39</v>
      </c>
      <c r="CH44" s="74">
        <v>42</v>
      </c>
      <c r="CI44" s="74">
        <v>36</v>
      </c>
      <c r="CJ44" s="74">
        <v>28</v>
      </c>
      <c r="CK44" s="74">
        <v>21</v>
      </c>
      <c r="CL44" s="74">
        <v>0</v>
      </c>
      <c r="CM44" s="74">
        <f t="shared" si="2"/>
        <v>190</v>
      </c>
      <c r="CO44" s="74">
        <v>1422101</v>
      </c>
      <c r="CP44" s="74" t="s">
        <v>274</v>
      </c>
      <c r="CQ44" s="74" t="s">
        <v>264</v>
      </c>
      <c r="CR44" s="74"/>
      <c r="CS44" s="74">
        <v>24</v>
      </c>
      <c r="CT44" s="74">
        <v>39</v>
      </c>
      <c r="CU44" s="74">
        <v>42</v>
      </c>
      <c r="CV44" s="74">
        <v>36</v>
      </c>
      <c r="CW44" s="74">
        <v>28</v>
      </c>
      <c r="CX44" s="74">
        <v>21</v>
      </c>
      <c r="CY44" s="74">
        <v>0</v>
      </c>
      <c r="CZ44" s="74">
        <v>190</v>
      </c>
      <c r="DB44" s="74">
        <v>1422101</v>
      </c>
      <c r="DC44" s="74" t="s">
        <v>274</v>
      </c>
      <c r="DD44" s="74" t="s">
        <v>264</v>
      </c>
      <c r="DE44" s="74"/>
      <c r="DF44" s="74">
        <v>24</v>
      </c>
      <c r="DG44" s="74">
        <v>39</v>
      </c>
      <c r="DH44" s="74">
        <v>42</v>
      </c>
      <c r="DI44" s="74">
        <v>36</v>
      </c>
      <c r="DJ44" s="74">
        <v>28</v>
      </c>
      <c r="DK44" s="74">
        <v>21</v>
      </c>
      <c r="DL44" s="74">
        <v>0</v>
      </c>
      <c r="DM44" s="74">
        <v>190</v>
      </c>
      <c r="DO44" s="74">
        <v>1422101</v>
      </c>
      <c r="DP44" s="74" t="s">
        <v>274</v>
      </c>
      <c r="DQ44" s="74" t="s">
        <v>264</v>
      </c>
      <c r="DR44" s="74"/>
      <c r="DS44" s="74">
        <v>24</v>
      </c>
      <c r="DT44" s="74">
        <v>35</v>
      </c>
      <c r="DU44" s="74">
        <v>38</v>
      </c>
      <c r="DV44" s="74">
        <v>34</v>
      </c>
      <c r="DW44" s="74">
        <v>27</v>
      </c>
      <c r="DX44" s="74">
        <v>20</v>
      </c>
      <c r="DY44" s="74">
        <v>0</v>
      </c>
      <c r="DZ44" s="74">
        <v>178</v>
      </c>
      <c r="EA44" s="74"/>
      <c r="EB44" s="74">
        <v>1422101</v>
      </c>
      <c r="EC44" s="74" t="s">
        <v>274</v>
      </c>
      <c r="ED44" s="74" t="s">
        <v>264</v>
      </c>
      <c r="EE44" s="74"/>
      <c r="EF44" s="74">
        <v>24</v>
      </c>
      <c r="EG44" s="74">
        <v>35</v>
      </c>
      <c r="EH44" s="74">
        <v>38</v>
      </c>
      <c r="EI44" s="74">
        <v>34</v>
      </c>
      <c r="EJ44" s="74">
        <v>27</v>
      </c>
      <c r="EK44" s="74">
        <v>20</v>
      </c>
      <c r="EL44" s="74">
        <v>0</v>
      </c>
      <c r="EM44" s="74">
        <v>178</v>
      </c>
      <c r="EO44" s="74">
        <v>1422190</v>
      </c>
      <c r="EP44" s="74" t="s">
        <v>275</v>
      </c>
      <c r="EQ44" s="74" t="s">
        <v>264</v>
      </c>
      <c r="ER44" s="74"/>
      <c r="ES44" s="74">
        <v>3</v>
      </c>
      <c r="ET44" s="74">
        <v>6</v>
      </c>
      <c r="EU44" s="74">
        <v>8</v>
      </c>
      <c r="EV44" s="74">
        <v>8</v>
      </c>
      <c r="EW44" s="74">
        <v>7</v>
      </c>
      <c r="EX44" s="74">
        <v>6</v>
      </c>
      <c r="EY44" s="74">
        <v>0</v>
      </c>
      <c r="EZ44" s="74">
        <v>38</v>
      </c>
      <c r="FB44" s="74">
        <v>1422300</v>
      </c>
      <c r="FC44" s="74" t="s">
        <v>277</v>
      </c>
      <c r="FD44" s="74" t="s">
        <v>264</v>
      </c>
      <c r="FE44" s="74"/>
      <c r="FF44" s="74">
        <v>16</v>
      </c>
      <c r="FG44" s="74">
        <v>39</v>
      </c>
      <c r="FH44" s="74">
        <v>44</v>
      </c>
      <c r="FI44" s="74">
        <v>43</v>
      </c>
      <c r="FJ44" s="74">
        <v>30</v>
      </c>
      <c r="FK44" s="74">
        <v>25</v>
      </c>
      <c r="FL44" s="74">
        <v>0</v>
      </c>
      <c r="FM44" s="74">
        <v>197</v>
      </c>
      <c r="FO44" s="74">
        <v>1422300</v>
      </c>
      <c r="FP44" s="74" t="s">
        <v>277</v>
      </c>
      <c r="FQ44" s="74" t="s">
        <v>264</v>
      </c>
      <c r="FR44" s="74"/>
      <c r="FS44" s="74">
        <v>16</v>
      </c>
      <c r="FT44" s="74">
        <v>39</v>
      </c>
      <c r="FU44" s="74">
        <v>44</v>
      </c>
      <c r="FV44" s="74">
        <v>43</v>
      </c>
      <c r="FW44" s="74">
        <v>30</v>
      </c>
      <c r="FX44" s="74">
        <v>25</v>
      </c>
      <c r="FY44" s="74">
        <v>0</v>
      </c>
      <c r="FZ44" s="74">
        <v>197</v>
      </c>
      <c r="GB44" s="74">
        <v>1422300</v>
      </c>
      <c r="GC44" s="74" t="s">
        <v>277</v>
      </c>
      <c r="GD44" s="74" t="s">
        <v>264</v>
      </c>
      <c r="GE44" s="74"/>
      <c r="GF44" s="74">
        <v>2</v>
      </c>
      <c r="GG44" s="74">
        <v>6</v>
      </c>
      <c r="GH44" s="74">
        <v>11</v>
      </c>
      <c r="GI44" s="74">
        <v>11</v>
      </c>
      <c r="GJ44" s="74">
        <v>9</v>
      </c>
      <c r="GK44" s="74">
        <v>7</v>
      </c>
      <c r="GL44" s="74">
        <v>0</v>
      </c>
      <c r="GM44" s="74">
        <v>46</v>
      </c>
      <c r="GO44" s="74">
        <v>1422300</v>
      </c>
      <c r="GP44" s="74" t="s">
        <v>277</v>
      </c>
      <c r="GQ44" s="74" t="s">
        <v>264</v>
      </c>
      <c r="GR44" s="74"/>
      <c r="GS44" s="74">
        <v>0</v>
      </c>
      <c r="GT44" s="74">
        <v>4</v>
      </c>
      <c r="GU44" s="74">
        <v>8</v>
      </c>
      <c r="GV44" s="74">
        <v>8</v>
      </c>
      <c r="GW44" s="74">
        <v>7</v>
      </c>
      <c r="GX44" s="74">
        <v>5</v>
      </c>
      <c r="GY44" s="74">
        <v>0</v>
      </c>
      <c r="GZ44" s="74">
        <f t="shared" si="10"/>
        <v>32</v>
      </c>
    </row>
    <row r="45" spans="1:209">
      <c r="A45" s="487">
        <v>1422190</v>
      </c>
      <c r="B45" s="478" t="s">
        <v>95</v>
      </c>
      <c r="C45" s="478">
        <v>5</v>
      </c>
      <c r="D45" s="478">
        <v>12</v>
      </c>
      <c r="E45" s="478">
        <v>14</v>
      </c>
      <c r="F45" s="478">
        <v>14</v>
      </c>
      <c r="G45" s="478">
        <v>11</v>
      </c>
      <c r="H45" s="478">
        <v>9</v>
      </c>
      <c r="I45" s="478"/>
      <c r="J45" s="479">
        <f t="shared" si="13"/>
        <v>65</v>
      </c>
      <c r="K45" s="480">
        <f>'CORTE 4200'!$O$385</f>
        <v>0</v>
      </c>
      <c r="L45" s="480"/>
      <c r="M45" s="481"/>
      <c r="N45" s="500"/>
      <c r="O45">
        <v>1422190</v>
      </c>
      <c r="P45" t="s">
        <v>275</v>
      </c>
      <c r="Q45" t="s">
        <v>264</v>
      </c>
      <c r="R45"/>
      <c r="S45">
        <v>5</v>
      </c>
      <c r="T45">
        <v>12</v>
      </c>
      <c r="U45">
        <v>14</v>
      </c>
      <c r="V45">
        <v>14</v>
      </c>
      <c r="W45">
        <v>11</v>
      </c>
      <c r="X45">
        <v>9</v>
      </c>
      <c r="Y45">
        <v>0</v>
      </c>
      <c r="Z45">
        <f t="shared" si="5"/>
        <v>65</v>
      </c>
      <c r="AA45" s="500"/>
      <c r="AB45" s="74">
        <v>1422190</v>
      </c>
      <c r="AC45" s="74" t="s">
        <v>275</v>
      </c>
      <c r="AD45" s="74" t="s">
        <v>264</v>
      </c>
      <c r="AE45"/>
      <c r="AF45" s="74">
        <v>5</v>
      </c>
      <c r="AG45" s="74">
        <v>12</v>
      </c>
      <c r="AH45" s="74">
        <v>14</v>
      </c>
      <c r="AI45" s="74">
        <v>14</v>
      </c>
      <c r="AJ45" s="74">
        <v>11</v>
      </c>
      <c r="AK45" s="74">
        <v>9</v>
      </c>
      <c r="AL45" s="74">
        <v>0</v>
      </c>
      <c r="AM45" s="74">
        <f t="shared" si="1"/>
        <v>65</v>
      </c>
      <c r="AO45" s="74">
        <v>1422190</v>
      </c>
      <c r="AP45" s="74" t="s">
        <v>275</v>
      </c>
      <c r="AQ45" s="74" t="s">
        <v>264</v>
      </c>
      <c r="AR45" s="74"/>
      <c r="AS45" s="74">
        <v>5</v>
      </c>
      <c r="AT45" s="74">
        <v>10</v>
      </c>
      <c r="AU45" s="74">
        <v>12</v>
      </c>
      <c r="AV45" s="74">
        <v>12</v>
      </c>
      <c r="AW45" s="74">
        <v>9</v>
      </c>
      <c r="AX45" s="74">
        <v>7</v>
      </c>
      <c r="AY45" s="74">
        <v>0</v>
      </c>
      <c r="AZ45" s="74">
        <f t="shared" si="6"/>
        <v>55</v>
      </c>
      <c r="BB45" s="74">
        <v>1422190</v>
      </c>
      <c r="BC45" s="74" t="s">
        <v>275</v>
      </c>
      <c r="BD45" s="74" t="s">
        <v>264</v>
      </c>
      <c r="BE45" s="74"/>
      <c r="BF45" s="74">
        <v>5</v>
      </c>
      <c r="BG45" s="74">
        <v>10</v>
      </c>
      <c r="BH45" s="74">
        <v>12</v>
      </c>
      <c r="BI45" s="74">
        <v>12</v>
      </c>
      <c r="BJ45" s="74">
        <v>9</v>
      </c>
      <c r="BK45" s="74">
        <v>7</v>
      </c>
      <c r="BL45" s="74">
        <v>0</v>
      </c>
      <c r="BM45" s="74">
        <f t="shared" si="8"/>
        <v>55</v>
      </c>
      <c r="BO45" s="74">
        <v>1422190</v>
      </c>
      <c r="BP45" s="74" t="s">
        <v>275</v>
      </c>
      <c r="BQ45" s="74" t="s">
        <v>264</v>
      </c>
      <c r="BR45" s="74"/>
      <c r="BS45" s="74">
        <v>5</v>
      </c>
      <c r="BT45" s="74">
        <v>10</v>
      </c>
      <c r="BU45" s="74">
        <v>12</v>
      </c>
      <c r="BV45" s="74">
        <v>12</v>
      </c>
      <c r="BW45" s="74">
        <v>9</v>
      </c>
      <c r="BX45" s="74">
        <v>7</v>
      </c>
      <c r="BY45" s="74">
        <v>0</v>
      </c>
      <c r="BZ45" s="74">
        <f t="shared" si="7"/>
        <v>55</v>
      </c>
      <c r="CB45" s="74">
        <v>1422190</v>
      </c>
      <c r="CC45" s="74" t="s">
        <v>275</v>
      </c>
      <c r="CD45" s="74" t="s">
        <v>264</v>
      </c>
      <c r="CE45" s="74"/>
      <c r="CF45" s="74">
        <v>3</v>
      </c>
      <c r="CG45" s="74">
        <v>7</v>
      </c>
      <c r="CH45" s="74">
        <v>9</v>
      </c>
      <c r="CI45" s="74">
        <v>9</v>
      </c>
      <c r="CJ45" s="74">
        <v>7</v>
      </c>
      <c r="CK45" s="74">
        <v>6</v>
      </c>
      <c r="CL45" s="74">
        <v>0</v>
      </c>
      <c r="CM45" s="74">
        <f t="shared" si="2"/>
        <v>41</v>
      </c>
      <c r="CO45" s="74">
        <v>1422190</v>
      </c>
      <c r="CP45" s="74" t="s">
        <v>275</v>
      </c>
      <c r="CQ45" s="74" t="s">
        <v>264</v>
      </c>
      <c r="CR45" s="74"/>
      <c r="CS45" s="74">
        <v>3</v>
      </c>
      <c r="CT45" s="74">
        <v>7</v>
      </c>
      <c r="CU45" s="74">
        <v>9</v>
      </c>
      <c r="CV45" s="74">
        <v>9</v>
      </c>
      <c r="CW45" s="74">
        <v>7</v>
      </c>
      <c r="CX45" s="74">
        <v>6</v>
      </c>
      <c r="CY45" s="74">
        <v>0</v>
      </c>
      <c r="CZ45" s="74">
        <v>41</v>
      </c>
      <c r="DB45" s="74">
        <v>1422190</v>
      </c>
      <c r="DC45" s="74" t="s">
        <v>275</v>
      </c>
      <c r="DD45" s="74" t="s">
        <v>264</v>
      </c>
      <c r="DE45" s="74"/>
      <c r="DF45" s="74">
        <v>3</v>
      </c>
      <c r="DG45" s="74">
        <v>7</v>
      </c>
      <c r="DH45" s="74">
        <v>9</v>
      </c>
      <c r="DI45" s="74">
        <v>9</v>
      </c>
      <c r="DJ45" s="74">
        <v>7</v>
      </c>
      <c r="DK45" s="74">
        <v>6</v>
      </c>
      <c r="DL45" s="74">
        <v>0</v>
      </c>
      <c r="DM45" s="74">
        <v>41</v>
      </c>
      <c r="DO45" s="74">
        <v>1422190</v>
      </c>
      <c r="DP45" s="74" t="s">
        <v>275</v>
      </c>
      <c r="DQ45" s="74" t="s">
        <v>264</v>
      </c>
      <c r="DR45" s="74"/>
      <c r="DS45" s="74">
        <v>3</v>
      </c>
      <c r="DT45" s="74">
        <v>6</v>
      </c>
      <c r="DU45" s="74">
        <v>8</v>
      </c>
      <c r="DV45" s="74">
        <v>8</v>
      </c>
      <c r="DW45" s="74">
        <v>7</v>
      </c>
      <c r="DX45" s="74">
        <v>6</v>
      </c>
      <c r="DY45" s="74">
        <v>0</v>
      </c>
      <c r="DZ45" s="74">
        <v>38</v>
      </c>
      <c r="EA45" s="74"/>
      <c r="EB45" s="74">
        <v>1422190</v>
      </c>
      <c r="EC45" s="74" t="s">
        <v>275</v>
      </c>
      <c r="ED45" s="74" t="s">
        <v>264</v>
      </c>
      <c r="EE45" s="74"/>
      <c r="EF45" s="74">
        <v>3</v>
      </c>
      <c r="EG45" s="74">
        <v>6</v>
      </c>
      <c r="EH45" s="74">
        <v>8</v>
      </c>
      <c r="EI45" s="74">
        <v>8</v>
      </c>
      <c r="EJ45" s="74">
        <v>7</v>
      </c>
      <c r="EK45" s="74">
        <v>6</v>
      </c>
      <c r="EL45" s="74">
        <v>0</v>
      </c>
      <c r="EM45" s="74">
        <v>38</v>
      </c>
      <c r="EO45" s="74">
        <v>1422200</v>
      </c>
      <c r="EP45" s="74" t="s">
        <v>276</v>
      </c>
      <c r="EQ45" s="74" t="s">
        <v>264</v>
      </c>
      <c r="ER45" s="74"/>
      <c r="ES45" s="74">
        <v>41</v>
      </c>
      <c r="ET45" s="74">
        <v>78</v>
      </c>
      <c r="EU45" s="74">
        <v>83</v>
      </c>
      <c r="EV45" s="74">
        <v>80</v>
      </c>
      <c r="EW45" s="74">
        <v>53</v>
      </c>
      <c r="EX45" s="74">
        <v>44</v>
      </c>
      <c r="EY45" s="74">
        <v>0</v>
      </c>
      <c r="EZ45" s="74">
        <v>379</v>
      </c>
      <c r="FB45" s="74">
        <v>1422400</v>
      </c>
      <c r="FC45" s="74" t="s">
        <v>269</v>
      </c>
      <c r="FD45" s="74" t="s">
        <v>264</v>
      </c>
      <c r="FE45" s="74"/>
      <c r="FF45" s="74">
        <v>4</v>
      </c>
      <c r="FG45" s="74">
        <v>8</v>
      </c>
      <c r="FH45" s="74">
        <v>11</v>
      </c>
      <c r="FI45" s="74">
        <v>10</v>
      </c>
      <c r="FJ45" s="74">
        <v>8</v>
      </c>
      <c r="FK45" s="74">
        <v>5</v>
      </c>
      <c r="FL45" s="74">
        <v>0</v>
      </c>
      <c r="FM45" s="74">
        <v>46</v>
      </c>
      <c r="FO45" s="74">
        <v>1422400</v>
      </c>
      <c r="FP45" s="74" t="s">
        <v>269</v>
      </c>
      <c r="FQ45" s="74" t="s">
        <v>264</v>
      </c>
      <c r="FR45" s="74"/>
      <c r="FS45" s="74">
        <v>4</v>
      </c>
      <c r="FT45" s="74">
        <v>8</v>
      </c>
      <c r="FU45" s="74">
        <v>11</v>
      </c>
      <c r="FV45" s="74">
        <v>10</v>
      </c>
      <c r="FW45" s="74">
        <v>8</v>
      </c>
      <c r="FX45" s="74">
        <v>5</v>
      </c>
      <c r="FY45" s="74">
        <v>0</v>
      </c>
      <c r="FZ45" s="74">
        <v>46</v>
      </c>
      <c r="GB45" s="74">
        <v>1422400</v>
      </c>
      <c r="GC45" s="74" t="s">
        <v>269</v>
      </c>
      <c r="GD45" s="74" t="s">
        <v>264</v>
      </c>
      <c r="GE45" s="74"/>
      <c r="GF45" s="74">
        <v>0</v>
      </c>
      <c r="GG45" s="74">
        <v>4</v>
      </c>
      <c r="GH45" s="74">
        <v>8</v>
      </c>
      <c r="GI45" s="74">
        <v>8</v>
      </c>
      <c r="GJ45" s="74">
        <v>7</v>
      </c>
      <c r="GK45" s="74">
        <v>5</v>
      </c>
      <c r="GL45" s="74">
        <v>0</v>
      </c>
      <c r="GM45" s="74">
        <v>32</v>
      </c>
      <c r="GO45" s="443">
        <v>1422400</v>
      </c>
      <c r="GP45" s="74" t="s">
        <v>269</v>
      </c>
      <c r="GQ45" s="74" t="s">
        <v>264</v>
      </c>
      <c r="GR45" s="74"/>
      <c r="GS45" s="74">
        <v>0</v>
      </c>
      <c r="GT45" s="74">
        <v>4</v>
      </c>
      <c r="GU45" s="74">
        <v>8</v>
      </c>
      <c r="GV45" s="74">
        <v>8</v>
      </c>
      <c r="GW45" s="74">
        <v>7</v>
      </c>
      <c r="GX45" s="74">
        <v>5</v>
      </c>
      <c r="GY45" s="74">
        <v>0</v>
      </c>
      <c r="GZ45" s="74">
        <f t="shared" si="10"/>
        <v>32</v>
      </c>
    </row>
    <row r="46" spans="1:209">
      <c r="A46" s="478">
        <v>1422200</v>
      </c>
      <c r="B46" s="478" t="s">
        <v>50</v>
      </c>
      <c r="C46" s="478">
        <v>53</v>
      </c>
      <c r="D46" s="478">
        <v>97</v>
      </c>
      <c r="E46" s="478">
        <v>107</v>
      </c>
      <c r="F46" s="478">
        <v>103</v>
      </c>
      <c r="G46" s="478">
        <v>67</v>
      </c>
      <c r="H46" s="478">
        <v>50</v>
      </c>
      <c r="I46" s="478"/>
      <c r="J46" s="479">
        <f>SUM(C46:H46)</f>
        <v>477</v>
      </c>
      <c r="K46" s="480">
        <f>'CORTE 4200'!$O$394</f>
        <v>-150</v>
      </c>
      <c r="L46" s="480"/>
      <c r="M46" s="481"/>
      <c r="N46" s="500"/>
      <c r="O46">
        <v>1422200</v>
      </c>
      <c r="P46" t="s">
        <v>276</v>
      </c>
      <c r="Q46" t="s">
        <v>264</v>
      </c>
      <c r="R46"/>
      <c r="S46">
        <v>53</v>
      </c>
      <c r="T46">
        <v>97</v>
      </c>
      <c r="U46">
        <v>107</v>
      </c>
      <c r="V46">
        <v>103</v>
      </c>
      <c r="W46">
        <v>67</v>
      </c>
      <c r="X46">
        <v>50</v>
      </c>
      <c r="Y46">
        <v>0</v>
      </c>
      <c r="Z46">
        <f t="shared" si="5"/>
        <v>477</v>
      </c>
      <c r="AA46" s="500"/>
      <c r="AB46" s="74">
        <v>1422200</v>
      </c>
      <c r="AC46" s="74" t="s">
        <v>276</v>
      </c>
      <c r="AD46" s="74" t="s">
        <v>264</v>
      </c>
      <c r="AE46"/>
      <c r="AF46" s="74">
        <v>54</v>
      </c>
      <c r="AG46" s="74">
        <v>99</v>
      </c>
      <c r="AH46" s="74">
        <v>109</v>
      </c>
      <c r="AI46" s="74">
        <v>103</v>
      </c>
      <c r="AJ46" s="74">
        <v>67</v>
      </c>
      <c r="AK46" s="74">
        <v>50</v>
      </c>
      <c r="AL46" s="74">
        <v>0</v>
      </c>
      <c r="AM46" s="74">
        <f t="shared" si="1"/>
        <v>482</v>
      </c>
      <c r="AO46" s="74">
        <v>1422200</v>
      </c>
      <c r="AP46" s="74" t="s">
        <v>276</v>
      </c>
      <c r="AQ46" s="74" t="s">
        <v>264</v>
      </c>
      <c r="AR46" s="74"/>
      <c r="AS46" s="74">
        <v>54</v>
      </c>
      <c r="AT46" s="74">
        <v>99</v>
      </c>
      <c r="AU46" s="74">
        <v>109</v>
      </c>
      <c r="AV46" s="74">
        <v>103</v>
      </c>
      <c r="AW46" s="74">
        <v>67</v>
      </c>
      <c r="AX46" s="74">
        <v>50</v>
      </c>
      <c r="AY46" s="74">
        <v>0</v>
      </c>
      <c r="AZ46" s="74">
        <f t="shared" si="6"/>
        <v>482</v>
      </c>
      <c r="BB46" s="74">
        <v>1422200</v>
      </c>
      <c r="BC46" s="74" t="s">
        <v>276</v>
      </c>
      <c r="BD46" s="74" t="s">
        <v>264</v>
      </c>
      <c r="BE46" s="74"/>
      <c r="BF46" s="74">
        <v>53</v>
      </c>
      <c r="BG46" s="74">
        <v>97</v>
      </c>
      <c r="BH46" s="74">
        <v>106</v>
      </c>
      <c r="BI46" s="74">
        <v>101</v>
      </c>
      <c r="BJ46" s="74">
        <v>66</v>
      </c>
      <c r="BK46" s="74">
        <v>49</v>
      </c>
      <c r="BL46" s="74">
        <v>0</v>
      </c>
      <c r="BM46" s="74">
        <f t="shared" si="8"/>
        <v>472</v>
      </c>
      <c r="BO46" s="74">
        <v>1422200</v>
      </c>
      <c r="BP46" s="74" t="s">
        <v>276</v>
      </c>
      <c r="BQ46" s="74" t="s">
        <v>264</v>
      </c>
      <c r="BR46" s="74"/>
      <c r="BS46" s="74">
        <v>53</v>
      </c>
      <c r="BT46" s="74">
        <v>97</v>
      </c>
      <c r="BU46" s="74">
        <v>106</v>
      </c>
      <c r="BV46" s="74">
        <v>101</v>
      </c>
      <c r="BW46" s="74">
        <v>66</v>
      </c>
      <c r="BX46" s="74">
        <v>49</v>
      </c>
      <c r="BY46" s="74">
        <v>0</v>
      </c>
      <c r="BZ46" s="74">
        <f t="shared" si="7"/>
        <v>472</v>
      </c>
      <c r="CB46" s="74">
        <v>1422200</v>
      </c>
      <c r="CC46" s="74" t="s">
        <v>276</v>
      </c>
      <c r="CD46" s="74" t="s">
        <v>264</v>
      </c>
      <c r="CE46" s="74"/>
      <c r="CF46" s="74">
        <v>51</v>
      </c>
      <c r="CG46" s="74">
        <v>95</v>
      </c>
      <c r="CH46" s="74">
        <v>104</v>
      </c>
      <c r="CI46" s="74">
        <v>98</v>
      </c>
      <c r="CJ46" s="74">
        <v>64</v>
      </c>
      <c r="CK46" s="74">
        <v>49</v>
      </c>
      <c r="CL46" s="74">
        <v>0</v>
      </c>
      <c r="CM46" s="74">
        <f t="shared" si="2"/>
        <v>461</v>
      </c>
      <c r="CO46" s="74">
        <v>1422200</v>
      </c>
      <c r="CP46" s="74" t="s">
        <v>276</v>
      </c>
      <c r="CQ46" s="74" t="s">
        <v>264</v>
      </c>
      <c r="CR46" s="74"/>
      <c r="CS46" s="74">
        <v>51</v>
      </c>
      <c r="CT46" s="74">
        <v>95</v>
      </c>
      <c r="CU46" s="74">
        <v>104</v>
      </c>
      <c r="CV46" s="74">
        <v>98</v>
      </c>
      <c r="CW46" s="74">
        <v>64</v>
      </c>
      <c r="CX46" s="74">
        <v>49</v>
      </c>
      <c r="CY46" s="74">
        <v>0</v>
      </c>
      <c r="CZ46" s="74">
        <v>461</v>
      </c>
      <c r="DB46" s="74">
        <v>1422200</v>
      </c>
      <c r="DC46" s="74" t="s">
        <v>276</v>
      </c>
      <c r="DD46" s="74" t="s">
        <v>264</v>
      </c>
      <c r="DE46" s="74"/>
      <c r="DF46" s="74">
        <v>48</v>
      </c>
      <c r="DG46" s="74">
        <v>91</v>
      </c>
      <c r="DH46" s="74">
        <v>99</v>
      </c>
      <c r="DI46" s="74">
        <v>93</v>
      </c>
      <c r="DJ46" s="74">
        <v>60</v>
      </c>
      <c r="DK46" s="74">
        <v>47</v>
      </c>
      <c r="DL46" s="74">
        <v>0</v>
      </c>
      <c r="DM46" s="74">
        <v>438</v>
      </c>
      <c r="DO46" s="74">
        <v>1422200</v>
      </c>
      <c r="DP46" s="74" t="s">
        <v>276</v>
      </c>
      <c r="DQ46" s="74" t="s">
        <v>264</v>
      </c>
      <c r="DR46" s="74"/>
      <c r="DS46" s="74">
        <v>45</v>
      </c>
      <c r="DT46" s="74">
        <v>86</v>
      </c>
      <c r="DU46" s="74">
        <v>91</v>
      </c>
      <c r="DV46" s="74">
        <v>86</v>
      </c>
      <c r="DW46" s="74">
        <v>56</v>
      </c>
      <c r="DX46" s="74">
        <v>46</v>
      </c>
      <c r="DY46" s="74">
        <v>0</v>
      </c>
      <c r="DZ46" s="74">
        <v>410</v>
      </c>
      <c r="EA46" s="74"/>
      <c r="EB46" s="74">
        <v>1422200</v>
      </c>
      <c r="EC46" s="74" t="s">
        <v>276</v>
      </c>
      <c r="ED46" s="74" t="s">
        <v>264</v>
      </c>
      <c r="EE46" s="74"/>
      <c r="EF46" s="74">
        <v>43</v>
      </c>
      <c r="EG46" s="74">
        <v>81</v>
      </c>
      <c r="EH46" s="74">
        <v>86</v>
      </c>
      <c r="EI46" s="74">
        <v>83</v>
      </c>
      <c r="EJ46" s="74">
        <v>55</v>
      </c>
      <c r="EK46" s="74">
        <v>45</v>
      </c>
      <c r="EL46" s="74">
        <v>0</v>
      </c>
      <c r="EM46" s="74">
        <v>393</v>
      </c>
      <c r="EO46" s="74">
        <v>1422300</v>
      </c>
      <c r="EP46" s="74" t="s">
        <v>277</v>
      </c>
      <c r="EQ46" s="74" t="s">
        <v>264</v>
      </c>
      <c r="ER46" s="74"/>
      <c r="ES46" s="74">
        <v>22</v>
      </c>
      <c r="ET46" s="74">
        <v>47</v>
      </c>
      <c r="EU46" s="74">
        <v>52</v>
      </c>
      <c r="EV46" s="74">
        <v>50</v>
      </c>
      <c r="EW46" s="74">
        <v>34</v>
      </c>
      <c r="EX46" s="74">
        <v>28</v>
      </c>
      <c r="EY46" s="74">
        <v>0</v>
      </c>
      <c r="EZ46" s="74">
        <v>233</v>
      </c>
      <c r="FB46" s="74">
        <v>1422401</v>
      </c>
      <c r="FC46" s="74" t="s">
        <v>269</v>
      </c>
      <c r="FD46" s="74" t="s">
        <v>264</v>
      </c>
      <c r="FE46" s="74"/>
      <c r="FF46" s="74">
        <v>2</v>
      </c>
      <c r="FG46" s="74">
        <v>6</v>
      </c>
      <c r="FH46" s="74">
        <v>10</v>
      </c>
      <c r="FI46" s="74">
        <v>10</v>
      </c>
      <c r="FJ46" s="74">
        <v>8</v>
      </c>
      <c r="FK46" s="74">
        <v>5</v>
      </c>
      <c r="FL46" s="74">
        <v>0</v>
      </c>
      <c r="FM46" s="74">
        <v>41</v>
      </c>
      <c r="FO46" s="74">
        <v>1422401</v>
      </c>
      <c r="FP46" s="74" t="s">
        <v>269</v>
      </c>
      <c r="FQ46" s="74" t="s">
        <v>264</v>
      </c>
      <c r="FR46" s="74"/>
      <c r="FS46" s="74">
        <v>2</v>
      </c>
      <c r="FT46" s="74">
        <v>6</v>
      </c>
      <c r="FU46" s="74">
        <v>10</v>
      </c>
      <c r="FV46" s="74">
        <v>10</v>
      </c>
      <c r="FW46" s="74">
        <v>8</v>
      </c>
      <c r="FX46" s="74">
        <v>5</v>
      </c>
      <c r="FY46" s="74">
        <v>0</v>
      </c>
      <c r="FZ46" s="74">
        <v>41</v>
      </c>
      <c r="GB46" s="74">
        <v>1422401</v>
      </c>
      <c r="GC46" s="74" t="s">
        <v>269</v>
      </c>
      <c r="GD46" s="74" t="s">
        <v>264</v>
      </c>
      <c r="GE46" s="74"/>
      <c r="GF46" s="74">
        <v>0</v>
      </c>
      <c r="GG46" s="74">
        <v>4</v>
      </c>
      <c r="GH46" s="74">
        <v>8</v>
      </c>
      <c r="GI46" s="74">
        <v>8</v>
      </c>
      <c r="GJ46" s="74">
        <v>7</v>
      </c>
      <c r="GK46" s="74">
        <v>5</v>
      </c>
      <c r="GL46" s="74">
        <v>0</v>
      </c>
      <c r="GM46" s="74">
        <v>32</v>
      </c>
      <c r="GO46" s="443">
        <v>1422401</v>
      </c>
      <c r="GP46" s="74" t="s">
        <v>269</v>
      </c>
      <c r="GQ46" s="74" t="s">
        <v>264</v>
      </c>
      <c r="GR46" s="74"/>
      <c r="GS46" s="74">
        <v>0</v>
      </c>
      <c r="GT46" s="74">
        <v>4</v>
      </c>
      <c r="GU46" s="74">
        <v>8</v>
      </c>
      <c r="GV46" s="74">
        <v>8</v>
      </c>
      <c r="GW46" s="74">
        <v>7</v>
      </c>
      <c r="GX46" s="74">
        <v>5</v>
      </c>
      <c r="GY46" s="74">
        <v>0</v>
      </c>
      <c r="GZ46" s="74">
        <f t="shared" si="10"/>
        <v>32</v>
      </c>
    </row>
    <row r="47" spans="1:209">
      <c r="A47" s="478">
        <v>1422300</v>
      </c>
      <c r="B47" s="478" t="s">
        <v>36</v>
      </c>
      <c r="C47" s="478">
        <v>46</v>
      </c>
      <c r="D47" s="478">
        <v>84</v>
      </c>
      <c r="E47" s="478">
        <v>92</v>
      </c>
      <c r="F47" s="478">
        <v>83</v>
      </c>
      <c r="G47" s="478">
        <v>50</v>
      </c>
      <c r="H47" s="478">
        <v>42</v>
      </c>
      <c r="I47" s="478"/>
      <c r="J47" s="479">
        <f t="shared" si="13"/>
        <v>397</v>
      </c>
      <c r="K47" s="480">
        <f>'CORTE 4200'!$O$403</f>
        <v>-169</v>
      </c>
      <c r="L47" s="480">
        <v>50</v>
      </c>
      <c r="M47" s="481"/>
      <c r="N47" s="500"/>
      <c r="O47">
        <v>1422300</v>
      </c>
      <c r="P47" t="s">
        <v>277</v>
      </c>
      <c r="Q47" t="s">
        <v>264</v>
      </c>
      <c r="R47"/>
      <c r="S47">
        <v>46</v>
      </c>
      <c r="T47">
        <v>84</v>
      </c>
      <c r="U47">
        <v>92</v>
      </c>
      <c r="V47">
        <v>83</v>
      </c>
      <c r="W47">
        <v>50</v>
      </c>
      <c r="X47">
        <v>42</v>
      </c>
      <c r="Y47">
        <v>0</v>
      </c>
      <c r="Z47">
        <f t="shared" si="5"/>
        <v>397</v>
      </c>
      <c r="AA47" s="500"/>
      <c r="AB47" s="74">
        <v>1422300</v>
      </c>
      <c r="AC47" s="74" t="s">
        <v>277</v>
      </c>
      <c r="AD47" s="74" t="s">
        <v>264</v>
      </c>
      <c r="AE47"/>
      <c r="AF47" s="74">
        <v>46</v>
      </c>
      <c r="AG47" s="74">
        <v>84</v>
      </c>
      <c r="AH47" s="74">
        <v>92</v>
      </c>
      <c r="AI47" s="74">
        <v>83</v>
      </c>
      <c r="AJ47" s="74">
        <v>50</v>
      </c>
      <c r="AK47" s="74">
        <v>42</v>
      </c>
      <c r="AL47" s="74">
        <v>0</v>
      </c>
      <c r="AM47" s="74">
        <f t="shared" si="1"/>
        <v>397</v>
      </c>
      <c r="AO47" s="74">
        <v>1422300</v>
      </c>
      <c r="AP47" s="74" t="s">
        <v>277</v>
      </c>
      <c r="AQ47" s="74" t="s">
        <v>264</v>
      </c>
      <c r="AR47" s="74"/>
      <c r="AS47" s="74">
        <v>44</v>
      </c>
      <c r="AT47" s="74">
        <v>81</v>
      </c>
      <c r="AU47" s="74">
        <v>89</v>
      </c>
      <c r="AV47" s="74">
        <v>81</v>
      </c>
      <c r="AW47" s="74">
        <v>48</v>
      </c>
      <c r="AX47" s="74">
        <v>40</v>
      </c>
      <c r="AY47" s="74">
        <v>0</v>
      </c>
      <c r="AZ47" s="74">
        <f t="shared" si="6"/>
        <v>383</v>
      </c>
      <c r="BB47" s="74">
        <v>1422300</v>
      </c>
      <c r="BC47" s="74" t="s">
        <v>277</v>
      </c>
      <c r="BD47" s="74" t="s">
        <v>264</v>
      </c>
      <c r="BE47" s="74"/>
      <c r="BF47" s="74">
        <v>43</v>
      </c>
      <c r="BG47" s="74">
        <v>79</v>
      </c>
      <c r="BH47" s="74">
        <v>86</v>
      </c>
      <c r="BI47" s="74">
        <v>79</v>
      </c>
      <c r="BJ47" s="74">
        <v>47</v>
      </c>
      <c r="BK47" s="74">
        <v>39</v>
      </c>
      <c r="BL47" s="74">
        <v>0</v>
      </c>
      <c r="BM47" s="74">
        <f t="shared" si="8"/>
        <v>373</v>
      </c>
      <c r="BO47" s="74">
        <v>1422300</v>
      </c>
      <c r="BP47" s="74" t="s">
        <v>277</v>
      </c>
      <c r="BQ47" s="74" t="s">
        <v>264</v>
      </c>
      <c r="BR47" s="74"/>
      <c r="BS47" s="74">
        <v>35</v>
      </c>
      <c r="BT47" s="74">
        <v>67</v>
      </c>
      <c r="BU47" s="74">
        <v>74</v>
      </c>
      <c r="BV47" s="74">
        <v>67</v>
      </c>
      <c r="BW47" s="74">
        <v>44</v>
      </c>
      <c r="BX47" s="74">
        <v>36</v>
      </c>
      <c r="BY47" s="74">
        <v>0</v>
      </c>
      <c r="BZ47" s="74">
        <f t="shared" si="7"/>
        <v>323</v>
      </c>
      <c r="CB47" s="74">
        <v>1422300</v>
      </c>
      <c r="CC47" s="74" t="s">
        <v>277</v>
      </c>
      <c r="CD47" s="74" t="s">
        <v>264</v>
      </c>
      <c r="CE47" s="74"/>
      <c r="CF47" s="74">
        <v>34</v>
      </c>
      <c r="CG47" s="74">
        <v>65</v>
      </c>
      <c r="CH47" s="74">
        <v>72</v>
      </c>
      <c r="CI47" s="74">
        <v>65</v>
      </c>
      <c r="CJ47" s="74">
        <v>43</v>
      </c>
      <c r="CK47" s="74">
        <v>35</v>
      </c>
      <c r="CL47" s="74">
        <v>0</v>
      </c>
      <c r="CM47" s="74">
        <f t="shared" si="2"/>
        <v>314</v>
      </c>
      <c r="CO47" s="74">
        <v>1422300</v>
      </c>
      <c r="CP47" s="74" t="s">
        <v>277</v>
      </c>
      <c r="CQ47" s="74" t="s">
        <v>264</v>
      </c>
      <c r="CR47" s="74"/>
      <c r="CS47" s="74">
        <v>34</v>
      </c>
      <c r="CT47" s="74">
        <v>65</v>
      </c>
      <c r="CU47" s="74">
        <v>72</v>
      </c>
      <c r="CV47" s="74">
        <v>65</v>
      </c>
      <c r="CW47" s="74">
        <v>43</v>
      </c>
      <c r="CX47" s="74">
        <v>35</v>
      </c>
      <c r="CY47" s="74">
        <v>0</v>
      </c>
      <c r="CZ47" s="74">
        <v>314</v>
      </c>
      <c r="DB47" s="74">
        <v>1422300</v>
      </c>
      <c r="DC47" s="74" t="s">
        <v>277</v>
      </c>
      <c r="DD47" s="74" t="s">
        <v>264</v>
      </c>
      <c r="DE47" s="74"/>
      <c r="DF47" s="74">
        <v>32</v>
      </c>
      <c r="DG47" s="74">
        <v>61</v>
      </c>
      <c r="DH47" s="74">
        <v>66</v>
      </c>
      <c r="DI47" s="74">
        <v>61</v>
      </c>
      <c r="DJ47" s="74">
        <v>39</v>
      </c>
      <c r="DK47" s="74">
        <v>32</v>
      </c>
      <c r="DL47" s="74">
        <v>0</v>
      </c>
      <c r="DM47" s="74">
        <v>291</v>
      </c>
      <c r="DO47" s="74">
        <v>1422300</v>
      </c>
      <c r="DP47" s="74" t="s">
        <v>277</v>
      </c>
      <c r="DQ47" s="74" t="s">
        <v>264</v>
      </c>
      <c r="DR47" s="74"/>
      <c r="DS47" s="74">
        <v>29</v>
      </c>
      <c r="DT47" s="74">
        <v>56</v>
      </c>
      <c r="DU47" s="74">
        <v>61</v>
      </c>
      <c r="DV47" s="74">
        <v>58</v>
      </c>
      <c r="DW47" s="74">
        <v>39</v>
      </c>
      <c r="DX47" s="74">
        <v>32</v>
      </c>
      <c r="DY47" s="74">
        <v>0</v>
      </c>
      <c r="DZ47" s="74">
        <v>275</v>
      </c>
      <c r="EA47" s="74"/>
      <c r="EB47" s="74">
        <v>1422300</v>
      </c>
      <c r="EC47" s="74" t="s">
        <v>277</v>
      </c>
      <c r="ED47" s="74" t="s">
        <v>264</v>
      </c>
      <c r="EE47" s="74"/>
      <c r="EF47" s="74">
        <v>29</v>
      </c>
      <c r="EG47" s="74">
        <v>56</v>
      </c>
      <c r="EH47" s="74">
        <v>61</v>
      </c>
      <c r="EI47" s="74">
        <v>58</v>
      </c>
      <c r="EJ47" s="74">
        <v>39</v>
      </c>
      <c r="EK47" s="74">
        <v>32</v>
      </c>
      <c r="EL47" s="74">
        <v>0</v>
      </c>
      <c r="EM47" s="74">
        <v>275</v>
      </c>
      <c r="EO47" s="74">
        <v>1422400</v>
      </c>
      <c r="EP47" s="74" t="s">
        <v>269</v>
      </c>
      <c r="EQ47" s="74" t="s">
        <v>264</v>
      </c>
      <c r="ER47" s="74"/>
      <c r="ES47" s="74">
        <v>8</v>
      </c>
      <c r="ET47" s="74">
        <v>14</v>
      </c>
      <c r="EU47" s="74">
        <v>17</v>
      </c>
      <c r="EV47" s="74">
        <v>15</v>
      </c>
      <c r="EW47" s="74">
        <v>13</v>
      </c>
      <c r="EX47" s="74">
        <v>8</v>
      </c>
      <c r="EY47" s="74">
        <v>0</v>
      </c>
      <c r="EZ47" s="74">
        <v>75</v>
      </c>
      <c r="FB47" s="74">
        <v>1422500</v>
      </c>
      <c r="FC47" s="74" t="s">
        <v>270</v>
      </c>
      <c r="FD47" s="74" t="s">
        <v>264</v>
      </c>
      <c r="FE47" s="74"/>
      <c r="FF47" s="74">
        <v>26</v>
      </c>
      <c r="FG47" s="74">
        <v>59</v>
      </c>
      <c r="FH47" s="74">
        <v>61</v>
      </c>
      <c r="FI47" s="74">
        <v>59</v>
      </c>
      <c r="FJ47" s="74">
        <v>41</v>
      </c>
      <c r="FK47" s="74">
        <v>38</v>
      </c>
      <c r="FL47" s="74">
        <v>0</v>
      </c>
      <c r="FM47" s="74">
        <v>284</v>
      </c>
      <c r="FO47" s="74">
        <v>1422500</v>
      </c>
      <c r="FP47" s="74" t="s">
        <v>270</v>
      </c>
      <c r="FQ47" s="74" t="s">
        <v>264</v>
      </c>
      <c r="FR47" s="74"/>
      <c r="FS47" s="74">
        <v>24</v>
      </c>
      <c r="FT47" s="74">
        <v>53</v>
      </c>
      <c r="FU47" s="74">
        <v>55</v>
      </c>
      <c r="FV47" s="74">
        <v>53</v>
      </c>
      <c r="FW47" s="74">
        <v>37</v>
      </c>
      <c r="FX47" s="74">
        <v>34</v>
      </c>
      <c r="FY47" s="74">
        <v>0</v>
      </c>
      <c r="FZ47" s="74">
        <v>256</v>
      </c>
      <c r="GB47" s="74">
        <v>1422500</v>
      </c>
      <c r="GC47" s="74" t="s">
        <v>270</v>
      </c>
      <c r="GD47" s="74" t="s">
        <v>264</v>
      </c>
      <c r="GE47" s="74"/>
      <c r="GF47" s="74">
        <v>10</v>
      </c>
      <c r="GG47" s="74">
        <v>14</v>
      </c>
      <c r="GH47" s="74">
        <v>16</v>
      </c>
      <c r="GI47" s="74">
        <v>15</v>
      </c>
      <c r="GJ47" s="74">
        <v>12</v>
      </c>
      <c r="GK47" s="74">
        <v>10</v>
      </c>
      <c r="GL47" s="74">
        <v>0</v>
      </c>
      <c r="GM47" s="74">
        <v>77</v>
      </c>
      <c r="GO47" s="444">
        <v>1422500</v>
      </c>
      <c r="GP47" s="74" t="s">
        <v>270</v>
      </c>
      <c r="GQ47" s="74" t="s">
        <v>264</v>
      </c>
      <c r="GR47" s="74"/>
      <c r="GS47" s="74">
        <v>8</v>
      </c>
      <c r="GT47" s="74">
        <v>12</v>
      </c>
      <c r="GU47" s="74">
        <v>14</v>
      </c>
      <c r="GV47" s="74">
        <v>13</v>
      </c>
      <c r="GW47" s="74">
        <v>10</v>
      </c>
      <c r="GX47" s="74">
        <v>8</v>
      </c>
      <c r="GY47" s="74">
        <v>0</v>
      </c>
      <c r="GZ47" s="74">
        <f t="shared" si="10"/>
        <v>65</v>
      </c>
    </row>
    <row r="48" spans="1:209">
      <c r="A48" s="491">
        <v>1422400</v>
      </c>
      <c r="B48" s="478" t="s">
        <v>50</v>
      </c>
      <c r="C48" s="478">
        <v>10</v>
      </c>
      <c r="D48" s="478">
        <v>21</v>
      </c>
      <c r="E48" s="478">
        <v>24</v>
      </c>
      <c r="F48" s="478">
        <v>20</v>
      </c>
      <c r="G48" s="478">
        <v>17</v>
      </c>
      <c r="H48" s="478">
        <v>11</v>
      </c>
      <c r="I48" s="478"/>
      <c r="J48" s="479">
        <f t="shared" si="13"/>
        <v>103</v>
      </c>
      <c r="K48" s="480">
        <f>'CORTE 4200'!$O$412</f>
        <v>-35</v>
      </c>
      <c r="L48" s="480"/>
      <c r="M48" s="481" t="s">
        <v>242</v>
      </c>
      <c r="N48" s="500"/>
      <c r="O48">
        <v>1422400</v>
      </c>
      <c r="P48" t="s">
        <v>269</v>
      </c>
      <c r="Q48" t="s">
        <v>264</v>
      </c>
      <c r="R48"/>
      <c r="S48">
        <v>10</v>
      </c>
      <c r="T48">
        <v>21</v>
      </c>
      <c r="U48">
        <v>24</v>
      </c>
      <c r="V48">
        <v>20</v>
      </c>
      <c r="W48">
        <v>17</v>
      </c>
      <c r="X48">
        <v>11</v>
      </c>
      <c r="Y48">
        <v>0</v>
      </c>
      <c r="Z48">
        <f t="shared" si="5"/>
        <v>103</v>
      </c>
      <c r="AA48" s="500"/>
      <c r="AB48" s="74">
        <v>1422400</v>
      </c>
      <c r="AC48" s="74" t="s">
        <v>269</v>
      </c>
      <c r="AD48" s="74" t="s">
        <v>264</v>
      </c>
      <c r="AE48"/>
      <c r="AF48" s="74">
        <v>10</v>
      </c>
      <c r="AG48" s="74">
        <v>21</v>
      </c>
      <c r="AH48" s="74">
        <v>24</v>
      </c>
      <c r="AI48" s="74">
        <v>20</v>
      </c>
      <c r="AJ48" s="74">
        <v>17</v>
      </c>
      <c r="AK48" s="74">
        <v>11</v>
      </c>
      <c r="AL48" s="74">
        <v>0</v>
      </c>
      <c r="AM48" s="74">
        <f t="shared" si="1"/>
        <v>103</v>
      </c>
      <c r="AO48" s="74">
        <v>1422400</v>
      </c>
      <c r="AP48" s="74" t="s">
        <v>269</v>
      </c>
      <c r="AQ48" s="74" t="s">
        <v>264</v>
      </c>
      <c r="AR48" s="74"/>
      <c r="AS48" s="74">
        <v>10</v>
      </c>
      <c r="AT48" s="74">
        <v>21</v>
      </c>
      <c r="AU48" s="74">
        <v>24</v>
      </c>
      <c r="AV48" s="74">
        <v>20</v>
      </c>
      <c r="AW48" s="74">
        <v>17</v>
      </c>
      <c r="AX48" s="74">
        <v>11</v>
      </c>
      <c r="AY48" s="74">
        <v>0</v>
      </c>
      <c r="AZ48" s="74">
        <f t="shared" si="6"/>
        <v>103</v>
      </c>
      <c r="BB48" s="74">
        <v>1422400</v>
      </c>
      <c r="BC48" s="74" t="s">
        <v>269</v>
      </c>
      <c r="BD48" s="74" t="s">
        <v>264</v>
      </c>
      <c r="BE48" s="74"/>
      <c r="BF48" s="74">
        <v>10</v>
      </c>
      <c r="BG48" s="74">
        <v>21</v>
      </c>
      <c r="BH48" s="74">
        <v>24</v>
      </c>
      <c r="BI48" s="74">
        <v>20</v>
      </c>
      <c r="BJ48" s="74">
        <v>17</v>
      </c>
      <c r="BK48" s="74">
        <v>11</v>
      </c>
      <c r="BL48" s="74">
        <v>0</v>
      </c>
      <c r="BM48" s="74">
        <f t="shared" si="8"/>
        <v>103</v>
      </c>
      <c r="BO48" s="74">
        <v>1422400</v>
      </c>
      <c r="BP48" s="74" t="s">
        <v>269</v>
      </c>
      <c r="BQ48" s="74" t="s">
        <v>264</v>
      </c>
      <c r="BR48" s="74"/>
      <c r="BS48" s="74">
        <v>10</v>
      </c>
      <c r="BT48" s="74">
        <v>21</v>
      </c>
      <c r="BU48" s="74">
        <v>24</v>
      </c>
      <c r="BV48" s="74">
        <v>20</v>
      </c>
      <c r="BW48" s="74">
        <v>17</v>
      </c>
      <c r="BX48" s="74">
        <v>11</v>
      </c>
      <c r="BY48" s="74">
        <v>0</v>
      </c>
      <c r="BZ48" s="74">
        <f t="shared" si="7"/>
        <v>103</v>
      </c>
      <c r="CB48" s="74">
        <v>1422400</v>
      </c>
      <c r="CC48" s="74" t="s">
        <v>269</v>
      </c>
      <c r="CD48" s="74" t="s">
        <v>264</v>
      </c>
      <c r="CE48" s="74"/>
      <c r="CF48" s="74">
        <v>10</v>
      </c>
      <c r="CG48" s="74">
        <v>21</v>
      </c>
      <c r="CH48" s="74">
        <v>24</v>
      </c>
      <c r="CI48" s="74">
        <v>20</v>
      </c>
      <c r="CJ48" s="74">
        <v>17</v>
      </c>
      <c r="CK48" s="74">
        <v>11</v>
      </c>
      <c r="CL48" s="74">
        <v>0</v>
      </c>
      <c r="CM48" s="74">
        <f t="shared" si="2"/>
        <v>103</v>
      </c>
      <c r="CO48" s="74">
        <v>1422400</v>
      </c>
      <c r="CP48" s="74" t="s">
        <v>269</v>
      </c>
      <c r="CQ48" s="74" t="s">
        <v>264</v>
      </c>
      <c r="CR48" s="74"/>
      <c r="CS48" s="74">
        <v>10</v>
      </c>
      <c r="CT48" s="74">
        <v>21</v>
      </c>
      <c r="CU48" s="74">
        <v>24</v>
      </c>
      <c r="CV48" s="74">
        <v>20</v>
      </c>
      <c r="CW48" s="74">
        <v>17</v>
      </c>
      <c r="CX48" s="74">
        <v>11</v>
      </c>
      <c r="CY48" s="74">
        <v>0</v>
      </c>
      <c r="CZ48" s="74">
        <v>103</v>
      </c>
      <c r="DB48" s="74">
        <v>1422400</v>
      </c>
      <c r="DC48" s="74" t="s">
        <v>269</v>
      </c>
      <c r="DD48" s="74" t="s">
        <v>264</v>
      </c>
      <c r="DE48" s="74"/>
      <c r="DF48" s="74">
        <v>8</v>
      </c>
      <c r="DG48" s="74">
        <v>15</v>
      </c>
      <c r="DH48" s="74">
        <v>18</v>
      </c>
      <c r="DI48" s="74">
        <v>16</v>
      </c>
      <c r="DJ48" s="74">
        <v>13</v>
      </c>
      <c r="DK48" s="74">
        <v>8</v>
      </c>
      <c r="DL48" s="74">
        <v>0</v>
      </c>
      <c r="DM48" s="74">
        <v>78</v>
      </c>
      <c r="DO48" s="74">
        <v>1422400</v>
      </c>
      <c r="DP48" s="74" t="s">
        <v>269</v>
      </c>
      <c r="DQ48" s="74" t="s">
        <v>264</v>
      </c>
      <c r="DR48" s="74"/>
      <c r="DS48" s="74">
        <v>8</v>
      </c>
      <c r="DT48" s="74">
        <v>14</v>
      </c>
      <c r="DU48" s="74">
        <v>17</v>
      </c>
      <c r="DV48" s="74">
        <v>15</v>
      </c>
      <c r="DW48" s="74">
        <v>13</v>
      </c>
      <c r="DX48" s="74">
        <v>8</v>
      </c>
      <c r="DY48" s="74">
        <v>0</v>
      </c>
      <c r="DZ48" s="74">
        <v>75</v>
      </c>
      <c r="EA48" s="74"/>
      <c r="EB48" s="74">
        <v>1422400</v>
      </c>
      <c r="EC48" s="74" t="s">
        <v>269</v>
      </c>
      <c r="ED48" s="74" t="s">
        <v>264</v>
      </c>
      <c r="EE48" s="74"/>
      <c r="EF48" s="74">
        <v>8</v>
      </c>
      <c r="EG48" s="74">
        <v>14</v>
      </c>
      <c r="EH48" s="74">
        <v>17</v>
      </c>
      <c r="EI48" s="74">
        <v>15</v>
      </c>
      <c r="EJ48" s="74">
        <v>13</v>
      </c>
      <c r="EK48" s="74">
        <v>8</v>
      </c>
      <c r="EL48" s="74">
        <v>0</v>
      </c>
      <c r="EM48" s="74">
        <v>75</v>
      </c>
      <c r="EO48" s="74">
        <v>1422401</v>
      </c>
      <c r="EP48" s="74" t="s">
        <v>269</v>
      </c>
      <c r="EQ48" s="74" t="s">
        <v>264</v>
      </c>
      <c r="ER48" s="74"/>
      <c r="ES48" s="74">
        <v>5</v>
      </c>
      <c r="ET48" s="74">
        <v>9</v>
      </c>
      <c r="EU48" s="74">
        <v>13</v>
      </c>
      <c r="EV48" s="74">
        <v>12</v>
      </c>
      <c r="EW48" s="74">
        <v>10</v>
      </c>
      <c r="EX48" s="74">
        <v>7</v>
      </c>
      <c r="EY48" s="74">
        <v>0</v>
      </c>
      <c r="EZ48" s="74">
        <v>56</v>
      </c>
      <c r="FB48" s="74">
        <v>1422501</v>
      </c>
      <c r="FC48" s="74" t="s">
        <v>270</v>
      </c>
      <c r="FD48" s="74" t="s">
        <v>264</v>
      </c>
      <c r="FE48" s="74"/>
      <c r="FF48" s="74">
        <v>0</v>
      </c>
      <c r="FG48" s="74">
        <v>4</v>
      </c>
      <c r="FH48" s="74">
        <v>8</v>
      </c>
      <c r="FI48" s="74">
        <v>8</v>
      </c>
      <c r="FJ48" s="74">
        <v>7</v>
      </c>
      <c r="FK48" s="74">
        <v>5</v>
      </c>
      <c r="FL48" s="74">
        <v>0</v>
      </c>
      <c r="FM48" s="74">
        <v>32</v>
      </c>
      <c r="FO48" s="74">
        <v>1422501</v>
      </c>
      <c r="FP48" s="74" t="s">
        <v>270</v>
      </c>
      <c r="FQ48" s="74" t="s">
        <v>264</v>
      </c>
      <c r="FR48" s="74"/>
      <c r="FS48" s="74">
        <v>0</v>
      </c>
      <c r="FT48" s="74">
        <v>4</v>
      </c>
      <c r="FU48" s="74">
        <v>8</v>
      </c>
      <c r="FV48" s="74">
        <v>8</v>
      </c>
      <c r="FW48" s="74">
        <v>7</v>
      </c>
      <c r="FX48" s="74">
        <v>5</v>
      </c>
      <c r="FY48" s="74">
        <v>0</v>
      </c>
      <c r="FZ48" s="74">
        <v>32</v>
      </c>
      <c r="GB48" s="74">
        <v>1422501</v>
      </c>
      <c r="GC48" s="74" t="s">
        <v>270</v>
      </c>
      <c r="GD48" s="74" t="s">
        <v>264</v>
      </c>
      <c r="GE48" s="74"/>
      <c r="GF48" s="74">
        <v>0</v>
      </c>
      <c r="GG48" s="74">
        <v>4</v>
      </c>
      <c r="GH48" s="74">
        <v>8</v>
      </c>
      <c r="GI48" s="74">
        <v>8</v>
      </c>
      <c r="GJ48" s="74">
        <v>7</v>
      </c>
      <c r="GK48" s="74">
        <v>5</v>
      </c>
      <c r="GL48" s="74">
        <v>0</v>
      </c>
      <c r="GM48" s="74">
        <v>32</v>
      </c>
      <c r="GO48" s="444">
        <v>1422501</v>
      </c>
      <c r="GP48" s="74" t="s">
        <v>270</v>
      </c>
      <c r="GQ48" s="74" t="s">
        <v>264</v>
      </c>
      <c r="GR48" s="74"/>
      <c r="GS48" s="74">
        <v>0</v>
      </c>
      <c r="GT48" s="74">
        <v>4</v>
      </c>
      <c r="GU48" s="74">
        <v>8</v>
      </c>
      <c r="GV48" s="74">
        <v>8</v>
      </c>
      <c r="GW48" s="74">
        <v>7</v>
      </c>
      <c r="GX48" s="74">
        <v>5</v>
      </c>
      <c r="GY48" s="74">
        <v>0</v>
      </c>
      <c r="GZ48" s="74">
        <f t="shared" si="10"/>
        <v>32</v>
      </c>
    </row>
    <row r="49" spans="1:208">
      <c r="A49" s="491">
        <v>1422401</v>
      </c>
      <c r="B49" s="478" t="s">
        <v>50</v>
      </c>
      <c r="C49" s="478">
        <v>5</v>
      </c>
      <c r="D49" s="478">
        <v>9</v>
      </c>
      <c r="E49" s="478">
        <v>13</v>
      </c>
      <c r="F49" s="478">
        <v>12</v>
      </c>
      <c r="G49" s="478">
        <v>10</v>
      </c>
      <c r="H49" s="478">
        <v>7</v>
      </c>
      <c r="I49" s="478"/>
      <c r="J49" s="479">
        <f t="shared" si="13"/>
        <v>56</v>
      </c>
      <c r="K49" s="480">
        <f>'CORTE 4200'!$O$421</f>
        <v>-6</v>
      </c>
      <c r="L49" s="480"/>
      <c r="M49" s="481" t="s">
        <v>242</v>
      </c>
      <c r="N49" s="500"/>
      <c r="O49">
        <v>1422401</v>
      </c>
      <c r="P49" t="s">
        <v>269</v>
      </c>
      <c r="Q49" t="s">
        <v>264</v>
      </c>
      <c r="R49"/>
      <c r="S49">
        <v>5</v>
      </c>
      <c r="T49">
        <v>9</v>
      </c>
      <c r="U49">
        <v>13</v>
      </c>
      <c r="V49">
        <v>12</v>
      </c>
      <c r="W49">
        <v>10</v>
      </c>
      <c r="X49">
        <v>7</v>
      </c>
      <c r="Y49">
        <v>0</v>
      </c>
      <c r="Z49">
        <f t="shared" si="5"/>
        <v>56</v>
      </c>
      <c r="AA49" s="500"/>
      <c r="AB49" s="74">
        <v>1422401</v>
      </c>
      <c r="AC49" s="74" t="s">
        <v>269</v>
      </c>
      <c r="AD49" s="74" t="s">
        <v>264</v>
      </c>
      <c r="AE49"/>
      <c r="AF49" s="74">
        <v>5</v>
      </c>
      <c r="AG49" s="74">
        <v>9</v>
      </c>
      <c r="AH49" s="74">
        <v>13</v>
      </c>
      <c r="AI49" s="74">
        <v>12</v>
      </c>
      <c r="AJ49" s="74">
        <v>10</v>
      </c>
      <c r="AK49" s="74">
        <v>7</v>
      </c>
      <c r="AL49" s="74">
        <v>0</v>
      </c>
      <c r="AM49" s="74">
        <f t="shared" si="1"/>
        <v>56</v>
      </c>
      <c r="AO49" s="74">
        <v>1422401</v>
      </c>
      <c r="AP49" s="74" t="s">
        <v>269</v>
      </c>
      <c r="AQ49" s="74" t="s">
        <v>264</v>
      </c>
      <c r="AR49" s="74"/>
      <c r="AS49" s="74">
        <v>5</v>
      </c>
      <c r="AT49" s="74">
        <v>9</v>
      </c>
      <c r="AU49" s="74">
        <v>13</v>
      </c>
      <c r="AV49" s="74">
        <v>12</v>
      </c>
      <c r="AW49" s="74">
        <v>10</v>
      </c>
      <c r="AX49" s="74">
        <v>7</v>
      </c>
      <c r="AY49" s="74">
        <v>0</v>
      </c>
      <c r="AZ49" s="74">
        <f t="shared" si="6"/>
        <v>56</v>
      </c>
      <c r="BB49" s="74">
        <v>1422401</v>
      </c>
      <c r="BC49" s="74" t="s">
        <v>269</v>
      </c>
      <c r="BD49" s="74" t="s">
        <v>264</v>
      </c>
      <c r="BE49" s="74"/>
      <c r="BF49" s="74">
        <v>5</v>
      </c>
      <c r="BG49" s="74">
        <v>9</v>
      </c>
      <c r="BH49" s="74">
        <v>13</v>
      </c>
      <c r="BI49" s="74">
        <v>12</v>
      </c>
      <c r="BJ49" s="74">
        <v>10</v>
      </c>
      <c r="BK49" s="74">
        <v>7</v>
      </c>
      <c r="BL49" s="74">
        <v>0</v>
      </c>
      <c r="BM49" s="74">
        <f t="shared" si="8"/>
        <v>56</v>
      </c>
      <c r="BO49" s="74">
        <v>1422401</v>
      </c>
      <c r="BP49" s="74" t="s">
        <v>269</v>
      </c>
      <c r="BQ49" s="74" t="s">
        <v>264</v>
      </c>
      <c r="BR49" s="74"/>
      <c r="BS49" s="74">
        <v>5</v>
      </c>
      <c r="BT49" s="74">
        <v>9</v>
      </c>
      <c r="BU49" s="74">
        <v>13</v>
      </c>
      <c r="BV49" s="74">
        <v>12</v>
      </c>
      <c r="BW49" s="74">
        <v>10</v>
      </c>
      <c r="BX49" s="74">
        <v>7</v>
      </c>
      <c r="BY49" s="74">
        <v>0</v>
      </c>
      <c r="BZ49" s="74">
        <f t="shared" si="7"/>
        <v>56</v>
      </c>
      <c r="CB49" s="74">
        <v>1422401</v>
      </c>
      <c r="CC49" s="74" t="s">
        <v>269</v>
      </c>
      <c r="CD49" s="74" t="s">
        <v>264</v>
      </c>
      <c r="CE49" s="74"/>
      <c r="CF49" s="74">
        <v>5</v>
      </c>
      <c r="CG49" s="74">
        <v>9</v>
      </c>
      <c r="CH49" s="74">
        <v>13</v>
      </c>
      <c r="CI49" s="74">
        <v>12</v>
      </c>
      <c r="CJ49" s="74">
        <v>10</v>
      </c>
      <c r="CK49" s="74">
        <v>7</v>
      </c>
      <c r="CL49" s="74">
        <v>0</v>
      </c>
      <c r="CM49" s="74">
        <f t="shared" si="2"/>
        <v>56</v>
      </c>
      <c r="CO49" s="74">
        <v>1422401</v>
      </c>
      <c r="CP49" s="74" t="s">
        <v>269</v>
      </c>
      <c r="CQ49" s="74" t="s">
        <v>264</v>
      </c>
      <c r="CR49" s="74"/>
      <c r="CS49" s="74">
        <v>5</v>
      </c>
      <c r="CT49" s="74">
        <v>9</v>
      </c>
      <c r="CU49" s="74">
        <v>13</v>
      </c>
      <c r="CV49" s="74">
        <v>12</v>
      </c>
      <c r="CW49" s="74">
        <v>10</v>
      </c>
      <c r="CX49" s="74">
        <v>7</v>
      </c>
      <c r="CY49" s="74">
        <v>0</v>
      </c>
      <c r="CZ49" s="74">
        <v>56</v>
      </c>
      <c r="DB49" s="74">
        <v>1422401</v>
      </c>
      <c r="DC49" s="74" t="s">
        <v>269</v>
      </c>
      <c r="DD49" s="74" t="s">
        <v>264</v>
      </c>
      <c r="DE49" s="74"/>
      <c r="DF49" s="74">
        <v>5</v>
      </c>
      <c r="DG49" s="74">
        <v>9</v>
      </c>
      <c r="DH49" s="74">
        <v>13</v>
      </c>
      <c r="DI49" s="74">
        <v>12</v>
      </c>
      <c r="DJ49" s="74">
        <v>10</v>
      </c>
      <c r="DK49" s="74">
        <v>7</v>
      </c>
      <c r="DL49" s="74">
        <v>0</v>
      </c>
      <c r="DM49" s="74">
        <v>56</v>
      </c>
      <c r="DO49" s="74">
        <v>1422401</v>
      </c>
      <c r="DP49" s="74" t="s">
        <v>269</v>
      </c>
      <c r="DQ49" s="74" t="s">
        <v>264</v>
      </c>
      <c r="DR49" s="74"/>
      <c r="DS49" s="74">
        <v>5</v>
      </c>
      <c r="DT49" s="74">
        <v>9</v>
      </c>
      <c r="DU49" s="74">
        <v>13</v>
      </c>
      <c r="DV49" s="74">
        <v>12</v>
      </c>
      <c r="DW49" s="74">
        <v>10</v>
      </c>
      <c r="DX49" s="74">
        <v>7</v>
      </c>
      <c r="DY49" s="74">
        <v>0</v>
      </c>
      <c r="DZ49" s="74">
        <v>56</v>
      </c>
      <c r="EA49" s="74"/>
      <c r="EB49" s="74">
        <v>1422401</v>
      </c>
      <c r="EC49" s="74" t="s">
        <v>269</v>
      </c>
      <c r="ED49" s="74" t="s">
        <v>264</v>
      </c>
      <c r="EE49" s="74"/>
      <c r="EF49" s="74">
        <v>5</v>
      </c>
      <c r="EG49" s="74">
        <v>9</v>
      </c>
      <c r="EH49" s="74">
        <v>13</v>
      </c>
      <c r="EI49" s="74">
        <v>12</v>
      </c>
      <c r="EJ49" s="74">
        <v>10</v>
      </c>
      <c r="EK49" s="74">
        <v>7</v>
      </c>
      <c r="EL49" s="74">
        <v>0</v>
      </c>
      <c r="EM49" s="74">
        <v>56</v>
      </c>
      <c r="EO49" s="74">
        <v>1422500</v>
      </c>
      <c r="EP49" s="74" t="s">
        <v>270</v>
      </c>
      <c r="EQ49" s="74" t="s">
        <v>264</v>
      </c>
      <c r="ER49" s="74"/>
      <c r="ES49" s="74">
        <v>27</v>
      </c>
      <c r="ET49" s="74">
        <v>63</v>
      </c>
      <c r="EU49" s="74">
        <v>66</v>
      </c>
      <c r="EV49" s="74">
        <v>64</v>
      </c>
      <c r="EW49" s="74">
        <v>44</v>
      </c>
      <c r="EX49" s="74">
        <v>40</v>
      </c>
      <c r="EY49" s="74">
        <v>0</v>
      </c>
      <c r="EZ49" s="74">
        <v>304</v>
      </c>
      <c r="FB49" s="74">
        <v>1422600</v>
      </c>
      <c r="FC49" s="74" t="s">
        <v>271</v>
      </c>
      <c r="FD49" s="74" t="s">
        <v>264</v>
      </c>
      <c r="FE49" s="74"/>
      <c r="FF49" s="74">
        <v>35</v>
      </c>
      <c r="FG49" s="74">
        <v>79</v>
      </c>
      <c r="FH49" s="74">
        <v>86</v>
      </c>
      <c r="FI49" s="74">
        <v>81</v>
      </c>
      <c r="FJ49" s="74">
        <v>59</v>
      </c>
      <c r="FK49" s="74">
        <v>47</v>
      </c>
      <c r="FL49" s="74">
        <v>0</v>
      </c>
      <c r="FM49" s="74">
        <v>387</v>
      </c>
      <c r="FO49" s="74">
        <v>1422600</v>
      </c>
      <c r="FP49" s="74" t="s">
        <v>271</v>
      </c>
      <c r="FQ49" s="74" t="s">
        <v>264</v>
      </c>
      <c r="FR49" s="74"/>
      <c r="FS49" s="74">
        <v>33</v>
      </c>
      <c r="FT49" s="74">
        <v>73</v>
      </c>
      <c r="FU49" s="74">
        <v>80</v>
      </c>
      <c r="FV49" s="74">
        <v>75</v>
      </c>
      <c r="FW49" s="74">
        <v>55</v>
      </c>
      <c r="FX49" s="74">
        <v>43</v>
      </c>
      <c r="FY49" s="74">
        <v>0</v>
      </c>
      <c r="FZ49" s="74">
        <v>359</v>
      </c>
      <c r="GB49" s="74">
        <v>1422600</v>
      </c>
      <c r="GC49" s="74" t="s">
        <v>271</v>
      </c>
      <c r="GD49" s="74" t="s">
        <v>264</v>
      </c>
      <c r="GE49" s="74"/>
      <c r="GF49" s="74">
        <v>19</v>
      </c>
      <c r="GG49" s="74">
        <v>36</v>
      </c>
      <c r="GH49" s="74">
        <v>43</v>
      </c>
      <c r="GI49" s="74">
        <v>38</v>
      </c>
      <c r="GJ49" s="74">
        <v>30</v>
      </c>
      <c r="GK49" s="74">
        <v>21</v>
      </c>
      <c r="GL49" s="74">
        <v>0</v>
      </c>
      <c r="GM49" s="74">
        <v>187</v>
      </c>
      <c r="GO49" s="445">
        <v>1422600</v>
      </c>
      <c r="GP49" s="74" t="s">
        <v>271</v>
      </c>
      <c r="GQ49" s="74" t="s">
        <v>264</v>
      </c>
      <c r="GR49" s="74"/>
      <c r="GS49" s="74">
        <v>18</v>
      </c>
      <c r="GT49" s="74">
        <v>33</v>
      </c>
      <c r="GU49" s="74">
        <v>39</v>
      </c>
      <c r="GV49" s="74">
        <v>35</v>
      </c>
      <c r="GW49" s="74">
        <v>28</v>
      </c>
      <c r="GX49" s="74">
        <v>20</v>
      </c>
      <c r="GY49" s="74">
        <v>0</v>
      </c>
      <c r="GZ49" s="74">
        <f t="shared" si="10"/>
        <v>173</v>
      </c>
    </row>
    <row r="50" spans="1:208">
      <c r="A50" s="492">
        <v>1422500</v>
      </c>
      <c r="B50" s="478" t="s">
        <v>36</v>
      </c>
      <c r="C50" s="478">
        <v>50</v>
      </c>
      <c r="D50" s="478">
        <v>99</v>
      </c>
      <c r="E50" s="478">
        <v>103</v>
      </c>
      <c r="F50" s="478">
        <v>102</v>
      </c>
      <c r="G50" s="478">
        <v>65</v>
      </c>
      <c r="H50" s="478">
        <v>57</v>
      </c>
      <c r="I50" s="478"/>
      <c r="J50" s="479">
        <f t="shared" si="13"/>
        <v>476</v>
      </c>
      <c r="K50" s="480">
        <f>'CORTE 4200'!$O$430</f>
        <v>-269</v>
      </c>
      <c r="L50" s="480">
        <v>50</v>
      </c>
      <c r="M50" s="481"/>
      <c r="N50" s="500"/>
      <c r="O50">
        <v>1422500</v>
      </c>
      <c r="P50" t="s">
        <v>270</v>
      </c>
      <c r="Q50" t="s">
        <v>264</v>
      </c>
      <c r="R50"/>
      <c r="S50">
        <v>50</v>
      </c>
      <c r="T50">
        <v>99</v>
      </c>
      <c r="U50">
        <v>103</v>
      </c>
      <c r="V50">
        <v>102</v>
      </c>
      <c r="W50">
        <v>65</v>
      </c>
      <c r="X50">
        <v>57</v>
      </c>
      <c r="Y50">
        <v>0</v>
      </c>
      <c r="Z50">
        <f t="shared" si="5"/>
        <v>476</v>
      </c>
      <c r="AA50" s="500"/>
      <c r="AB50" s="74">
        <v>1422500</v>
      </c>
      <c r="AC50" s="74" t="s">
        <v>270</v>
      </c>
      <c r="AD50" s="74" t="s">
        <v>264</v>
      </c>
      <c r="AE50"/>
      <c r="AF50" s="74">
        <v>48</v>
      </c>
      <c r="AG50" s="74">
        <v>95</v>
      </c>
      <c r="AH50" s="74">
        <v>99</v>
      </c>
      <c r="AI50" s="74">
        <v>98</v>
      </c>
      <c r="AJ50" s="74">
        <v>63</v>
      </c>
      <c r="AK50" s="74">
        <v>55</v>
      </c>
      <c r="AL50" s="74">
        <v>0</v>
      </c>
      <c r="AM50" s="74">
        <f t="shared" si="1"/>
        <v>458</v>
      </c>
      <c r="AO50" s="74">
        <v>1422500</v>
      </c>
      <c r="AP50" s="74" t="s">
        <v>270</v>
      </c>
      <c r="AQ50" s="74" t="s">
        <v>264</v>
      </c>
      <c r="AR50" s="74"/>
      <c r="AS50" s="74">
        <v>45</v>
      </c>
      <c r="AT50" s="74">
        <v>90</v>
      </c>
      <c r="AU50" s="74">
        <v>94</v>
      </c>
      <c r="AV50" s="74">
        <v>93</v>
      </c>
      <c r="AW50" s="74">
        <v>59</v>
      </c>
      <c r="AX50" s="74">
        <v>51</v>
      </c>
      <c r="AY50" s="74">
        <v>0</v>
      </c>
      <c r="AZ50" s="74">
        <f t="shared" si="6"/>
        <v>432</v>
      </c>
      <c r="BB50" s="74">
        <v>1422500</v>
      </c>
      <c r="BC50" s="74" t="s">
        <v>270</v>
      </c>
      <c r="BD50" s="74" t="s">
        <v>264</v>
      </c>
      <c r="BE50" s="74"/>
      <c r="BF50" s="74">
        <v>45</v>
      </c>
      <c r="BG50" s="74">
        <v>90</v>
      </c>
      <c r="BH50" s="74">
        <v>94</v>
      </c>
      <c r="BI50" s="74">
        <v>93</v>
      </c>
      <c r="BJ50" s="74">
        <v>59</v>
      </c>
      <c r="BK50" s="74">
        <v>51</v>
      </c>
      <c r="BL50" s="74">
        <v>0</v>
      </c>
      <c r="BM50" s="74">
        <f t="shared" si="8"/>
        <v>432</v>
      </c>
      <c r="BO50" s="74">
        <v>1422500</v>
      </c>
      <c r="BP50" s="74" t="s">
        <v>270</v>
      </c>
      <c r="BQ50" s="74" t="s">
        <v>264</v>
      </c>
      <c r="BR50" s="74"/>
      <c r="BS50" s="74">
        <v>37</v>
      </c>
      <c r="BT50" s="74">
        <v>78</v>
      </c>
      <c r="BU50" s="74">
        <v>82</v>
      </c>
      <c r="BV50" s="74">
        <v>81</v>
      </c>
      <c r="BW50" s="74">
        <v>56</v>
      </c>
      <c r="BX50" s="74">
        <v>48</v>
      </c>
      <c r="BY50" s="74">
        <v>0</v>
      </c>
      <c r="BZ50" s="74">
        <f t="shared" si="7"/>
        <v>382</v>
      </c>
      <c r="CB50" s="74">
        <v>1422500</v>
      </c>
      <c r="CC50" s="74" t="s">
        <v>270</v>
      </c>
      <c r="CD50" s="74" t="s">
        <v>264</v>
      </c>
      <c r="CE50" s="74"/>
      <c r="CF50" s="74">
        <v>37</v>
      </c>
      <c r="CG50" s="74">
        <v>78</v>
      </c>
      <c r="CH50" s="74">
        <v>82</v>
      </c>
      <c r="CI50" s="74">
        <v>81</v>
      </c>
      <c r="CJ50" s="74">
        <v>56</v>
      </c>
      <c r="CK50" s="74">
        <v>48</v>
      </c>
      <c r="CL50" s="74">
        <v>0</v>
      </c>
      <c r="CM50" s="74">
        <f t="shared" si="2"/>
        <v>382</v>
      </c>
      <c r="CO50" s="74">
        <v>1422500</v>
      </c>
      <c r="CP50" s="74" t="s">
        <v>270</v>
      </c>
      <c r="CQ50" s="74" t="s">
        <v>264</v>
      </c>
      <c r="CR50" s="74"/>
      <c r="CS50" s="74">
        <v>37</v>
      </c>
      <c r="CT50" s="74">
        <v>76</v>
      </c>
      <c r="CU50" s="74">
        <v>80</v>
      </c>
      <c r="CV50" s="74">
        <v>78</v>
      </c>
      <c r="CW50" s="74">
        <v>53</v>
      </c>
      <c r="CX50" s="74">
        <v>46</v>
      </c>
      <c r="CY50" s="74">
        <v>0</v>
      </c>
      <c r="CZ50" s="74">
        <v>370</v>
      </c>
      <c r="DB50" s="74">
        <v>1422500</v>
      </c>
      <c r="DC50" s="74" t="s">
        <v>270</v>
      </c>
      <c r="DD50" s="74" t="s">
        <v>264</v>
      </c>
      <c r="DE50" s="74"/>
      <c r="DF50" s="74">
        <v>34</v>
      </c>
      <c r="DG50" s="74">
        <v>71</v>
      </c>
      <c r="DH50" s="74">
        <v>74</v>
      </c>
      <c r="DI50" s="74">
        <v>70</v>
      </c>
      <c r="DJ50" s="74">
        <v>48</v>
      </c>
      <c r="DK50" s="74">
        <v>42</v>
      </c>
      <c r="DL50" s="74">
        <v>0</v>
      </c>
      <c r="DM50" s="74">
        <v>339</v>
      </c>
      <c r="DO50" s="74">
        <v>1422500</v>
      </c>
      <c r="DP50" s="74" t="s">
        <v>270</v>
      </c>
      <c r="DQ50" s="74" t="s">
        <v>264</v>
      </c>
      <c r="DR50" s="74"/>
      <c r="DS50" s="74">
        <v>31</v>
      </c>
      <c r="DT50" s="74">
        <v>67</v>
      </c>
      <c r="DU50" s="74">
        <v>70</v>
      </c>
      <c r="DV50" s="74">
        <v>67</v>
      </c>
      <c r="DW50" s="74">
        <v>46</v>
      </c>
      <c r="DX50" s="74">
        <v>42</v>
      </c>
      <c r="DY50" s="74">
        <v>0</v>
      </c>
      <c r="DZ50" s="74">
        <v>323</v>
      </c>
      <c r="EA50" s="74"/>
      <c r="EB50" s="74">
        <v>1422500</v>
      </c>
      <c r="EC50" s="74" t="s">
        <v>270</v>
      </c>
      <c r="ED50" s="74" t="s">
        <v>264</v>
      </c>
      <c r="EE50" s="74"/>
      <c r="EF50" s="74">
        <v>29</v>
      </c>
      <c r="EG50" s="74">
        <v>65</v>
      </c>
      <c r="EH50" s="74">
        <v>68</v>
      </c>
      <c r="EI50" s="74">
        <v>65</v>
      </c>
      <c r="EJ50" s="74">
        <v>45</v>
      </c>
      <c r="EK50" s="74">
        <v>41</v>
      </c>
      <c r="EL50" s="74">
        <v>0</v>
      </c>
      <c r="EM50" s="74">
        <v>313</v>
      </c>
      <c r="EO50" s="74">
        <v>1422501</v>
      </c>
      <c r="EP50" s="74" t="s">
        <v>270</v>
      </c>
      <c r="EQ50" s="74" t="s">
        <v>264</v>
      </c>
      <c r="ER50" s="74"/>
      <c r="ES50" s="74">
        <v>0</v>
      </c>
      <c r="ET50" s="74">
        <v>4</v>
      </c>
      <c r="EU50" s="74">
        <v>8</v>
      </c>
      <c r="EV50" s="74">
        <v>8</v>
      </c>
      <c r="EW50" s="74">
        <v>7</v>
      </c>
      <c r="EX50" s="74">
        <v>5</v>
      </c>
      <c r="EY50" s="74">
        <v>0</v>
      </c>
      <c r="EZ50" s="74">
        <v>32</v>
      </c>
      <c r="FB50" s="74">
        <v>1422601</v>
      </c>
      <c r="FC50" s="74" t="s">
        <v>271</v>
      </c>
      <c r="FD50" s="74" t="s">
        <v>264</v>
      </c>
      <c r="FE50" s="74"/>
      <c r="FF50" s="74">
        <v>21</v>
      </c>
      <c r="FG50" s="74">
        <v>29</v>
      </c>
      <c r="FH50" s="74">
        <v>36</v>
      </c>
      <c r="FI50" s="74">
        <v>33</v>
      </c>
      <c r="FJ50" s="74">
        <v>26</v>
      </c>
      <c r="FK50" s="74">
        <v>19</v>
      </c>
      <c r="FL50" s="74">
        <v>0</v>
      </c>
      <c r="FM50" s="74">
        <v>164</v>
      </c>
      <c r="FO50" s="74">
        <v>1422601</v>
      </c>
      <c r="FP50" s="74" t="s">
        <v>271</v>
      </c>
      <c r="FQ50" s="74" t="s">
        <v>264</v>
      </c>
      <c r="FR50" s="74"/>
      <c r="FS50" s="74">
        <v>21</v>
      </c>
      <c r="FT50" s="74">
        <v>29</v>
      </c>
      <c r="FU50" s="74">
        <v>36</v>
      </c>
      <c r="FV50" s="74">
        <v>33</v>
      </c>
      <c r="FW50" s="74">
        <v>26</v>
      </c>
      <c r="FX50" s="74">
        <v>19</v>
      </c>
      <c r="FY50" s="74">
        <v>0</v>
      </c>
      <c r="FZ50" s="74">
        <v>164</v>
      </c>
      <c r="GB50" s="74">
        <v>1422601</v>
      </c>
      <c r="GC50" s="74" t="s">
        <v>271</v>
      </c>
      <c r="GD50" s="74" t="s">
        <v>264</v>
      </c>
      <c r="GE50" s="74"/>
      <c r="GF50" s="74">
        <v>21</v>
      </c>
      <c r="GG50" s="74">
        <v>29</v>
      </c>
      <c r="GH50" s="74">
        <v>36</v>
      </c>
      <c r="GI50" s="74">
        <v>33</v>
      </c>
      <c r="GJ50" s="74">
        <v>26</v>
      </c>
      <c r="GK50" s="74">
        <v>19</v>
      </c>
      <c r="GL50" s="74">
        <v>0</v>
      </c>
      <c r="GM50" s="74">
        <v>164</v>
      </c>
      <c r="GO50" s="445">
        <v>1422601</v>
      </c>
      <c r="GP50" s="74" t="s">
        <v>271</v>
      </c>
      <c r="GQ50" s="74" t="s">
        <v>264</v>
      </c>
      <c r="GR50" s="74"/>
      <c r="GS50" s="74">
        <v>18</v>
      </c>
      <c r="GT50" s="74">
        <v>24</v>
      </c>
      <c r="GU50" s="74">
        <v>29</v>
      </c>
      <c r="GV50" s="74">
        <v>27</v>
      </c>
      <c r="GW50" s="74">
        <v>22</v>
      </c>
      <c r="GX50" s="74">
        <v>16</v>
      </c>
      <c r="GY50" s="74">
        <v>0</v>
      </c>
      <c r="GZ50" s="74">
        <f t="shared" si="10"/>
        <v>136</v>
      </c>
    </row>
    <row r="51" spans="1:208">
      <c r="A51" s="492">
        <v>1422501</v>
      </c>
      <c r="B51" s="478" t="s">
        <v>36</v>
      </c>
      <c r="C51" s="478">
        <v>0</v>
      </c>
      <c r="D51" s="478">
        <v>4</v>
      </c>
      <c r="E51" s="478">
        <v>8</v>
      </c>
      <c r="F51" s="478">
        <v>8</v>
      </c>
      <c r="G51" s="478">
        <v>7</v>
      </c>
      <c r="H51" s="478">
        <v>5</v>
      </c>
      <c r="I51" s="478"/>
      <c r="J51" s="479">
        <f t="shared" si="12"/>
        <v>32</v>
      </c>
      <c r="K51" s="480">
        <f>'CORTE 4200'!$O$439</f>
        <v>32</v>
      </c>
      <c r="L51" s="480"/>
      <c r="M51" s="481"/>
      <c r="N51" s="500"/>
      <c r="O51">
        <v>1422501</v>
      </c>
      <c r="P51" t="s">
        <v>270</v>
      </c>
      <c r="Q51" t="s">
        <v>264</v>
      </c>
      <c r="R51"/>
      <c r="S51">
        <v>0</v>
      </c>
      <c r="T51">
        <v>4</v>
      </c>
      <c r="U51">
        <v>8</v>
      </c>
      <c r="V51">
        <v>8</v>
      </c>
      <c r="W51">
        <v>7</v>
      </c>
      <c r="X51">
        <v>5</v>
      </c>
      <c r="Y51">
        <v>0</v>
      </c>
      <c r="Z51">
        <f t="shared" si="5"/>
        <v>32</v>
      </c>
      <c r="AA51" s="500"/>
      <c r="AB51" s="74">
        <v>1422501</v>
      </c>
      <c r="AC51" s="74" t="s">
        <v>270</v>
      </c>
      <c r="AD51" s="74" t="s">
        <v>264</v>
      </c>
      <c r="AE51"/>
      <c r="AF51" s="74">
        <v>0</v>
      </c>
      <c r="AG51" s="74">
        <v>4</v>
      </c>
      <c r="AH51" s="74">
        <v>8</v>
      </c>
      <c r="AI51" s="74">
        <v>8</v>
      </c>
      <c r="AJ51" s="74">
        <v>7</v>
      </c>
      <c r="AK51" s="74">
        <v>5</v>
      </c>
      <c r="AL51" s="74">
        <v>0</v>
      </c>
      <c r="AM51" s="74">
        <f t="shared" si="1"/>
        <v>32</v>
      </c>
      <c r="AO51" s="74">
        <v>1422501</v>
      </c>
      <c r="AP51" s="74" t="s">
        <v>270</v>
      </c>
      <c r="AQ51" s="74" t="s">
        <v>264</v>
      </c>
      <c r="AR51" s="74"/>
      <c r="AS51" s="74">
        <v>0</v>
      </c>
      <c r="AT51" s="74">
        <v>4</v>
      </c>
      <c r="AU51" s="74">
        <v>8</v>
      </c>
      <c r="AV51" s="74">
        <v>8</v>
      </c>
      <c r="AW51" s="74">
        <v>7</v>
      </c>
      <c r="AX51" s="74">
        <v>5</v>
      </c>
      <c r="AY51" s="74">
        <v>0</v>
      </c>
      <c r="AZ51" s="74">
        <f t="shared" si="6"/>
        <v>32</v>
      </c>
      <c r="BB51" s="74">
        <v>1422501</v>
      </c>
      <c r="BC51" s="74" t="s">
        <v>270</v>
      </c>
      <c r="BD51" s="74" t="s">
        <v>264</v>
      </c>
      <c r="BE51" s="74"/>
      <c r="BF51" s="74">
        <v>0</v>
      </c>
      <c r="BG51" s="74">
        <v>4</v>
      </c>
      <c r="BH51" s="74">
        <v>8</v>
      </c>
      <c r="BI51" s="74">
        <v>8</v>
      </c>
      <c r="BJ51" s="74">
        <v>7</v>
      </c>
      <c r="BK51" s="74">
        <v>5</v>
      </c>
      <c r="BL51" s="74">
        <v>0</v>
      </c>
      <c r="BM51" s="74">
        <f t="shared" si="8"/>
        <v>32</v>
      </c>
      <c r="BO51" s="74">
        <v>1422501</v>
      </c>
      <c r="BP51" s="74" t="s">
        <v>270</v>
      </c>
      <c r="BQ51" s="74" t="s">
        <v>264</v>
      </c>
      <c r="BR51" s="74"/>
      <c r="BS51" s="74">
        <v>0</v>
      </c>
      <c r="BT51" s="74">
        <v>4</v>
      </c>
      <c r="BU51" s="74">
        <v>8</v>
      </c>
      <c r="BV51" s="74">
        <v>8</v>
      </c>
      <c r="BW51" s="74">
        <v>7</v>
      </c>
      <c r="BX51" s="74">
        <v>5</v>
      </c>
      <c r="BY51" s="74">
        <v>0</v>
      </c>
      <c r="BZ51" s="74">
        <f t="shared" si="7"/>
        <v>32</v>
      </c>
      <c r="CB51" s="74">
        <v>1422501</v>
      </c>
      <c r="CC51" s="74" t="s">
        <v>270</v>
      </c>
      <c r="CD51" s="74" t="s">
        <v>264</v>
      </c>
      <c r="CE51" s="74"/>
      <c r="CF51" s="74">
        <v>0</v>
      </c>
      <c r="CG51" s="74">
        <v>4</v>
      </c>
      <c r="CH51" s="74">
        <v>8</v>
      </c>
      <c r="CI51" s="74">
        <v>8</v>
      </c>
      <c r="CJ51" s="74">
        <v>7</v>
      </c>
      <c r="CK51" s="74">
        <v>5</v>
      </c>
      <c r="CL51" s="74">
        <v>0</v>
      </c>
      <c r="CM51" s="74">
        <f t="shared" si="2"/>
        <v>32</v>
      </c>
      <c r="CO51" s="74">
        <v>1422501</v>
      </c>
      <c r="CP51" s="74" t="s">
        <v>270</v>
      </c>
      <c r="CQ51" s="74" t="s">
        <v>264</v>
      </c>
      <c r="CR51" s="74"/>
      <c r="CS51" s="74">
        <v>0</v>
      </c>
      <c r="CT51" s="74">
        <v>4</v>
      </c>
      <c r="CU51" s="74">
        <v>8</v>
      </c>
      <c r="CV51" s="74">
        <v>8</v>
      </c>
      <c r="CW51" s="74">
        <v>7</v>
      </c>
      <c r="CX51" s="74">
        <v>5</v>
      </c>
      <c r="CY51" s="74">
        <v>0</v>
      </c>
      <c r="CZ51" s="74">
        <v>32</v>
      </c>
      <c r="DB51" s="74">
        <v>1422501</v>
      </c>
      <c r="DC51" s="74" t="s">
        <v>270</v>
      </c>
      <c r="DD51" s="74" t="s">
        <v>264</v>
      </c>
      <c r="DE51" s="74"/>
      <c r="DF51" s="74">
        <v>0</v>
      </c>
      <c r="DG51" s="74">
        <v>4</v>
      </c>
      <c r="DH51" s="74">
        <v>8</v>
      </c>
      <c r="DI51" s="74">
        <v>8</v>
      </c>
      <c r="DJ51" s="74">
        <v>7</v>
      </c>
      <c r="DK51" s="74">
        <v>5</v>
      </c>
      <c r="DL51" s="74">
        <v>0</v>
      </c>
      <c r="DM51" s="74">
        <v>32</v>
      </c>
      <c r="DO51" s="74">
        <v>1422501</v>
      </c>
      <c r="DP51" s="74" t="s">
        <v>270</v>
      </c>
      <c r="DQ51" s="74" t="s">
        <v>264</v>
      </c>
      <c r="DR51" s="74"/>
      <c r="DS51" s="74">
        <v>0</v>
      </c>
      <c r="DT51" s="74">
        <v>4</v>
      </c>
      <c r="DU51" s="74">
        <v>8</v>
      </c>
      <c r="DV51" s="74">
        <v>8</v>
      </c>
      <c r="DW51" s="74">
        <v>7</v>
      </c>
      <c r="DX51" s="74">
        <v>5</v>
      </c>
      <c r="DY51" s="74">
        <v>0</v>
      </c>
      <c r="DZ51" s="74">
        <v>32</v>
      </c>
      <c r="EA51" s="74"/>
      <c r="EB51" s="74">
        <v>1422501</v>
      </c>
      <c r="EC51" s="74" t="s">
        <v>270</v>
      </c>
      <c r="ED51" s="74" t="s">
        <v>264</v>
      </c>
      <c r="EE51" s="74"/>
      <c r="EF51" s="74">
        <v>0</v>
      </c>
      <c r="EG51" s="74">
        <v>4</v>
      </c>
      <c r="EH51" s="74">
        <v>8</v>
      </c>
      <c r="EI51" s="74">
        <v>8</v>
      </c>
      <c r="EJ51" s="74">
        <v>7</v>
      </c>
      <c r="EK51" s="74">
        <v>5</v>
      </c>
      <c r="EL51" s="74">
        <v>0</v>
      </c>
      <c r="EM51" s="74">
        <v>32</v>
      </c>
      <c r="EO51" s="74">
        <v>1422600</v>
      </c>
      <c r="EP51" s="74" t="s">
        <v>271</v>
      </c>
      <c r="EQ51" s="74" t="s">
        <v>264</v>
      </c>
      <c r="ER51" s="74"/>
      <c r="ES51" s="74">
        <v>38</v>
      </c>
      <c r="ET51" s="74">
        <v>85</v>
      </c>
      <c r="EU51" s="74">
        <v>93</v>
      </c>
      <c r="EV51" s="74">
        <v>88</v>
      </c>
      <c r="EW51" s="74">
        <v>65</v>
      </c>
      <c r="EX51" s="74">
        <v>51</v>
      </c>
      <c r="EY51" s="74">
        <v>0</v>
      </c>
      <c r="EZ51" s="74">
        <v>420</v>
      </c>
      <c r="FB51" s="74">
        <v>1422700</v>
      </c>
      <c r="FC51" s="74" t="s">
        <v>278</v>
      </c>
      <c r="FD51" s="74" t="s">
        <v>264</v>
      </c>
      <c r="FE51" s="74"/>
      <c r="FF51" s="74">
        <v>27</v>
      </c>
      <c r="FG51" s="74">
        <v>66</v>
      </c>
      <c r="FH51" s="74">
        <v>70</v>
      </c>
      <c r="FI51" s="74">
        <v>68</v>
      </c>
      <c r="FJ51" s="74">
        <v>50</v>
      </c>
      <c r="FK51" s="74">
        <v>40</v>
      </c>
      <c r="FL51" s="74">
        <v>0</v>
      </c>
      <c r="FM51" s="74">
        <v>321</v>
      </c>
      <c r="FO51" s="74">
        <v>1422700</v>
      </c>
      <c r="FP51" s="74" t="s">
        <v>278</v>
      </c>
      <c r="FQ51" s="74" t="s">
        <v>264</v>
      </c>
      <c r="FR51" s="74"/>
      <c r="FS51" s="74">
        <v>27</v>
      </c>
      <c r="FT51" s="74">
        <v>66</v>
      </c>
      <c r="FU51" s="74">
        <v>70</v>
      </c>
      <c r="FV51" s="74">
        <v>68</v>
      </c>
      <c r="FW51" s="74">
        <v>50</v>
      </c>
      <c r="FX51" s="74">
        <v>40</v>
      </c>
      <c r="FY51" s="74">
        <v>0</v>
      </c>
      <c r="FZ51" s="74">
        <v>321</v>
      </c>
      <c r="GB51" s="74">
        <v>1422700</v>
      </c>
      <c r="GC51" s="74" t="s">
        <v>278</v>
      </c>
      <c r="GD51" s="74" t="s">
        <v>264</v>
      </c>
      <c r="GE51" s="74"/>
      <c r="GF51" s="74">
        <v>14</v>
      </c>
      <c r="GG51" s="74">
        <v>30</v>
      </c>
      <c r="GH51" s="74">
        <v>34</v>
      </c>
      <c r="GI51" s="74">
        <v>32</v>
      </c>
      <c r="GJ51" s="74">
        <v>24</v>
      </c>
      <c r="GK51" s="74">
        <v>15</v>
      </c>
      <c r="GL51" s="74">
        <v>0</v>
      </c>
      <c r="GM51" s="74">
        <v>149</v>
      </c>
      <c r="GO51" s="74">
        <v>1422700</v>
      </c>
      <c r="GP51" s="74" t="s">
        <v>278</v>
      </c>
      <c r="GQ51" s="74" t="s">
        <v>264</v>
      </c>
      <c r="GR51" s="74"/>
      <c r="GS51" s="74">
        <v>11</v>
      </c>
      <c r="GT51" s="74">
        <v>25</v>
      </c>
      <c r="GU51" s="74">
        <v>27</v>
      </c>
      <c r="GV51" s="74">
        <v>26</v>
      </c>
      <c r="GW51" s="74">
        <v>20</v>
      </c>
      <c r="GX51" s="74">
        <v>12</v>
      </c>
      <c r="GY51" s="74">
        <v>0</v>
      </c>
      <c r="GZ51" s="74">
        <f t="shared" si="10"/>
        <v>121</v>
      </c>
    </row>
    <row r="52" spans="1:208">
      <c r="A52" s="493">
        <v>1422600</v>
      </c>
      <c r="B52" s="478" t="s">
        <v>11</v>
      </c>
      <c r="C52" s="478">
        <v>51</v>
      </c>
      <c r="D52" s="478">
        <v>113</v>
      </c>
      <c r="E52" s="478">
        <v>127</v>
      </c>
      <c r="F52" s="478">
        <v>120</v>
      </c>
      <c r="G52" s="478">
        <v>81</v>
      </c>
      <c r="H52" s="478">
        <v>59</v>
      </c>
      <c r="I52" s="478"/>
      <c r="J52" s="479">
        <f>SUM(C52:H52)</f>
        <v>551</v>
      </c>
      <c r="K52" s="480">
        <f>'CORTE 4200'!$O$448</f>
        <v>2</v>
      </c>
      <c r="L52" s="480">
        <v>50</v>
      </c>
      <c r="M52" s="481"/>
      <c r="N52" s="500"/>
      <c r="O52">
        <v>1422600</v>
      </c>
      <c r="P52" t="s">
        <v>271</v>
      </c>
      <c r="Q52" t="s">
        <v>264</v>
      </c>
      <c r="R52"/>
      <c r="S52">
        <v>51</v>
      </c>
      <c r="T52">
        <v>113</v>
      </c>
      <c r="U52">
        <v>127</v>
      </c>
      <c r="V52">
        <v>120</v>
      </c>
      <c r="W52">
        <v>81</v>
      </c>
      <c r="X52">
        <v>59</v>
      </c>
      <c r="Y52">
        <v>0</v>
      </c>
      <c r="Z52">
        <f t="shared" si="5"/>
        <v>551</v>
      </c>
      <c r="AA52" s="500"/>
      <c r="AB52" s="74">
        <v>1422600</v>
      </c>
      <c r="AC52" s="74" t="s">
        <v>271</v>
      </c>
      <c r="AD52" s="74" t="s">
        <v>264</v>
      </c>
      <c r="AE52"/>
      <c r="AF52" s="74">
        <v>51</v>
      </c>
      <c r="AG52" s="74">
        <v>113</v>
      </c>
      <c r="AH52" s="74">
        <v>125</v>
      </c>
      <c r="AI52" s="74">
        <v>118</v>
      </c>
      <c r="AJ52" s="74">
        <v>80</v>
      </c>
      <c r="AK52" s="74">
        <v>59</v>
      </c>
      <c r="AL52" s="74">
        <v>0</v>
      </c>
      <c r="AM52" s="74">
        <f t="shared" si="1"/>
        <v>546</v>
      </c>
      <c r="AO52" s="74">
        <v>1422600</v>
      </c>
      <c r="AP52" s="74" t="s">
        <v>271</v>
      </c>
      <c r="AQ52" s="74" t="s">
        <v>264</v>
      </c>
      <c r="AR52" s="74"/>
      <c r="AS52" s="74">
        <v>51</v>
      </c>
      <c r="AT52" s="74">
        <v>113</v>
      </c>
      <c r="AU52" s="74">
        <v>125</v>
      </c>
      <c r="AV52" s="74">
        <v>118</v>
      </c>
      <c r="AW52" s="74">
        <v>80</v>
      </c>
      <c r="AX52" s="74">
        <v>59</v>
      </c>
      <c r="AY52" s="74">
        <v>0</v>
      </c>
      <c r="AZ52" s="74">
        <f t="shared" si="6"/>
        <v>546</v>
      </c>
      <c r="BB52" s="74">
        <v>1422600</v>
      </c>
      <c r="BC52" s="74" t="s">
        <v>271</v>
      </c>
      <c r="BD52" s="74" t="s">
        <v>264</v>
      </c>
      <c r="BE52" s="74"/>
      <c r="BF52" s="74">
        <v>41</v>
      </c>
      <c r="BG52" s="74">
        <v>96</v>
      </c>
      <c r="BH52" s="74">
        <v>107</v>
      </c>
      <c r="BI52" s="74">
        <v>102</v>
      </c>
      <c r="BJ52" s="74">
        <v>75</v>
      </c>
      <c r="BK52" s="74">
        <v>55</v>
      </c>
      <c r="BL52" s="74">
        <v>0</v>
      </c>
      <c r="BM52" s="74">
        <f t="shared" si="8"/>
        <v>476</v>
      </c>
      <c r="BO52" s="74">
        <v>1422600</v>
      </c>
      <c r="BP52" s="74" t="s">
        <v>271</v>
      </c>
      <c r="BQ52" s="74" t="s">
        <v>264</v>
      </c>
      <c r="BR52" s="74"/>
      <c r="BS52" s="74">
        <v>41</v>
      </c>
      <c r="BT52" s="74">
        <v>96</v>
      </c>
      <c r="BU52" s="74">
        <v>107</v>
      </c>
      <c r="BV52" s="74">
        <v>102</v>
      </c>
      <c r="BW52" s="74">
        <v>75</v>
      </c>
      <c r="BX52" s="74">
        <v>55</v>
      </c>
      <c r="BY52" s="74">
        <v>0</v>
      </c>
      <c r="BZ52" s="74">
        <f t="shared" si="7"/>
        <v>476</v>
      </c>
      <c r="CB52" s="74">
        <v>1422600</v>
      </c>
      <c r="CC52" s="74" t="s">
        <v>271</v>
      </c>
      <c r="CD52" s="74" t="s">
        <v>264</v>
      </c>
      <c r="CE52" s="74"/>
      <c r="CF52" s="74">
        <v>41</v>
      </c>
      <c r="CG52" s="74">
        <v>96</v>
      </c>
      <c r="CH52" s="74">
        <v>107</v>
      </c>
      <c r="CI52" s="74">
        <v>102</v>
      </c>
      <c r="CJ52" s="74">
        <v>75</v>
      </c>
      <c r="CK52" s="74">
        <v>55</v>
      </c>
      <c r="CL52" s="74">
        <v>0</v>
      </c>
      <c r="CM52" s="74">
        <f t="shared" si="2"/>
        <v>476</v>
      </c>
      <c r="CO52" s="74">
        <v>1422600</v>
      </c>
      <c r="CP52" s="74" t="s">
        <v>271</v>
      </c>
      <c r="CQ52" s="74" t="s">
        <v>264</v>
      </c>
      <c r="CR52" s="74"/>
      <c r="CS52" s="74">
        <v>41</v>
      </c>
      <c r="CT52" s="74">
        <v>92</v>
      </c>
      <c r="CU52" s="74">
        <v>103</v>
      </c>
      <c r="CV52" s="74">
        <v>98</v>
      </c>
      <c r="CW52" s="74">
        <v>72</v>
      </c>
      <c r="CX52" s="74">
        <v>54</v>
      </c>
      <c r="CY52" s="74">
        <v>0</v>
      </c>
      <c r="CZ52" s="74">
        <v>460</v>
      </c>
      <c r="DB52" s="74">
        <v>1422600</v>
      </c>
      <c r="DC52" s="74" t="s">
        <v>271</v>
      </c>
      <c r="DD52" s="74" t="s">
        <v>264</v>
      </c>
      <c r="DE52" s="74"/>
      <c r="DF52" s="74">
        <v>39</v>
      </c>
      <c r="DG52" s="74">
        <v>88</v>
      </c>
      <c r="DH52" s="74">
        <v>99</v>
      </c>
      <c r="DI52" s="74">
        <v>94</v>
      </c>
      <c r="DJ52" s="74">
        <v>68</v>
      </c>
      <c r="DK52" s="74">
        <v>53</v>
      </c>
      <c r="DL52" s="74">
        <v>0</v>
      </c>
      <c r="DM52" s="74">
        <v>441</v>
      </c>
      <c r="DO52" s="74">
        <v>1422600</v>
      </c>
      <c r="DP52" s="74" t="s">
        <v>271</v>
      </c>
      <c r="DQ52" s="74" t="s">
        <v>264</v>
      </c>
      <c r="DR52" s="74"/>
      <c r="DS52" s="74">
        <v>39</v>
      </c>
      <c r="DT52" s="74">
        <v>87</v>
      </c>
      <c r="DU52" s="74">
        <v>95</v>
      </c>
      <c r="DV52" s="74">
        <v>90</v>
      </c>
      <c r="DW52" s="74">
        <v>66</v>
      </c>
      <c r="DX52" s="74">
        <v>52</v>
      </c>
      <c r="DY52" s="74">
        <v>0</v>
      </c>
      <c r="DZ52" s="74">
        <v>429</v>
      </c>
      <c r="EA52" s="74"/>
      <c r="EB52" s="74">
        <v>1422600</v>
      </c>
      <c r="EC52" s="74" t="s">
        <v>271</v>
      </c>
      <c r="ED52" s="74" t="s">
        <v>264</v>
      </c>
      <c r="EE52" s="74"/>
      <c r="EF52" s="74">
        <v>39</v>
      </c>
      <c r="EG52" s="74">
        <v>87</v>
      </c>
      <c r="EH52" s="74">
        <v>95</v>
      </c>
      <c r="EI52" s="74">
        <v>90</v>
      </c>
      <c r="EJ52" s="74">
        <v>66</v>
      </c>
      <c r="EK52" s="74">
        <v>52</v>
      </c>
      <c r="EL52" s="74">
        <v>0</v>
      </c>
      <c r="EM52" s="74">
        <v>429</v>
      </c>
      <c r="EN52" s="74"/>
      <c r="EO52" s="74">
        <v>1422601</v>
      </c>
      <c r="EP52" s="74" t="s">
        <v>271</v>
      </c>
      <c r="EQ52" s="74" t="s">
        <v>264</v>
      </c>
      <c r="ER52" s="74"/>
      <c r="ES52" s="74">
        <v>22</v>
      </c>
      <c r="ET52" s="74">
        <v>31</v>
      </c>
      <c r="EU52" s="74">
        <v>38</v>
      </c>
      <c r="EV52" s="74">
        <v>35</v>
      </c>
      <c r="EW52" s="74">
        <v>28</v>
      </c>
      <c r="EX52" s="74">
        <v>20</v>
      </c>
      <c r="EY52" s="74">
        <v>0</v>
      </c>
      <c r="EZ52" s="74">
        <v>174</v>
      </c>
      <c r="FB52" s="74">
        <v>1422701</v>
      </c>
      <c r="FC52" s="74" t="s">
        <v>265</v>
      </c>
      <c r="FD52" s="74" t="s">
        <v>264</v>
      </c>
      <c r="FE52" s="74"/>
      <c r="FF52" s="74">
        <v>30</v>
      </c>
      <c r="FG52" s="74">
        <v>76</v>
      </c>
      <c r="FH52" s="74">
        <v>79</v>
      </c>
      <c r="FI52" s="74">
        <v>77</v>
      </c>
      <c r="FJ52" s="74">
        <v>57</v>
      </c>
      <c r="FK52" s="74">
        <v>46</v>
      </c>
      <c r="FL52" s="74">
        <v>0</v>
      </c>
      <c r="FM52" s="74">
        <v>365</v>
      </c>
      <c r="FO52" s="74">
        <v>1422701</v>
      </c>
      <c r="FP52" s="74" t="s">
        <v>265</v>
      </c>
      <c r="FQ52" s="74" t="s">
        <v>264</v>
      </c>
      <c r="FR52" s="74"/>
      <c r="FS52" s="74">
        <v>28</v>
      </c>
      <c r="FT52" s="74">
        <v>70</v>
      </c>
      <c r="FU52" s="74">
        <v>73</v>
      </c>
      <c r="FV52" s="74">
        <v>71</v>
      </c>
      <c r="FW52" s="74">
        <v>53</v>
      </c>
      <c r="FX52" s="74">
        <v>42</v>
      </c>
      <c r="FY52" s="74">
        <v>0</v>
      </c>
      <c r="FZ52" s="74">
        <v>337</v>
      </c>
      <c r="GB52" s="74">
        <v>1422701</v>
      </c>
      <c r="GC52" s="74" t="s">
        <v>265</v>
      </c>
      <c r="GD52" s="74" t="s">
        <v>264</v>
      </c>
      <c r="GE52" s="74"/>
      <c r="GF52" s="74">
        <v>13</v>
      </c>
      <c r="GG52" s="74">
        <v>25</v>
      </c>
      <c r="GH52" s="74">
        <v>27</v>
      </c>
      <c r="GI52" s="74">
        <v>25</v>
      </c>
      <c r="GJ52" s="74">
        <v>21</v>
      </c>
      <c r="GK52" s="74">
        <v>14</v>
      </c>
      <c r="GL52" s="74">
        <v>0</v>
      </c>
      <c r="GM52" s="74">
        <v>125</v>
      </c>
      <c r="GO52" s="74">
        <v>1422701</v>
      </c>
      <c r="GP52" s="74" t="s">
        <v>265</v>
      </c>
      <c r="GQ52" s="74" t="s">
        <v>264</v>
      </c>
      <c r="GR52" s="74"/>
      <c r="GS52" s="74">
        <v>10</v>
      </c>
      <c r="GT52" s="74">
        <v>20</v>
      </c>
      <c r="GU52" s="74">
        <v>20</v>
      </c>
      <c r="GV52" s="74">
        <v>19</v>
      </c>
      <c r="GW52" s="74">
        <v>17</v>
      </c>
      <c r="GX52" s="74">
        <v>11</v>
      </c>
      <c r="GY52" s="74">
        <v>0</v>
      </c>
      <c r="GZ52" s="74">
        <f t="shared" si="10"/>
        <v>97</v>
      </c>
    </row>
    <row r="53" spans="1:208">
      <c r="A53" s="493">
        <v>1422601</v>
      </c>
      <c r="B53" s="478" t="s">
        <v>11</v>
      </c>
      <c r="C53" s="478">
        <v>32</v>
      </c>
      <c r="D53" s="478">
        <v>51</v>
      </c>
      <c r="E53" s="478">
        <v>58</v>
      </c>
      <c r="F53" s="478">
        <v>51</v>
      </c>
      <c r="G53" s="478">
        <v>39</v>
      </c>
      <c r="H53" s="478">
        <v>24</v>
      </c>
      <c r="I53" s="478"/>
      <c r="J53" s="479">
        <f t="shared" si="12"/>
        <v>255</v>
      </c>
      <c r="K53" s="480">
        <f>'CORTE 4200'!$O$457</f>
        <v>49</v>
      </c>
      <c r="L53" s="480"/>
      <c r="M53" s="481"/>
      <c r="N53" s="500"/>
      <c r="O53">
        <v>1422601</v>
      </c>
      <c r="P53" t="s">
        <v>271</v>
      </c>
      <c r="Q53" t="s">
        <v>264</v>
      </c>
      <c r="R53"/>
      <c r="S53">
        <v>32</v>
      </c>
      <c r="T53">
        <v>51</v>
      </c>
      <c r="U53">
        <v>58</v>
      </c>
      <c r="V53">
        <v>51</v>
      </c>
      <c r="W53">
        <v>39</v>
      </c>
      <c r="X53">
        <v>24</v>
      </c>
      <c r="Y53">
        <v>0</v>
      </c>
      <c r="Z53">
        <f t="shared" si="5"/>
        <v>255</v>
      </c>
      <c r="AA53" s="500"/>
      <c r="AB53" s="74">
        <v>1422601</v>
      </c>
      <c r="AC53" s="74" t="s">
        <v>271</v>
      </c>
      <c r="AD53" s="74" t="s">
        <v>264</v>
      </c>
      <c r="AE53"/>
      <c r="AF53" s="74">
        <v>35</v>
      </c>
      <c r="AG53" s="74">
        <v>57</v>
      </c>
      <c r="AH53" s="74">
        <v>63</v>
      </c>
      <c r="AI53" s="74">
        <v>54</v>
      </c>
      <c r="AJ53" s="74">
        <v>40</v>
      </c>
      <c r="AK53" s="74">
        <v>24</v>
      </c>
      <c r="AL53" s="74">
        <v>0</v>
      </c>
      <c r="AM53" s="74">
        <f t="shared" si="1"/>
        <v>273</v>
      </c>
      <c r="AO53" s="74">
        <v>1422601</v>
      </c>
      <c r="AP53" s="74" t="s">
        <v>271</v>
      </c>
      <c r="AQ53" s="74" t="s">
        <v>264</v>
      </c>
      <c r="AR53" s="74"/>
      <c r="AS53" s="74">
        <v>35</v>
      </c>
      <c r="AT53" s="74">
        <v>57</v>
      </c>
      <c r="AU53" s="74">
        <v>63</v>
      </c>
      <c r="AV53" s="74">
        <v>54</v>
      </c>
      <c r="AW53" s="74">
        <v>40</v>
      </c>
      <c r="AX53" s="74">
        <v>24</v>
      </c>
      <c r="AY53" s="74">
        <v>0</v>
      </c>
      <c r="AZ53" s="74">
        <f t="shared" si="6"/>
        <v>273</v>
      </c>
      <c r="BB53" s="74">
        <v>1422601</v>
      </c>
      <c r="BC53" s="74" t="s">
        <v>271</v>
      </c>
      <c r="BD53" s="74" t="s">
        <v>264</v>
      </c>
      <c r="BE53" s="74"/>
      <c r="BF53" s="74">
        <v>34</v>
      </c>
      <c r="BG53" s="74">
        <v>54</v>
      </c>
      <c r="BH53" s="74">
        <v>60</v>
      </c>
      <c r="BI53" s="74">
        <v>52</v>
      </c>
      <c r="BJ53" s="74">
        <v>39</v>
      </c>
      <c r="BK53" s="74">
        <v>24</v>
      </c>
      <c r="BL53" s="74">
        <v>0</v>
      </c>
      <c r="BM53" s="74">
        <f t="shared" si="8"/>
        <v>263</v>
      </c>
      <c r="BO53" s="74">
        <v>1422601</v>
      </c>
      <c r="BP53" s="74" t="s">
        <v>271</v>
      </c>
      <c r="BQ53" s="74" t="s">
        <v>264</v>
      </c>
      <c r="BR53" s="74"/>
      <c r="BS53" s="74">
        <v>34</v>
      </c>
      <c r="BT53" s="74">
        <v>54</v>
      </c>
      <c r="BU53" s="74">
        <v>60</v>
      </c>
      <c r="BV53" s="74">
        <v>52</v>
      </c>
      <c r="BW53" s="74">
        <v>39</v>
      </c>
      <c r="BX53" s="74">
        <v>24</v>
      </c>
      <c r="BY53" s="74">
        <v>0</v>
      </c>
      <c r="BZ53" s="74">
        <f t="shared" si="7"/>
        <v>263</v>
      </c>
      <c r="CB53" s="74">
        <v>1422601</v>
      </c>
      <c r="CC53" s="74" t="s">
        <v>271</v>
      </c>
      <c r="CD53" s="74" t="s">
        <v>264</v>
      </c>
      <c r="CE53" s="74"/>
      <c r="CF53" s="74">
        <v>34</v>
      </c>
      <c r="CG53" s="74">
        <v>54</v>
      </c>
      <c r="CH53" s="74">
        <v>60</v>
      </c>
      <c r="CI53" s="74">
        <v>52</v>
      </c>
      <c r="CJ53" s="74">
        <v>39</v>
      </c>
      <c r="CK53" s="74">
        <v>24</v>
      </c>
      <c r="CL53" s="74">
        <v>0</v>
      </c>
      <c r="CM53" s="74">
        <f t="shared" si="2"/>
        <v>263</v>
      </c>
      <c r="CO53" s="74">
        <v>1422601</v>
      </c>
      <c r="CP53" s="74" t="s">
        <v>271</v>
      </c>
      <c r="CQ53" s="74" t="s">
        <v>264</v>
      </c>
      <c r="CR53" s="74"/>
      <c r="CS53" s="74">
        <v>33</v>
      </c>
      <c r="CT53" s="74">
        <v>51</v>
      </c>
      <c r="CU53" s="74">
        <v>57</v>
      </c>
      <c r="CV53" s="74">
        <v>49</v>
      </c>
      <c r="CW53" s="74">
        <v>37</v>
      </c>
      <c r="CX53" s="74">
        <v>23</v>
      </c>
      <c r="CY53" s="74">
        <v>0</v>
      </c>
      <c r="CZ53" s="74">
        <v>250</v>
      </c>
      <c r="DB53" s="74">
        <v>1422601</v>
      </c>
      <c r="DC53" s="74" t="s">
        <v>271</v>
      </c>
      <c r="DD53" s="74" t="s">
        <v>264</v>
      </c>
      <c r="DE53" s="74"/>
      <c r="DF53" s="74">
        <v>32</v>
      </c>
      <c r="DG53" s="74">
        <v>47</v>
      </c>
      <c r="DH53" s="74">
        <v>53</v>
      </c>
      <c r="DI53" s="74">
        <v>46</v>
      </c>
      <c r="DJ53" s="74">
        <v>34</v>
      </c>
      <c r="DK53" s="74">
        <v>21</v>
      </c>
      <c r="DL53" s="74">
        <v>0</v>
      </c>
      <c r="DM53" s="74">
        <v>233</v>
      </c>
      <c r="DO53" s="74">
        <v>1422601</v>
      </c>
      <c r="DP53" s="74" t="s">
        <v>271</v>
      </c>
      <c r="DQ53" s="74" t="s">
        <v>264</v>
      </c>
      <c r="DR53" s="74"/>
      <c r="DS53" s="74">
        <v>27</v>
      </c>
      <c r="DT53" s="74">
        <v>40</v>
      </c>
      <c r="DU53" s="74">
        <v>46</v>
      </c>
      <c r="DV53" s="74">
        <v>41</v>
      </c>
      <c r="DW53" s="74">
        <v>31</v>
      </c>
      <c r="DX53" s="74">
        <v>21</v>
      </c>
      <c r="DY53" s="74">
        <v>0</v>
      </c>
      <c r="DZ53" s="74">
        <v>206</v>
      </c>
      <c r="EA53" s="74"/>
      <c r="EB53" s="74">
        <v>1422601</v>
      </c>
      <c r="EC53" s="74" t="s">
        <v>271</v>
      </c>
      <c r="ED53" s="74" t="s">
        <v>264</v>
      </c>
      <c r="EE53" s="74"/>
      <c r="EF53" s="74">
        <v>24</v>
      </c>
      <c r="EG53" s="74">
        <v>34</v>
      </c>
      <c r="EH53" s="74">
        <v>41</v>
      </c>
      <c r="EI53" s="74">
        <v>38</v>
      </c>
      <c r="EJ53" s="74">
        <v>30</v>
      </c>
      <c r="EK53" s="74">
        <v>21</v>
      </c>
      <c r="EL53" s="74">
        <v>0</v>
      </c>
      <c r="EM53" s="74">
        <v>188</v>
      </c>
      <c r="EN53" s="74"/>
      <c r="EO53" s="74">
        <v>1422700</v>
      </c>
      <c r="EP53" s="74" t="s">
        <v>278</v>
      </c>
      <c r="EQ53" s="74" t="s">
        <v>264</v>
      </c>
      <c r="ER53" s="74"/>
      <c r="ES53" s="74">
        <v>30</v>
      </c>
      <c r="ET53" s="74">
        <v>72</v>
      </c>
      <c r="EU53" s="74">
        <v>76</v>
      </c>
      <c r="EV53" s="74">
        <v>73</v>
      </c>
      <c r="EW53" s="74">
        <v>51</v>
      </c>
      <c r="EX53" s="74">
        <v>40</v>
      </c>
      <c r="EY53" s="74">
        <v>0</v>
      </c>
      <c r="EZ53" s="74">
        <v>342</v>
      </c>
      <c r="FB53" s="74">
        <v>1422702</v>
      </c>
      <c r="FC53" s="74" t="s">
        <v>265</v>
      </c>
      <c r="FD53" s="74" t="s">
        <v>264</v>
      </c>
      <c r="FE53" s="74"/>
      <c r="FF53" s="74">
        <v>2</v>
      </c>
      <c r="FG53" s="74">
        <v>3</v>
      </c>
      <c r="FH53" s="74">
        <v>2</v>
      </c>
      <c r="FI53" s="74">
        <v>2</v>
      </c>
      <c r="FJ53" s="74">
        <v>2</v>
      </c>
      <c r="FK53" s="74">
        <v>1</v>
      </c>
      <c r="FL53" s="74">
        <v>0</v>
      </c>
      <c r="FM53" s="74">
        <v>12</v>
      </c>
      <c r="FO53" s="74">
        <v>1422800</v>
      </c>
      <c r="FP53" s="74" t="s">
        <v>267</v>
      </c>
      <c r="FQ53" s="74" t="s">
        <v>264</v>
      </c>
      <c r="FR53" s="74"/>
      <c r="FS53" s="74">
        <v>34</v>
      </c>
      <c r="FT53" s="74">
        <v>49</v>
      </c>
      <c r="FU53" s="74">
        <v>49</v>
      </c>
      <c r="FV53" s="74">
        <v>47</v>
      </c>
      <c r="FW53" s="74">
        <v>34</v>
      </c>
      <c r="FX53" s="74">
        <v>24</v>
      </c>
      <c r="FY53" s="74">
        <v>0</v>
      </c>
      <c r="FZ53" s="74">
        <v>237</v>
      </c>
      <c r="GB53" s="74">
        <v>1422800</v>
      </c>
      <c r="GC53" s="74" t="s">
        <v>267</v>
      </c>
      <c r="GD53" s="74" t="s">
        <v>264</v>
      </c>
      <c r="GE53" s="74"/>
      <c r="GF53" s="74">
        <v>24</v>
      </c>
      <c r="GG53" s="74">
        <v>32</v>
      </c>
      <c r="GH53" s="74">
        <v>31</v>
      </c>
      <c r="GI53" s="74">
        <v>30</v>
      </c>
      <c r="GJ53" s="74">
        <v>22</v>
      </c>
      <c r="GK53" s="74">
        <v>14</v>
      </c>
      <c r="GL53" s="74">
        <v>0</v>
      </c>
      <c r="GM53" s="74">
        <v>153</v>
      </c>
      <c r="GO53" s="74">
        <v>1422800</v>
      </c>
      <c r="GP53" s="74" t="s">
        <v>267</v>
      </c>
      <c r="GQ53" s="74" t="s">
        <v>264</v>
      </c>
      <c r="GR53" s="74"/>
      <c r="GS53" s="74">
        <v>23</v>
      </c>
      <c r="GT53" s="74">
        <v>29</v>
      </c>
      <c r="GU53" s="74">
        <v>27</v>
      </c>
      <c r="GV53" s="74">
        <v>27</v>
      </c>
      <c r="GW53" s="74">
        <v>20</v>
      </c>
      <c r="GX53" s="74">
        <v>13</v>
      </c>
      <c r="GY53" s="74">
        <v>0</v>
      </c>
      <c r="GZ53" s="74">
        <f t="shared" si="10"/>
        <v>139</v>
      </c>
    </row>
    <row r="54" spans="1:208">
      <c r="A54" s="478">
        <v>1422700</v>
      </c>
      <c r="B54" s="478" t="s">
        <v>95</v>
      </c>
      <c r="C54" s="478">
        <v>43</v>
      </c>
      <c r="D54" s="478">
        <v>103</v>
      </c>
      <c r="E54" s="478">
        <v>110</v>
      </c>
      <c r="F54" s="478">
        <v>105</v>
      </c>
      <c r="G54" s="478">
        <v>77</v>
      </c>
      <c r="H54" s="478">
        <v>56</v>
      </c>
      <c r="I54" s="478"/>
      <c r="J54" s="479">
        <f t="shared" ref="J54:J62" si="14">SUM(C54:H54)</f>
        <v>494</v>
      </c>
      <c r="K54" s="480">
        <f>'CORTE 4200'!$O$466</f>
        <v>1</v>
      </c>
      <c r="L54" s="480"/>
      <c r="M54" s="481"/>
      <c r="N54" s="500"/>
      <c r="O54">
        <v>1422700</v>
      </c>
      <c r="P54" t="s">
        <v>278</v>
      </c>
      <c r="Q54" t="s">
        <v>264</v>
      </c>
      <c r="R54"/>
      <c r="S54">
        <v>43</v>
      </c>
      <c r="T54">
        <v>103</v>
      </c>
      <c r="U54">
        <v>110</v>
      </c>
      <c r="V54">
        <v>105</v>
      </c>
      <c r="W54">
        <v>77</v>
      </c>
      <c r="X54">
        <v>56</v>
      </c>
      <c r="Y54"/>
      <c r="Z54">
        <f t="shared" si="5"/>
        <v>494</v>
      </c>
      <c r="AA54" s="500"/>
      <c r="AB54" s="74">
        <v>1422700</v>
      </c>
      <c r="AC54" s="74" t="s">
        <v>278</v>
      </c>
      <c r="AD54" s="74" t="s">
        <v>264</v>
      </c>
      <c r="AE54"/>
      <c r="AF54" s="74">
        <v>44</v>
      </c>
      <c r="AG54" s="74">
        <v>105</v>
      </c>
      <c r="AH54" s="74">
        <v>112</v>
      </c>
      <c r="AI54" s="74">
        <v>105</v>
      </c>
      <c r="AJ54" s="74">
        <v>77</v>
      </c>
      <c r="AK54" s="74">
        <v>55</v>
      </c>
      <c r="AL54" s="74"/>
      <c r="AM54" s="74">
        <f t="shared" si="1"/>
        <v>498</v>
      </c>
      <c r="AO54" s="74">
        <v>1422700</v>
      </c>
      <c r="AP54" s="74" t="s">
        <v>278</v>
      </c>
      <c r="AQ54" s="74" t="s">
        <v>264</v>
      </c>
      <c r="AR54" s="74"/>
      <c r="AS54" s="74">
        <v>42</v>
      </c>
      <c r="AT54" s="74">
        <v>102</v>
      </c>
      <c r="AU54" s="74">
        <v>109</v>
      </c>
      <c r="AV54" s="74">
        <v>103</v>
      </c>
      <c r="AW54" s="74">
        <v>75</v>
      </c>
      <c r="AX54" s="74">
        <v>53</v>
      </c>
      <c r="AY54" s="74"/>
      <c r="AZ54" s="74">
        <f t="shared" si="6"/>
        <v>484</v>
      </c>
      <c r="BB54" s="74">
        <v>1422700</v>
      </c>
      <c r="BC54" s="74" t="s">
        <v>278</v>
      </c>
      <c r="BD54" s="74" t="s">
        <v>264</v>
      </c>
      <c r="BE54" s="74"/>
      <c r="BF54" s="74">
        <v>42</v>
      </c>
      <c r="BG54" s="74">
        <v>102</v>
      </c>
      <c r="BH54" s="74">
        <v>109</v>
      </c>
      <c r="BI54" s="74">
        <v>103</v>
      </c>
      <c r="BJ54" s="74">
        <v>75</v>
      </c>
      <c r="BK54" s="74">
        <v>53</v>
      </c>
      <c r="BL54" s="74"/>
      <c r="BM54" s="74">
        <f t="shared" si="8"/>
        <v>484</v>
      </c>
      <c r="BO54" s="74">
        <v>1422700</v>
      </c>
      <c r="BP54" s="74" t="s">
        <v>278</v>
      </c>
      <c r="BQ54" s="74" t="s">
        <v>264</v>
      </c>
      <c r="BR54" s="74"/>
      <c r="BS54" s="74">
        <v>42</v>
      </c>
      <c r="BT54" s="74">
        <v>102</v>
      </c>
      <c r="BU54" s="74">
        <v>109</v>
      </c>
      <c r="BV54" s="74">
        <v>103</v>
      </c>
      <c r="BW54" s="74">
        <v>75</v>
      </c>
      <c r="BX54" s="74">
        <v>53</v>
      </c>
      <c r="BY54" s="74"/>
      <c r="BZ54" s="74">
        <f t="shared" si="7"/>
        <v>484</v>
      </c>
      <c r="CB54" s="74">
        <v>1422700</v>
      </c>
      <c r="CC54" s="74" t="s">
        <v>278</v>
      </c>
      <c r="CD54" s="74" t="s">
        <v>264</v>
      </c>
      <c r="CE54" s="74"/>
      <c r="CF54" s="74">
        <v>42</v>
      </c>
      <c r="CG54" s="74">
        <v>102</v>
      </c>
      <c r="CH54" s="74">
        <v>109</v>
      </c>
      <c r="CI54" s="74">
        <v>103</v>
      </c>
      <c r="CJ54" s="74">
        <v>75</v>
      </c>
      <c r="CK54" s="74">
        <v>53</v>
      </c>
      <c r="CL54" s="74"/>
      <c r="CM54" s="74">
        <f t="shared" si="2"/>
        <v>484</v>
      </c>
      <c r="CO54" s="74">
        <v>1422700</v>
      </c>
      <c r="CP54" s="74" t="s">
        <v>278</v>
      </c>
      <c r="CQ54" s="74" t="s">
        <v>264</v>
      </c>
      <c r="CR54" s="74"/>
      <c r="CS54" s="74">
        <v>42</v>
      </c>
      <c r="CT54" s="74">
        <v>97</v>
      </c>
      <c r="CU54" s="74">
        <v>102</v>
      </c>
      <c r="CV54" s="74">
        <v>96</v>
      </c>
      <c r="CW54" s="74">
        <v>69</v>
      </c>
      <c r="CX54" s="74">
        <v>50</v>
      </c>
      <c r="CY54" s="74">
        <v>0</v>
      </c>
      <c r="CZ54" s="74">
        <v>456</v>
      </c>
      <c r="DB54" s="74">
        <v>1422700</v>
      </c>
      <c r="DC54" s="74" t="s">
        <v>278</v>
      </c>
      <c r="DD54" s="74" t="s">
        <v>264</v>
      </c>
      <c r="DE54" s="74"/>
      <c r="DF54" s="74">
        <v>39</v>
      </c>
      <c r="DG54" s="74">
        <v>89</v>
      </c>
      <c r="DH54" s="74">
        <v>94</v>
      </c>
      <c r="DI54" s="74">
        <v>88</v>
      </c>
      <c r="DJ54" s="74">
        <v>61</v>
      </c>
      <c r="DK54" s="74">
        <v>44</v>
      </c>
      <c r="DL54" s="74">
        <v>0</v>
      </c>
      <c r="DM54" s="74">
        <v>415</v>
      </c>
      <c r="DO54" s="74">
        <v>1422700</v>
      </c>
      <c r="DP54" s="74" t="s">
        <v>278</v>
      </c>
      <c r="DQ54" s="74" t="s">
        <v>264</v>
      </c>
      <c r="DR54" s="74"/>
      <c r="DS54" s="74">
        <v>36</v>
      </c>
      <c r="DT54" s="74">
        <v>83</v>
      </c>
      <c r="DU54" s="74">
        <v>87</v>
      </c>
      <c r="DV54" s="74">
        <v>82</v>
      </c>
      <c r="DW54" s="74">
        <v>56</v>
      </c>
      <c r="DX54" s="74">
        <v>42</v>
      </c>
      <c r="DY54" s="74">
        <v>0</v>
      </c>
      <c r="DZ54" s="74">
        <v>386</v>
      </c>
      <c r="EA54" s="74"/>
      <c r="EB54" s="74">
        <v>1422700</v>
      </c>
      <c r="EC54" s="74" t="s">
        <v>278</v>
      </c>
      <c r="ED54" s="74" t="s">
        <v>264</v>
      </c>
      <c r="EE54" s="74"/>
      <c r="EF54" s="74">
        <v>32</v>
      </c>
      <c r="EG54" s="74">
        <v>75</v>
      </c>
      <c r="EH54" s="74">
        <v>79</v>
      </c>
      <c r="EI54" s="74">
        <v>76</v>
      </c>
      <c r="EJ54" s="74">
        <v>53</v>
      </c>
      <c r="EK54" s="74">
        <v>41</v>
      </c>
      <c r="EL54" s="74">
        <v>0</v>
      </c>
      <c r="EM54" s="74">
        <v>356</v>
      </c>
      <c r="EN54" s="74"/>
      <c r="EO54" s="74">
        <v>1422701</v>
      </c>
      <c r="EP54" s="74" t="s">
        <v>265</v>
      </c>
      <c r="EQ54" s="74" t="s">
        <v>264</v>
      </c>
      <c r="ER54" s="74"/>
      <c r="ES54" s="74">
        <v>35</v>
      </c>
      <c r="ET54" s="74">
        <v>86</v>
      </c>
      <c r="EU54" s="74">
        <v>89</v>
      </c>
      <c r="EV54" s="74">
        <v>87</v>
      </c>
      <c r="EW54" s="74">
        <v>65</v>
      </c>
      <c r="EX54" s="74">
        <v>51</v>
      </c>
      <c r="EY54" s="74">
        <v>0</v>
      </c>
      <c r="EZ54" s="74">
        <v>413</v>
      </c>
      <c r="FB54" s="74">
        <v>1422800</v>
      </c>
      <c r="FC54" s="74" t="s">
        <v>267</v>
      </c>
      <c r="FD54" s="74" t="s">
        <v>264</v>
      </c>
      <c r="FE54" s="74"/>
      <c r="FF54" s="74">
        <v>36</v>
      </c>
      <c r="FG54" s="74">
        <v>55</v>
      </c>
      <c r="FH54" s="74">
        <v>55</v>
      </c>
      <c r="FI54" s="74">
        <v>53</v>
      </c>
      <c r="FJ54" s="74">
        <v>38</v>
      </c>
      <c r="FK54" s="74">
        <v>28</v>
      </c>
      <c r="FL54" s="74">
        <v>0</v>
      </c>
      <c r="FM54" s="74">
        <v>265</v>
      </c>
      <c r="FO54" s="74">
        <v>1422900</v>
      </c>
      <c r="FP54" s="74" t="s">
        <v>263</v>
      </c>
      <c r="FQ54" s="74" t="s">
        <v>264</v>
      </c>
      <c r="FR54" s="74"/>
      <c r="FS54" s="74">
        <v>33</v>
      </c>
      <c r="FT54" s="74">
        <v>67</v>
      </c>
      <c r="FU54" s="74">
        <v>74</v>
      </c>
      <c r="FV54" s="74">
        <v>71</v>
      </c>
      <c r="FW54" s="74">
        <v>50</v>
      </c>
      <c r="FX54" s="74">
        <v>43</v>
      </c>
      <c r="FY54" s="74">
        <v>0</v>
      </c>
      <c r="FZ54" s="74">
        <v>338</v>
      </c>
      <c r="GB54" s="74">
        <v>1422900</v>
      </c>
      <c r="GC54" s="74" t="s">
        <v>263</v>
      </c>
      <c r="GD54" s="74" t="s">
        <v>264</v>
      </c>
      <c r="GE54" s="74"/>
      <c r="GF54" s="74">
        <v>22</v>
      </c>
      <c r="GG54" s="74">
        <v>30</v>
      </c>
      <c r="GH54" s="74">
        <v>35</v>
      </c>
      <c r="GI54" s="74">
        <v>33</v>
      </c>
      <c r="GJ54" s="74">
        <v>25</v>
      </c>
      <c r="GK54" s="74">
        <v>19</v>
      </c>
      <c r="GL54" s="74">
        <v>0</v>
      </c>
      <c r="GM54" s="74">
        <v>164</v>
      </c>
      <c r="GO54" s="74">
        <v>1422900</v>
      </c>
      <c r="GP54" s="74" t="s">
        <v>263</v>
      </c>
      <c r="GQ54" s="74" t="s">
        <v>264</v>
      </c>
      <c r="GR54" s="74"/>
      <c r="GS54" s="74">
        <v>19</v>
      </c>
      <c r="GT54" s="74">
        <v>25</v>
      </c>
      <c r="GU54" s="74">
        <v>28</v>
      </c>
      <c r="GV54" s="74">
        <v>27</v>
      </c>
      <c r="GW54" s="74">
        <v>21</v>
      </c>
      <c r="GX54" s="74">
        <v>16</v>
      </c>
      <c r="GY54" s="74">
        <v>0</v>
      </c>
      <c r="GZ54" s="74">
        <f t="shared" si="10"/>
        <v>136</v>
      </c>
    </row>
    <row r="55" spans="1:208">
      <c r="A55" s="478">
        <v>1422701</v>
      </c>
      <c r="B55" s="478" t="s">
        <v>95</v>
      </c>
      <c r="C55" s="478">
        <v>41</v>
      </c>
      <c r="D55" s="478">
        <v>101</v>
      </c>
      <c r="E55" s="478">
        <v>109</v>
      </c>
      <c r="F55" s="478">
        <v>108</v>
      </c>
      <c r="G55" s="478">
        <v>79</v>
      </c>
      <c r="H55" s="478">
        <v>61</v>
      </c>
      <c r="I55" s="478"/>
      <c r="J55" s="479">
        <f t="shared" si="14"/>
        <v>499</v>
      </c>
      <c r="K55" s="480">
        <f>'CORTE 4200'!$O$475</f>
        <v>-4</v>
      </c>
      <c r="L55" s="480"/>
      <c r="M55" s="481"/>
      <c r="N55" s="500"/>
      <c r="O55">
        <v>1422701</v>
      </c>
      <c r="P55" t="s">
        <v>265</v>
      </c>
      <c r="Q55" t="s">
        <v>264</v>
      </c>
      <c r="R55"/>
      <c r="S55">
        <v>41</v>
      </c>
      <c r="T55">
        <v>101</v>
      </c>
      <c r="U55">
        <v>109</v>
      </c>
      <c r="V55">
        <v>108</v>
      </c>
      <c r="W55">
        <v>79</v>
      </c>
      <c r="X55">
        <v>61</v>
      </c>
      <c r="Y55">
        <v>0</v>
      </c>
      <c r="Z55">
        <f t="shared" si="5"/>
        <v>499</v>
      </c>
      <c r="AA55" s="500"/>
      <c r="AB55" s="74">
        <v>1422701</v>
      </c>
      <c r="AC55" s="74" t="s">
        <v>265</v>
      </c>
      <c r="AD55" s="74" t="s">
        <v>264</v>
      </c>
      <c r="AE55"/>
      <c r="AF55" s="74">
        <v>43</v>
      </c>
      <c r="AG55" s="74">
        <v>105</v>
      </c>
      <c r="AH55" s="74">
        <v>114</v>
      </c>
      <c r="AI55" s="74">
        <v>111</v>
      </c>
      <c r="AJ55" s="74">
        <v>80</v>
      </c>
      <c r="AK55" s="74">
        <v>62</v>
      </c>
      <c r="AL55" s="74">
        <v>0</v>
      </c>
      <c r="AM55" s="74">
        <f t="shared" si="1"/>
        <v>515</v>
      </c>
      <c r="AO55" s="74">
        <v>1422701</v>
      </c>
      <c r="AP55" s="74" t="s">
        <v>265</v>
      </c>
      <c r="AQ55" s="74" t="s">
        <v>264</v>
      </c>
      <c r="AR55" s="74"/>
      <c r="AS55" s="74">
        <v>43</v>
      </c>
      <c r="AT55" s="74">
        <v>105</v>
      </c>
      <c r="AU55" s="74">
        <v>114</v>
      </c>
      <c r="AV55" s="74">
        <v>111</v>
      </c>
      <c r="AW55" s="74">
        <v>80</v>
      </c>
      <c r="AX55" s="74">
        <v>62</v>
      </c>
      <c r="AY55" s="74">
        <v>0</v>
      </c>
      <c r="AZ55" s="74">
        <f t="shared" si="6"/>
        <v>515</v>
      </c>
      <c r="BB55" s="74">
        <v>1422701</v>
      </c>
      <c r="BC55" s="74" t="s">
        <v>265</v>
      </c>
      <c r="BD55" s="74" t="s">
        <v>264</v>
      </c>
      <c r="BE55" s="74"/>
      <c r="BF55" s="74">
        <v>42</v>
      </c>
      <c r="BG55" s="74">
        <v>102</v>
      </c>
      <c r="BH55" s="74">
        <v>111</v>
      </c>
      <c r="BI55" s="74">
        <v>109</v>
      </c>
      <c r="BJ55" s="74">
        <v>79</v>
      </c>
      <c r="BK55" s="74">
        <v>62</v>
      </c>
      <c r="BL55" s="74">
        <v>0</v>
      </c>
      <c r="BM55" s="74">
        <f t="shared" si="8"/>
        <v>505</v>
      </c>
      <c r="BO55" s="74">
        <v>1422701</v>
      </c>
      <c r="BP55" s="74" t="s">
        <v>265</v>
      </c>
      <c r="BQ55" s="74" t="s">
        <v>264</v>
      </c>
      <c r="BR55" s="74"/>
      <c r="BS55" s="74">
        <v>42</v>
      </c>
      <c r="BT55" s="74">
        <v>102</v>
      </c>
      <c r="BU55" s="74">
        <v>111</v>
      </c>
      <c r="BV55" s="74">
        <v>109</v>
      </c>
      <c r="BW55" s="74">
        <v>79</v>
      </c>
      <c r="BX55" s="74">
        <v>62</v>
      </c>
      <c r="BY55" s="74">
        <v>0</v>
      </c>
      <c r="BZ55" s="74">
        <f t="shared" si="7"/>
        <v>505</v>
      </c>
      <c r="CB55" s="74">
        <v>1422701</v>
      </c>
      <c r="CC55" s="74" t="s">
        <v>265</v>
      </c>
      <c r="CD55" s="74" t="s">
        <v>264</v>
      </c>
      <c r="CE55" s="74"/>
      <c r="CF55" s="74">
        <v>42</v>
      </c>
      <c r="CG55" s="74">
        <v>102</v>
      </c>
      <c r="CH55" s="74">
        <v>111</v>
      </c>
      <c r="CI55" s="74">
        <v>109</v>
      </c>
      <c r="CJ55" s="74">
        <v>79</v>
      </c>
      <c r="CK55" s="74">
        <v>62</v>
      </c>
      <c r="CL55" s="74">
        <v>0</v>
      </c>
      <c r="CM55" s="74">
        <f t="shared" si="2"/>
        <v>505</v>
      </c>
      <c r="CO55" s="74">
        <v>1422701</v>
      </c>
      <c r="CP55" s="74" t="s">
        <v>265</v>
      </c>
      <c r="CQ55" s="74" t="s">
        <v>264</v>
      </c>
      <c r="CR55" s="74"/>
      <c r="CS55" s="74">
        <v>42</v>
      </c>
      <c r="CT55" s="74">
        <v>102</v>
      </c>
      <c r="CU55" s="74">
        <v>111</v>
      </c>
      <c r="CV55" s="74">
        <v>109</v>
      </c>
      <c r="CW55" s="74">
        <v>79</v>
      </c>
      <c r="CX55" s="74">
        <v>62</v>
      </c>
      <c r="CY55" s="74">
        <v>0</v>
      </c>
      <c r="CZ55" s="74">
        <v>505</v>
      </c>
      <c r="DB55" s="74">
        <v>1422701</v>
      </c>
      <c r="DC55" s="74" t="s">
        <v>265</v>
      </c>
      <c r="DD55" s="74" t="s">
        <v>264</v>
      </c>
      <c r="DE55" s="74"/>
      <c r="DF55" s="74">
        <v>42</v>
      </c>
      <c r="DG55" s="74">
        <v>101</v>
      </c>
      <c r="DH55" s="74">
        <v>107</v>
      </c>
      <c r="DI55" s="74">
        <v>103</v>
      </c>
      <c r="DJ55" s="74">
        <v>73</v>
      </c>
      <c r="DK55" s="74">
        <v>56</v>
      </c>
      <c r="DL55" s="74">
        <v>0</v>
      </c>
      <c r="DM55" s="74">
        <v>482</v>
      </c>
      <c r="DO55" s="74">
        <v>1422701</v>
      </c>
      <c r="DP55" s="74" t="s">
        <v>265</v>
      </c>
      <c r="DQ55" s="74" t="s">
        <v>264</v>
      </c>
      <c r="DR55" s="74"/>
      <c r="DS55" s="74">
        <v>42</v>
      </c>
      <c r="DT55" s="74">
        <v>99</v>
      </c>
      <c r="DU55" s="74">
        <v>102</v>
      </c>
      <c r="DV55" s="74">
        <v>98</v>
      </c>
      <c r="DW55" s="74">
        <v>71</v>
      </c>
      <c r="DX55" s="74">
        <v>55</v>
      </c>
      <c r="DY55" s="74">
        <v>0</v>
      </c>
      <c r="DZ55" s="74">
        <v>467</v>
      </c>
      <c r="EA55" s="74"/>
      <c r="EB55" s="74">
        <v>1422701</v>
      </c>
      <c r="EC55" s="74" t="s">
        <v>265</v>
      </c>
      <c r="ED55" s="74" t="s">
        <v>264</v>
      </c>
      <c r="EE55" s="74"/>
      <c r="EF55" s="74">
        <v>36</v>
      </c>
      <c r="EG55" s="74">
        <v>88</v>
      </c>
      <c r="EH55" s="74">
        <v>91</v>
      </c>
      <c r="EI55" s="74">
        <v>89</v>
      </c>
      <c r="EJ55" s="74">
        <v>66</v>
      </c>
      <c r="EK55" s="74">
        <v>52</v>
      </c>
      <c r="EL55" s="74">
        <v>0</v>
      </c>
      <c r="EM55" s="74">
        <v>422</v>
      </c>
      <c r="EN55" s="74"/>
      <c r="EO55" s="74">
        <v>1422702</v>
      </c>
      <c r="EP55" s="74" t="s">
        <v>265</v>
      </c>
      <c r="EQ55" s="74" t="s">
        <v>264</v>
      </c>
      <c r="ER55" s="74"/>
      <c r="ES55" s="74">
        <v>2</v>
      </c>
      <c r="ET55" s="74">
        <v>3</v>
      </c>
      <c r="EU55" s="74">
        <v>2</v>
      </c>
      <c r="EV55" s="74">
        <v>2</v>
      </c>
      <c r="EW55" s="74">
        <v>2</v>
      </c>
      <c r="EX55" s="74">
        <v>1</v>
      </c>
      <c r="EY55" s="74">
        <v>0</v>
      </c>
      <c r="EZ55" s="74">
        <v>12</v>
      </c>
      <c r="FB55" s="74">
        <v>1422900</v>
      </c>
      <c r="FC55" s="74" t="s">
        <v>263</v>
      </c>
      <c r="FD55" s="74" t="s">
        <v>264</v>
      </c>
      <c r="FE55" s="74"/>
      <c r="FF55" s="74">
        <v>35</v>
      </c>
      <c r="FG55" s="74">
        <v>73</v>
      </c>
      <c r="FH55" s="74">
        <v>80</v>
      </c>
      <c r="FI55" s="74">
        <v>77</v>
      </c>
      <c r="FJ55" s="74">
        <v>54</v>
      </c>
      <c r="FK55" s="74">
        <v>47</v>
      </c>
      <c r="FL55" s="74">
        <v>0</v>
      </c>
      <c r="FM55" s="74">
        <v>366</v>
      </c>
      <c r="FO55" s="74">
        <v>1423000</v>
      </c>
      <c r="FP55" s="74" t="s">
        <v>263</v>
      </c>
      <c r="FQ55" s="74" t="s">
        <v>264</v>
      </c>
      <c r="FR55" s="74"/>
      <c r="FS55" s="74">
        <v>19</v>
      </c>
      <c r="FT55" s="74">
        <v>28</v>
      </c>
      <c r="FU55" s="74">
        <v>28</v>
      </c>
      <c r="FV55" s="74">
        <v>26</v>
      </c>
      <c r="FW55" s="74">
        <v>19</v>
      </c>
      <c r="FX55" s="74">
        <v>8</v>
      </c>
      <c r="FY55" s="74">
        <v>0</v>
      </c>
      <c r="FZ55" s="74">
        <v>128</v>
      </c>
      <c r="GB55" s="74">
        <v>1423000</v>
      </c>
      <c r="GC55" s="74" t="s">
        <v>263</v>
      </c>
      <c r="GD55" s="74" t="s">
        <v>264</v>
      </c>
      <c r="GE55" s="74"/>
      <c r="GF55" s="74">
        <v>19</v>
      </c>
      <c r="GG55" s="74">
        <v>28</v>
      </c>
      <c r="GH55" s="74">
        <v>28</v>
      </c>
      <c r="GI55" s="74">
        <v>26</v>
      </c>
      <c r="GJ55" s="74">
        <v>19</v>
      </c>
      <c r="GK55" s="74">
        <v>8</v>
      </c>
      <c r="GL55" s="74">
        <v>0</v>
      </c>
      <c r="GM55" s="74">
        <v>128</v>
      </c>
      <c r="GO55" s="74">
        <v>1423000</v>
      </c>
      <c r="GP55" s="74" t="s">
        <v>263</v>
      </c>
      <c r="GQ55" s="74" t="s">
        <v>264</v>
      </c>
      <c r="GR55" s="74"/>
      <c r="GS55" s="74">
        <v>16</v>
      </c>
      <c r="GT55" s="74">
        <v>23</v>
      </c>
      <c r="GU55" s="74">
        <v>21</v>
      </c>
      <c r="GV55" s="74">
        <v>20</v>
      </c>
      <c r="GW55" s="74">
        <v>15</v>
      </c>
      <c r="GX55" s="74">
        <v>5</v>
      </c>
      <c r="GY55" s="74">
        <v>0</v>
      </c>
      <c r="GZ55" s="74">
        <f t="shared" si="10"/>
        <v>100</v>
      </c>
    </row>
    <row r="56" spans="1:208">
      <c r="A56" s="478">
        <v>1422702</v>
      </c>
      <c r="B56" s="478" t="s">
        <v>95</v>
      </c>
      <c r="C56" s="478">
        <v>2</v>
      </c>
      <c r="D56" s="478">
        <v>3</v>
      </c>
      <c r="E56" s="478">
        <v>2</v>
      </c>
      <c r="F56" s="478">
        <v>2</v>
      </c>
      <c r="G56" s="478">
        <v>2</v>
      </c>
      <c r="H56" s="478">
        <v>1</v>
      </c>
      <c r="I56" s="478"/>
      <c r="J56" s="479">
        <f>SUM(C56:H56)</f>
        <v>12</v>
      </c>
      <c r="K56" s="480">
        <f>'CORTE 4200'!$O$484</f>
        <v>0</v>
      </c>
      <c r="L56" s="480"/>
      <c r="M56" s="481"/>
      <c r="N56" s="500"/>
      <c r="O56">
        <v>1422702</v>
      </c>
      <c r="P56" t="s">
        <v>265</v>
      </c>
      <c r="Q56" t="s">
        <v>264</v>
      </c>
      <c r="R56"/>
      <c r="S56">
        <v>2</v>
      </c>
      <c r="T56">
        <v>3</v>
      </c>
      <c r="U56">
        <v>2</v>
      </c>
      <c r="V56">
        <v>2</v>
      </c>
      <c r="W56">
        <v>2</v>
      </c>
      <c r="X56">
        <v>1</v>
      </c>
      <c r="Y56">
        <v>0</v>
      </c>
      <c r="Z56">
        <f t="shared" si="5"/>
        <v>12</v>
      </c>
      <c r="AA56" s="500"/>
      <c r="AB56" s="74">
        <v>1422702</v>
      </c>
      <c r="AC56" s="74" t="s">
        <v>265</v>
      </c>
      <c r="AD56" s="74" t="s">
        <v>264</v>
      </c>
      <c r="AE56"/>
      <c r="AF56" s="74">
        <v>2</v>
      </c>
      <c r="AG56" s="74">
        <v>3</v>
      </c>
      <c r="AH56" s="74">
        <v>2</v>
      </c>
      <c r="AI56" s="74">
        <v>2</v>
      </c>
      <c r="AJ56" s="74">
        <v>2</v>
      </c>
      <c r="AK56" s="74">
        <v>1</v>
      </c>
      <c r="AL56" s="74">
        <v>0</v>
      </c>
      <c r="AM56" s="74">
        <f t="shared" si="1"/>
        <v>12</v>
      </c>
      <c r="AO56" s="74">
        <v>1422702</v>
      </c>
      <c r="AP56" s="74" t="s">
        <v>265</v>
      </c>
      <c r="AQ56" s="74" t="s">
        <v>264</v>
      </c>
      <c r="AR56" s="74"/>
      <c r="AS56" s="74">
        <v>2</v>
      </c>
      <c r="AT56" s="74">
        <v>3</v>
      </c>
      <c r="AU56" s="74">
        <v>2</v>
      </c>
      <c r="AV56" s="74">
        <v>2</v>
      </c>
      <c r="AW56" s="74">
        <v>2</v>
      </c>
      <c r="AX56" s="74">
        <v>1</v>
      </c>
      <c r="AY56" s="74">
        <v>0</v>
      </c>
      <c r="AZ56" s="74">
        <f t="shared" si="6"/>
        <v>12</v>
      </c>
      <c r="BB56" s="74">
        <v>1422702</v>
      </c>
      <c r="BC56" s="74" t="s">
        <v>265</v>
      </c>
      <c r="BD56" s="74" t="s">
        <v>264</v>
      </c>
      <c r="BE56" s="74"/>
      <c r="BF56" s="74">
        <v>2</v>
      </c>
      <c r="BG56" s="74">
        <v>3</v>
      </c>
      <c r="BH56" s="74">
        <v>2</v>
      </c>
      <c r="BI56" s="74">
        <v>2</v>
      </c>
      <c r="BJ56" s="74">
        <v>2</v>
      </c>
      <c r="BK56" s="74">
        <v>1</v>
      </c>
      <c r="BL56" s="74">
        <v>0</v>
      </c>
      <c r="BM56" s="74">
        <f t="shared" si="8"/>
        <v>12</v>
      </c>
      <c r="BO56" s="74">
        <v>1422702</v>
      </c>
      <c r="BP56" s="74" t="s">
        <v>265</v>
      </c>
      <c r="BQ56" s="74" t="s">
        <v>264</v>
      </c>
      <c r="BR56" s="74"/>
      <c r="BS56" s="74">
        <v>2</v>
      </c>
      <c r="BT56" s="74">
        <v>3</v>
      </c>
      <c r="BU56" s="74">
        <v>2</v>
      </c>
      <c r="BV56" s="74">
        <v>2</v>
      </c>
      <c r="BW56" s="74">
        <v>2</v>
      </c>
      <c r="BX56" s="74">
        <v>1</v>
      </c>
      <c r="BY56" s="74">
        <v>0</v>
      </c>
      <c r="BZ56" s="74">
        <f t="shared" si="7"/>
        <v>12</v>
      </c>
      <c r="CB56" s="74">
        <v>1422702</v>
      </c>
      <c r="CC56" s="74" t="s">
        <v>265</v>
      </c>
      <c r="CD56" s="74" t="s">
        <v>264</v>
      </c>
      <c r="CE56" s="74"/>
      <c r="CF56" s="74">
        <v>2</v>
      </c>
      <c r="CG56" s="74">
        <v>3</v>
      </c>
      <c r="CH56" s="74">
        <v>2</v>
      </c>
      <c r="CI56" s="74">
        <v>2</v>
      </c>
      <c r="CJ56" s="74">
        <v>2</v>
      </c>
      <c r="CK56" s="74">
        <v>1</v>
      </c>
      <c r="CL56" s="74">
        <v>0</v>
      </c>
      <c r="CM56" s="74">
        <f t="shared" si="2"/>
        <v>12</v>
      </c>
      <c r="CO56" s="74">
        <v>1422702</v>
      </c>
      <c r="CP56" s="74" t="s">
        <v>265</v>
      </c>
      <c r="CQ56" s="74" t="s">
        <v>264</v>
      </c>
      <c r="CR56" s="74"/>
      <c r="CS56" s="74">
        <v>2</v>
      </c>
      <c r="CT56" s="74">
        <v>3</v>
      </c>
      <c r="CU56" s="74">
        <v>2</v>
      </c>
      <c r="CV56" s="74">
        <v>2</v>
      </c>
      <c r="CW56" s="74">
        <v>2</v>
      </c>
      <c r="CX56" s="74">
        <v>1</v>
      </c>
      <c r="CY56" s="74">
        <v>0</v>
      </c>
      <c r="CZ56" s="74">
        <v>12</v>
      </c>
      <c r="DB56" s="74">
        <v>1422702</v>
      </c>
      <c r="DC56" s="74" t="s">
        <v>265</v>
      </c>
      <c r="DD56" s="74" t="s">
        <v>264</v>
      </c>
      <c r="DE56" s="74"/>
      <c r="DF56" s="74">
        <v>2</v>
      </c>
      <c r="DG56" s="74">
        <v>3</v>
      </c>
      <c r="DH56" s="74">
        <v>2</v>
      </c>
      <c r="DI56" s="74">
        <v>2</v>
      </c>
      <c r="DJ56" s="74">
        <v>2</v>
      </c>
      <c r="DK56" s="74">
        <v>1</v>
      </c>
      <c r="DL56" s="74">
        <v>0</v>
      </c>
      <c r="DM56" s="74">
        <v>12</v>
      </c>
      <c r="DO56" s="74">
        <v>1422702</v>
      </c>
      <c r="DP56" s="74" t="s">
        <v>265</v>
      </c>
      <c r="DQ56" s="74" t="s">
        <v>264</v>
      </c>
      <c r="DR56" s="74"/>
      <c r="DS56" s="74">
        <v>2</v>
      </c>
      <c r="DT56" s="74">
        <v>3</v>
      </c>
      <c r="DU56" s="74">
        <v>2</v>
      </c>
      <c r="DV56" s="74">
        <v>2</v>
      </c>
      <c r="DW56" s="74">
        <v>2</v>
      </c>
      <c r="DX56" s="74">
        <v>1</v>
      </c>
      <c r="DY56" s="74">
        <v>0</v>
      </c>
      <c r="DZ56" s="74">
        <v>12</v>
      </c>
      <c r="EA56" s="74"/>
      <c r="EB56" s="74">
        <v>1422702</v>
      </c>
      <c r="EC56" s="74" t="s">
        <v>265</v>
      </c>
      <c r="ED56" s="74" t="s">
        <v>264</v>
      </c>
      <c r="EE56" s="74"/>
      <c r="EF56" s="74">
        <v>2</v>
      </c>
      <c r="EG56" s="74">
        <v>3</v>
      </c>
      <c r="EH56" s="74">
        <v>2</v>
      </c>
      <c r="EI56" s="74">
        <v>2</v>
      </c>
      <c r="EJ56" s="74">
        <v>2</v>
      </c>
      <c r="EK56" s="74">
        <v>1</v>
      </c>
      <c r="EL56" s="74">
        <v>0</v>
      </c>
      <c r="EM56" s="74">
        <v>12</v>
      </c>
      <c r="EN56" s="74"/>
      <c r="EO56" s="74">
        <v>1422800</v>
      </c>
      <c r="EP56" s="74" t="s">
        <v>267</v>
      </c>
      <c r="EQ56" s="74" t="s">
        <v>264</v>
      </c>
      <c r="ER56" s="74"/>
      <c r="ES56" s="74">
        <v>40</v>
      </c>
      <c r="ET56" s="74">
        <v>63</v>
      </c>
      <c r="EU56" s="74">
        <v>63</v>
      </c>
      <c r="EV56" s="74">
        <v>61</v>
      </c>
      <c r="EW56" s="74">
        <v>44</v>
      </c>
      <c r="EX56" s="74">
        <v>30</v>
      </c>
      <c r="EY56" s="74">
        <v>0</v>
      </c>
      <c r="EZ56" s="74">
        <v>301</v>
      </c>
      <c r="FB56" s="74">
        <v>1423000</v>
      </c>
      <c r="FC56" s="74" t="s">
        <v>263</v>
      </c>
      <c r="FD56" s="74" t="s">
        <v>264</v>
      </c>
      <c r="FE56" s="74"/>
      <c r="FF56" s="74">
        <v>19</v>
      </c>
      <c r="FG56" s="74">
        <v>28</v>
      </c>
      <c r="FH56" s="74">
        <v>28</v>
      </c>
      <c r="FI56" s="74">
        <v>26</v>
      </c>
      <c r="FJ56" s="74">
        <v>19</v>
      </c>
      <c r="FK56" s="74">
        <v>8</v>
      </c>
      <c r="FL56" s="74">
        <v>0</v>
      </c>
      <c r="FM56" s="74">
        <v>128</v>
      </c>
      <c r="FO56" s="74">
        <v>1423200</v>
      </c>
      <c r="FP56" s="74" t="s">
        <v>268</v>
      </c>
      <c r="FQ56" s="74" t="s">
        <v>264</v>
      </c>
      <c r="FR56" s="74"/>
      <c r="FS56" s="74">
        <v>2</v>
      </c>
      <c r="FT56" s="74">
        <v>6</v>
      </c>
      <c r="FU56" s="74">
        <v>8</v>
      </c>
      <c r="FV56" s="74">
        <v>5</v>
      </c>
      <c r="FW56" s="74">
        <v>3</v>
      </c>
      <c r="FX56" s="74">
        <v>2</v>
      </c>
      <c r="FY56" s="74">
        <v>0</v>
      </c>
      <c r="FZ56" s="74">
        <v>26</v>
      </c>
      <c r="GB56" s="74">
        <v>1423200</v>
      </c>
      <c r="GC56" s="74" t="s">
        <v>268</v>
      </c>
      <c r="GD56" s="74" t="s">
        <v>264</v>
      </c>
      <c r="GE56" s="74"/>
      <c r="GF56" s="74">
        <v>1</v>
      </c>
      <c r="GG56" s="74">
        <v>3</v>
      </c>
      <c r="GH56" s="74">
        <v>3</v>
      </c>
      <c r="GI56" s="74">
        <v>2</v>
      </c>
      <c r="GJ56" s="74">
        <v>1</v>
      </c>
      <c r="GK56" s="74">
        <v>1</v>
      </c>
      <c r="GL56" s="74">
        <v>0</v>
      </c>
      <c r="GM56" s="74">
        <v>11</v>
      </c>
      <c r="GO56" s="74">
        <v>1423200</v>
      </c>
      <c r="GP56" s="74" t="s">
        <v>268</v>
      </c>
      <c r="GQ56" s="74" t="s">
        <v>264</v>
      </c>
      <c r="GR56" s="74"/>
      <c r="GS56" s="74">
        <v>1</v>
      </c>
      <c r="GT56" s="74">
        <v>3</v>
      </c>
      <c r="GU56" s="74">
        <v>3</v>
      </c>
      <c r="GV56" s="74">
        <v>2</v>
      </c>
      <c r="GW56" s="74">
        <v>1</v>
      </c>
      <c r="GX56" s="74">
        <v>1</v>
      </c>
      <c r="GY56" s="74">
        <v>0</v>
      </c>
      <c r="GZ56" s="74">
        <f t="shared" si="10"/>
        <v>11</v>
      </c>
    </row>
    <row r="57" spans="1:208">
      <c r="A57" s="478">
        <v>1422800</v>
      </c>
      <c r="B57" s="478" t="s">
        <v>36</v>
      </c>
      <c r="C57" s="478">
        <v>56</v>
      </c>
      <c r="D57" s="478">
        <v>95</v>
      </c>
      <c r="E57" s="478">
        <v>97</v>
      </c>
      <c r="F57" s="478">
        <v>92</v>
      </c>
      <c r="G57" s="478">
        <v>67</v>
      </c>
      <c r="H57" s="478">
        <v>44</v>
      </c>
      <c r="I57" s="478"/>
      <c r="J57" s="479">
        <f t="shared" si="14"/>
        <v>451</v>
      </c>
      <c r="K57" s="480">
        <f>'CORTE 4200'!$O$493</f>
        <v>-99</v>
      </c>
      <c r="L57" s="480"/>
      <c r="M57" s="481"/>
      <c r="N57" s="500"/>
      <c r="O57">
        <v>1422800</v>
      </c>
      <c r="P57" t="s">
        <v>267</v>
      </c>
      <c r="Q57" t="s">
        <v>264</v>
      </c>
      <c r="R57"/>
      <c r="S57">
        <v>56</v>
      </c>
      <c r="T57">
        <v>95</v>
      </c>
      <c r="U57">
        <v>97</v>
      </c>
      <c r="V57">
        <v>92</v>
      </c>
      <c r="W57">
        <v>67</v>
      </c>
      <c r="X57">
        <v>44</v>
      </c>
      <c r="Y57">
        <v>0</v>
      </c>
      <c r="Z57">
        <f t="shared" si="5"/>
        <v>451</v>
      </c>
      <c r="AA57" s="500"/>
      <c r="AB57" s="74">
        <v>1422800</v>
      </c>
      <c r="AC57" s="74" t="s">
        <v>267</v>
      </c>
      <c r="AD57" s="74" t="s">
        <v>264</v>
      </c>
      <c r="AE57"/>
      <c r="AF57" s="74">
        <v>58</v>
      </c>
      <c r="AG57" s="74">
        <v>99</v>
      </c>
      <c r="AH57" s="74">
        <v>101</v>
      </c>
      <c r="AI57" s="74">
        <v>94</v>
      </c>
      <c r="AJ57" s="74">
        <v>68</v>
      </c>
      <c r="AK57" s="74">
        <v>44</v>
      </c>
      <c r="AL57" s="74">
        <v>0</v>
      </c>
      <c r="AM57" s="74">
        <f t="shared" si="1"/>
        <v>464</v>
      </c>
      <c r="AO57" s="74">
        <v>1422800</v>
      </c>
      <c r="AP57" s="74" t="s">
        <v>267</v>
      </c>
      <c r="AQ57" s="74" t="s">
        <v>264</v>
      </c>
      <c r="AR57" s="74"/>
      <c r="AS57" s="74">
        <v>56</v>
      </c>
      <c r="AT57" s="74">
        <v>96</v>
      </c>
      <c r="AU57" s="74">
        <v>98</v>
      </c>
      <c r="AV57" s="74">
        <v>92</v>
      </c>
      <c r="AW57" s="74">
        <v>66</v>
      </c>
      <c r="AX57" s="74">
        <v>42</v>
      </c>
      <c r="AY57" s="74">
        <v>0</v>
      </c>
      <c r="AZ57" s="74">
        <f t="shared" si="6"/>
        <v>450</v>
      </c>
      <c r="BB57" s="74">
        <v>1422800</v>
      </c>
      <c r="BC57" s="74" t="s">
        <v>267</v>
      </c>
      <c r="BD57" s="74" t="s">
        <v>264</v>
      </c>
      <c r="BE57" s="74"/>
      <c r="BF57" s="74">
        <v>56</v>
      </c>
      <c r="BG57" s="74">
        <v>96</v>
      </c>
      <c r="BH57" s="74">
        <v>98</v>
      </c>
      <c r="BI57" s="74">
        <v>92</v>
      </c>
      <c r="BJ57" s="74">
        <v>66</v>
      </c>
      <c r="BK57" s="74">
        <v>42</v>
      </c>
      <c r="BL57" s="74">
        <v>0</v>
      </c>
      <c r="BM57" s="74">
        <f t="shared" si="8"/>
        <v>450</v>
      </c>
      <c r="BO57" s="74">
        <v>1422800</v>
      </c>
      <c r="BP57" s="74" t="s">
        <v>267</v>
      </c>
      <c r="BQ57" s="74" t="s">
        <v>264</v>
      </c>
      <c r="BR57" s="74"/>
      <c r="BS57" s="74">
        <v>56</v>
      </c>
      <c r="BT57" s="74">
        <v>96</v>
      </c>
      <c r="BU57" s="74">
        <v>98</v>
      </c>
      <c r="BV57" s="74">
        <v>92</v>
      </c>
      <c r="BW57" s="74">
        <v>66</v>
      </c>
      <c r="BX57" s="74">
        <v>42</v>
      </c>
      <c r="BY57" s="74">
        <v>0</v>
      </c>
      <c r="BZ57" s="74">
        <f t="shared" si="7"/>
        <v>450</v>
      </c>
      <c r="CB57" s="74">
        <v>1422800</v>
      </c>
      <c r="CC57" s="74" t="s">
        <v>267</v>
      </c>
      <c r="CD57" s="74" t="s">
        <v>264</v>
      </c>
      <c r="CE57" s="74"/>
      <c r="CF57" s="74">
        <v>54</v>
      </c>
      <c r="CG57" s="74">
        <v>93</v>
      </c>
      <c r="CH57" s="74">
        <v>95</v>
      </c>
      <c r="CI57" s="74">
        <v>89</v>
      </c>
      <c r="CJ57" s="74">
        <v>64</v>
      </c>
      <c r="CK57" s="74">
        <v>41</v>
      </c>
      <c r="CL57" s="74">
        <v>0</v>
      </c>
      <c r="CM57" s="74">
        <f t="shared" si="2"/>
        <v>436</v>
      </c>
      <c r="CO57" s="74">
        <v>1422800</v>
      </c>
      <c r="CP57" s="74" t="s">
        <v>267</v>
      </c>
      <c r="CQ57" s="74" t="s">
        <v>264</v>
      </c>
      <c r="CR57" s="74"/>
      <c r="CS57" s="74">
        <v>53</v>
      </c>
      <c r="CT57" s="74">
        <v>87</v>
      </c>
      <c r="CU57" s="74">
        <v>89</v>
      </c>
      <c r="CV57" s="74">
        <v>82</v>
      </c>
      <c r="CW57" s="74">
        <v>58</v>
      </c>
      <c r="CX57" s="74">
        <v>38</v>
      </c>
      <c r="CY57" s="74">
        <v>0</v>
      </c>
      <c r="CZ57" s="74">
        <v>407</v>
      </c>
      <c r="DB57" s="74">
        <v>1422800</v>
      </c>
      <c r="DC57" s="74" t="s">
        <v>267</v>
      </c>
      <c r="DD57" s="74" t="s">
        <v>264</v>
      </c>
      <c r="DE57" s="74"/>
      <c r="DF57" s="74">
        <v>50</v>
      </c>
      <c r="DG57" s="74">
        <v>82</v>
      </c>
      <c r="DH57" s="74">
        <v>84</v>
      </c>
      <c r="DI57" s="74">
        <v>78</v>
      </c>
      <c r="DJ57" s="74">
        <v>54</v>
      </c>
      <c r="DK57" s="74">
        <v>36</v>
      </c>
      <c r="DL57" s="74">
        <v>0</v>
      </c>
      <c r="DM57" s="74">
        <v>384</v>
      </c>
      <c r="DO57" s="74">
        <v>1422800</v>
      </c>
      <c r="DP57" s="74" t="s">
        <v>267</v>
      </c>
      <c r="DQ57" s="74" t="s">
        <v>264</v>
      </c>
      <c r="DR57" s="74"/>
      <c r="DS57" s="74">
        <v>47</v>
      </c>
      <c r="DT57" s="74">
        <v>75</v>
      </c>
      <c r="DU57" s="74">
        <v>76</v>
      </c>
      <c r="DV57" s="74">
        <v>72</v>
      </c>
      <c r="DW57" s="74">
        <v>51</v>
      </c>
      <c r="DX57" s="74">
        <v>34</v>
      </c>
      <c r="DY57" s="74">
        <v>0</v>
      </c>
      <c r="DZ57" s="74">
        <v>355</v>
      </c>
      <c r="EA57" s="74"/>
      <c r="EB57" s="74">
        <v>1422800</v>
      </c>
      <c r="EC57" s="74" t="s">
        <v>267</v>
      </c>
      <c r="ED57" s="74" t="s">
        <v>264</v>
      </c>
      <c r="EE57" s="74"/>
      <c r="EF57" s="74">
        <v>43</v>
      </c>
      <c r="EG57" s="74">
        <v>68</v>
      </c>
      <c r="EH57" s="74">
        <v>68</v>
      </c>
      <c r="EI57" s="74">
        <v>66</v>
      </c>
      <c r="EJ57" s="74">
        <v>48</v>
      </c>
      <c r="EK57" s="74">
        <v>33</v>
      </c>
      <c r="EL57" s="74">
        <v>0</v>
      </c>
      <c r="EM57" s="74">
        <v>326</v>
      </c>
      <c r="EN57" s="74"/>
      <c r="EO57" s="74">
        <v>1422900</v>
      </c>
      <c r="EP57" s="74" t="s">
        <v>263</v>
      </c>
      <c r="EQ57" s="74" t="s">
        <v>264</v>
      </c>
      <c r="ER57" s="74"/>
      <c r="ES57" s="74">
        <v>35</v>
      </c>
      <c r="ET57" s="74">
        <v>75</v>
      </c>
      <c r="EU57" s="74">
        <v>82</v>
      </c>
      <c r="EV57" s="74">
        <v>79</v>
      </c>
      <c r="EW57" s="74">
        <v>55</v>
      </c>
      <c r="EX57" s="74">
        <v>47</v>
      </c>
      <c r="EY57" s="74">
        <v>0</v>
      </c>
      <c r="EZ57" s="74">
        <v>373</v>
      </c>
      <c r="FB57" s="74">
        <v>1423200</v>
      </c>
      <c r="FC57" s="74" t="s">
        <v>268</v>
      </c>
      <c r="FD57" s="74" t="s">
        <v>264</v>
      </c>
      <c r="FE57" s="74"/>
      <c r="FF57" s="74">
        <v>2</v>
      </c>
      <c r="FG57" s="74">
        <v>6</v>
      </c>
      <c r="FH57" s="74">
        <v>8</v>
      </c>
      <c r="FI57" s="74">
        <v>5</v>
      </c>
      <c r="FJ57" s="74">
        <v>3</v>
      </c>
      <c r="FK57" s="74">
        <v>2</v>
      </c>
      <c r="FL57" s="74">
        <v>0</v>
      </c>
      <c r="FM57" s="74">
        <v>26</v>
      </c>
      <c r="FO57" s="74"/>
      <c r="FP57" s="74"/>
      <c r="FQ57" s="74"/>
      <c r="FR57" s="74"/>
      <c r="FS57" s="74"/>
      <c r="FT57" s="74"/>
      <c r="FU57" s="74"/>
      <c r="FV57" s="74"/>
      <c r="FW57" s="74"/>
      <c r="FX57" s="74"/>
      <c r="FY57" s="74"/>
      <c r="FZ57" s="74"/>
      <c r="GB57" s="74">
        <v>1423300</v>
      </c>
      <c r="GC57" s="74" t="s">
        <v>274</v>
      </c>
      <c r="GD57" s="74" t="s">
        <v>264</v>
      </c>
      <c r="GE57" s="74"/>
      <c r="GF57" s="74">
        <v>0</v>
      </c>
      <c r="GG57" s="74">
        <v>5</v>
      </c>
      <c r="GH57" s="74">
        <v>5</v>
      </c>
      <c r="GI57" s="74">
        <v>4</v>
      </c>
      <c r="GJ57" s="74">
        <v>3</v>
      </c>
      <c r="GK57" s="74">
        <v>1</v>
      </c>
      <c r="GL57" s="74">
        <v>0</v>
      </c>
      <c r="GM57" s="74">
        <v>18</v>
      </c>
      <c r="GO57" s="446">
        <v>1423300</v>
      </c>
      <c r="GP57" s="74" t="s">
        <v>274</v>
      </c>
      <c r="GQ57" s="74" t="s">
        <v>264</v>
      </c>
      <c r="GR57" s="74"/>
      <c r="GS57" s="74">
        <v>0</v>
      </c>
      <c r="GT57" s="74">
        <v>5</v>
      </c>
      <c r="GU57" s="74">
        <v>5</v>
      </c>
      <c r="GV57" s="74">
        <v>4</v>
      </c>
      <c r="GW57" s="74">
        <v>3</v>
      </c>
      <c r="GX57" s="74">
        <v>1</v>
      </c>
      <c r="GY57" s="74">
        <v>0</v>
      </c>
      <c r="GZ57" s="74">
        <f t="shared" si="10"/>
        <v>18</v>
      </c>
    </row>
    <row r="58" spans="1:208">
      <c r="A58" s="478">
        <v>1422900</v>
      </c>
      <c r="B58" s="478" t="s">
        <v>95</v>
      </c>
      <c r="C58" s="478">
        <v>43</v>
      </c>
      <c r="D58" s="478">
        <v>101</v>
      </c>
      <c r="E58" s="478">
        <v>110</v>
      </c>
      <c r="F58" s="478">
        <v>108</v>
      </c>
      <c r="G58" s="478">
        <v>79</v>
      </c>
      <c r="H58" s="478">
        <v>61</v>
      </c>
      <c r="I58" s="478"/>
      <c r="J58" s="479">
        <f>SUM(C58:H58)</f>
        <v>502</v>
      </c>
      <c r="K58" s="480">
        <f>'CORTE 4200'!$O$502</f>
        <v>8</v>
      </c>
      <c r="L58" s="480"/>
      <c r="M58" s="481"/>
      <c r="N58" s="500"/>
      <c r="O58">
        <v>1422900</v>
      </c>
      <c r="P58" t="s">
        <v>263</v>
      </c>
      <c r="Q58" t="s">
        <v>264</v>
      </c>
      <c r="R58"/>
      <c r="S58">
        <v>43</v>
      </c>
      <c r="T58">
        <v>101</v>
      </c>
      <c r="U58">
        <v>110</v>
      </c>
      <c r="V58">
        <v>108</v>
      </c>
      <c r="W58">
        <v>79</v>
      </c>
      <c r="X58">
        <v>61</v>
      </c>
      <c r="Y58">
        <v>0</v>
      </c>
      <c r="Z58">
        <f t="shared" si="5"/>
        <v>502</v>
      </c>
      <c r="AA58" s="500"/>
      <c r="AB58" s="74">
        <v>1422900</v>
      </c>
      <c r="AC58" s="74" t="s">
        <v>263</v>
      </c>
      <c r="AD58" s="74" t="s">
        <v>264</v>
      </c>
      <c r="AE58"/>
      <c r="AF58" s="74">
        <v>43</v>
      </c>
      <c r="AG58" s="74">
        <v>101</v>
      </c>
      <c r="AH58" s="74">
        <v>110</v>
      </c>
      <c r="AI58" s="74">
        <v>108</v>
      </c>
      <c r="AJ58" s="74">
        <v>79</v>
      </c>
      <c r="AK58" s="74">
        <v>61</v>
      </c>
      <c r="AL58" s="74">
        <v>0</v>
      </c>
      <c r="AM58" s="74">
        <f t="shared" si="1"/>
        <v>502</v>
      </c>
      <c r="AO58" s="74">
        <v>1422900</v>
      </c>
      <c r="AP58" s="74" t="s">
        <v>263</v>
      </c>
      <c r="AQ58" s="74" t="s">
        <v>264</v>
      </c>
      <c r="AR58" s="74"/>
      <c r="AS58" s="74">
        <v>42</v>
      </c>
      <c r="AT58" s="74">
        <v>98</v>
      </c>
      <c r="AU58" s="74">
        <v>108</v>
      </c>
      <c r="AV58" s="74">
        <v>106</v>
      </c>
      <c r="AW58" s="74">
        <v>78</v>
      </c>
      <c r="AX58" s="74">
        <v>60</v>
      </c>
      <c r="AY58" s="74">
        <v>0</v>
      </c>
      <c r="AZ58" s="74">
        <f t="shared" si="6"/>
        <v>492</v>
      </c>
      <c r="BB58" s="74">
        <v>1422900</v>
      </c>
      <c r="BC58" s="74" t="s">
        <v>263</v>
      </c>
      <c r="BD58" s="74" t="s">
        <v>264</v>
      </c>
      <c r="BE58" s="74"/>
      <c r="BF58" s="74">
        <v>42</v>
      </c>
      <c r="BG58" s="74">
        <v>98</v>
      </c>
      <c r="BH58" s="74">
        <v>108</v>
      </c>
      <c r="BI58" s="74">
        <v>106</v>
      </c>
      <c r="BJ58" s="74">
        <v>78</v>
      </c>
      <c r="BK58" s="74">
        <v>60</v>
      </c>
      <c r="BL58" s="74">
        <v>0</v>
      </c>
      <c r="BM58" s="74">
        <f t="shared" si="8"/>
        <v>492</v>
      </c>
      <c r="BO58" s="74">
        <v>1422900</v>
      </c>
      <c r="BP58" s="74" t="s">
        <v>263</v>
      </c>
      <c r="BQ58" s="74" t="s">
        <v>264</v>
      </c>
      <c r="BR58" s="74"/>
      <c r="BS58" s="74">
        <v>42</v>
      </c>
      <c r="BT58" s="74">
        <v>98</v>
      </c>
      <c r="BU58" s="74">
        <v>108</v>
      </c>
      <c r="BV58" s="74">
        <v>106</v>
      </c>
      <c r="BW58" s="74">
        <v>78</v>
      </c>
      <c r="BX58" s="74">
        <v>60</v>
      </c>
      <c r="BY58" s="74">
        <v>0</v>
      </c>
      <c r="BZ58" s="74">
        <f t="shared" si="7"/>
        <v>492</v>
      </c>
      <c r="CB58" s="74">
        <v>1422900</v>
      </c>
      <c r="CC58" s="74" t="s">
        <v>263</v>
      </c>
      <c r="CD58" s="74" t="s">
        <v>264</v>
      </c>
      <c r="CE58" s="74"/>
      <c r="CF58" s="74">
        <v>42</v>
      </c>
      <c r="CG58" s="74">
        <v>98</v>
      </c>
      <c r="CH58" s="74">
        <v>108</v>
      </c>
      <c r="CI58" s="74">
        <v>106</v>
      </c>
      <c r="CJ58" s="74">
        <v>78</v>
      </c>
      <c r="CK58" s="74">
        <v>60</v>
      </c>
      <c r="CL58" s="74">
        <v>0</v>
      </c>
      <c r="CM58" s="74">
        <f t="shared" si="2"/>
        <v>492</v>
      </c>
      <c r="CO58" s="74">
        <v>1422900</v>
      </c>
      <c r="CP58" s="74" t="s">
        <v>263</v>
      </c>
      <c r="CQ58" s="74" t="s">
        <v>264</v>
      </c>
      <c r="CR58" s="74"/>
      <c r="CS58" s="74">
        <v>42</v>
      </c>
      <c r="CT58" s="74">
        <v>92</v>
      </c>
      <c r="CU58" s="74">
        <v>102</v>
      </c>
      <c r="CV58" s="74">
        <v>99</v>
      </c>
      <c r="CW58" s="74">
        <v>72</v>
      </c>
      <c r="CX58" s="74">
        <v>57</v>
      </c>
      <c r="CY58" s="74">
        <v>0</v>
      </c>
      <c r="CZ58" s="74">
        <v>464</v>
      </c>
      <c r="DB58" s="74">
        <v>1422900</v>
      </c>
      <c r="DC58" s="74" t="s">
        <v>263</v>
      </c>
      <c r="DD58" s="74" t="s">
        <v>264</v>
      </c>
      <c r="DE58" s="74"/>
      <c r="DF58" s="74">
        <v>37</v>
      </c>
      <c r="DG58" s="74">
        <v>82</v>
      </c>
      <c r="DH58" s="74">
        <v>90</v>
      </c>
      <c r="DI58" s="74">
        <v>86</v>
      </c>
      <c r="DJ58" s="74">
        <v>60</v>
      </c>
      <c r="DK58" s="74">
        <v>50</v>
      </c>
      <c r="DL58" s="74">
        <v>0</v>
      </c>
      <c r="DM58" s="74">
        <v>405</v>
      </c>
      <c r="DO58" s="74">
        <v>1422900</v>
      </c>
      <c r="DP58" s="74" t="s">
        <v>263</v>
      </c>
      <c r="DQ58" s="74" t="s">
        <v>264</v>
      </c>
      <c r="DR58" s="74"/>
      <c r="DS58" s="74">
        <v>36</v>
      </c>
      <c r="DT58" s="74">
        <v>78</v>
      </c>
      <c r="DU58" s="74">
        <v>84</v>
      </c>
      <c r="DV58" s="74">
        <v>81</v>
      </c>
      <c r="DW58" s="74">
        <v>57</v>
      </c>
      <c r="DX58" s="74">
        <v>49</v>
      </c>
      <c r="DY58" s="74">
        <v>0</v>
      </c>
      <c r="DZ58" s="74">
        <v>385</v>
      </c>
      <c r="EA58" s="74"/>
      <c r="EB58" s="74">
        <v>1422900</v>
      </c>
      <c r="EC58" s="74" t="s">
        <v>263</v>
      </c>
      <c r="ED58" s="74" t="s">
        <v>264</v>
      </c>
      <c r="EE58" s="74"/>
      <c r="EF58" s="74">
        <v>35</v>
      </c>
      <c r="EG58" s="74">
        <v>75</v>
      </c>
      <c r="EH58" s="74">
        <v>82</v>
      </c>
      <c r="EI58" s="74">
        <v>79</v>
      </c>
      <c r="EJ58" s="74">
        <v>55</v>
      </c>
      <c r="EK58" s="74">
        <v>47</v>
      </c>
      <c r="EL58" s="74">
        <v>0</v>
      </c>
      <c r="EM58" s="74">
        <v>373</v>
      </c>
      <c r="EN58" s="74"/>
      <c r="EO58" s="74">
        <v>1423000</v>
      </c>
      <c r="EP58" s="74" t="s">
        <v>263</v>
      </c>
      <c r="EQ58" s="74" t="s">
        <v>264</v>
      </c>
      <c r="ER58" s="74"/>
      <c r="ES58" s="74">
        <v>24</v>
      </c>
      <c r="ET58" s="74">
        <v>34</v>
      </c>
      <c r="EU58" s="74">
        <v>34</v>
      </c>
      <c r="EV58" s="74">
        <v>31</v>
      </c>
      <c r="EW58" s="74">
        <v>23</v>
      </c>
      <c r="EX58" s="74">
        <v>12</v>
      </c>
      <c r="EY58" s="74">
        <v>0</v>
      </c>
      <c r="EZ58" s="74">
        <v>158</v>
      </c>
      <c r="FB58" s="74"/>
      <c r="FC58" s="74"/>
      <c r="FD58" s="74"/>
      <c r="FE58" s="74"/>
      <c r="FF58" s="74"/>
      <c r="FG58" s="74"/>
      <c r="FH58" s="74"/>
      <c r="FI58" s="74"/>
      <c r="FJ58" s="74"/>
      <c r="FK58" s="74"/>
      <c r="FL58" s="74"/>
      <c r="FM58" s="74"/>
      <c r="FO58" s="74">
        <v>1423304</v>
      </c>
      <c r="FP58" s="74" t="s">
        <v>274</v>
      </c>
      <c r="FQ58" s="74" t="s">
        <v>264</v>
      </c>
      <c r="FR58" s="74"/>
      <c r="FS58" s="74">
        <v>3</v>
      </c>
      <c r="FT58" s="74">
        <v>8</v>
      </c>
      <c r="FU58" s="74">
        <v>10</v>
      </c>
      <c r="FV58" s="74">
        <v>7</v>
      </c>
      <c r="FW58" s="74">
        <v>5</v>
      </c>
      <c r="FX58" s="74">
        <v>4</v>
      </c>
      <c r="FY58" s="74">
        <v>0</v>
      </c>
      <c r="FZ58" s="74">
        <v>37</v>
      </c>
      <c r="GB58" s="74">
        <v>1423304</v>
      </c>
      <c r="GC58" s="74" t="s">
        <v>274</v>
      </c>
      <c r="GD58" s="74" t="s">
        <v>264</v>
      </c>
      <c r="GE58" s="74"/>
      <c r="GF58" s="74">
        <v>1</v>
      </c>
      <c r="GG58" s="74">
        <v>3</v>
      </c>
      <c r="GH58" s="74">
        <v>3</v>
      </c>
      <c r="GI58" s="74">
        <v>2</v>
      </c>
      <c r="GJ58" s="74">
        <v>1</v>
      </c>
      <c r="GK58" s="74">
        <v>1</v>
      </c>
      <c r="GL58" s="74">
        <v>0</v>
      </c>
      <c r="GM58" s="74">
        <v>11</v>
      </c>
      <c r="GO58" s="446">
        <v>1423304</v>
      </c>
      <c r="GP58" s="74" t="s">
        <v>274</v>
      </c>
      <c r="GQ58" s="74" t="s">
        <v>264</v>
      </c>
      <c r="GR58" s="74"/>
      <c r="GS58" s="74">
        <v>1</v>
      </c>
      <c r="GT58" s="74">
        <v>3</v>
      </c>
      <c r="GU58" s="74">
        <v>3</v>
      </c>
      <c r="GV58" s="74">
        <v>2</v>
      </c>
      <c r="GW58" s="74">
        <v>1</v>
      </c>
      <c r="GX58" s="74">
        <v>1</v>
      </c>
      <c r="GY58" s="74">
        <v>0</v>
      </c>
      <c r="GZ58" s="74">
        <f t="shared" si="10"/>
        <v>11</v>
      </c>
    </row>
    <row r="59" spans="1:208">
      <c r="A59" s="478">
        <v>1423000</v>
      </c>
      <c r="B59" s="478" t="s">
        <v>151</v>
      </c>
      <c r="C59" s="478">
        <v>41</v>
      </c>
      <c r="D59" s="478">
        <v>58</v>
      </c>
      <c r="E59" s="478">
        <v>58</v>
      </c>
      <c r="F59" s="478">
        <v>54</v>
      </c>
      <c r="G59" s="478">
        <v>33</v>
      </c>
      <c r="H59" s="478">
        <v>21</v>
      </c>
      <c r="I59" s="478"/>
      <c r="J59" s="479">
        <f t="shared" si="14"/>
        <v>265</v>
      </c>
      <c r="K59" s="480">
        <f>'CORTE 4200'!$O$511</f>
        <v>-241</v>
      </c>
      <c r="L59" s="480">
        <v>50</v>
      </c>
      <c r="M59" s="481"/>
      <c r="N59" s="500"/>
      <c r="O59">
        <v>1423000</v>
      </c>
      <c r="P59" t="s">
        <v>263</v>
      </c>
      <c r="Q59" t="s">
        <v>264</v>
      </c>
      <c r="R59"/>
      <c r="S59">
        <v>41</v>
      </c>
      <c r="T59">
        <v>58</v>
      </c>
      <c r="U59">
        <v>58</v>
      </c>
      <c r="V59">
        <v>54</v>
      </c>
      <c r="W59">
        <v>33</v>
      </c>
      <c r="X59">
        <v>21</v>
      </c>
      <c r="Y59">
        <v>0</v>
      </c>
      <c r="Z59">
        <f t="shared" si="5"/>
        <v>265</v>
      </c>
      <c r="AA59" s="500"/>
      <c r="AB59" s="74">
        <v>1423000</v>
      </c>
      <c r="AC59" s="74" t="s">
        <v>263</v>
      </c>
      <c r="AD59" s="74" t="s">
        <v>264</v>
      </c>
      <c r="AE59"/>
      <c r="AF59" s="74">
        <v>43</v>
      </c>
      <c r="AG59" s="74">
        <v>63</v>
      </c>
      <c r="AH59" s="74">
        <v>63</v>
      </c>
      <c r="AI59" s="74">
        <v>56</v>
      </c>
      <c r="AJ59" s="74">
        <v>34</v>
      </c>
      <c r="AK59" s="74">
        <v>21</v>
      </c>
      <c r="AL59" s="74">
        <v>0</v>
      </c>
      <c r="AM59" s="74">
        <f t="shared" si="1"/>
        <v>280</v>
      </c>
      <c r="AO59" s="74">
        <v>1423000</v>
      </c>
      <c r="AP59" s="74" t="s">
        <v>263</v>
      </c>
      <c r="AQ59" s="74" t="s">
        <v>264</v>
      </c>
      <c r="AR59" s="74"/>
      <c r="AS59" s="74">
        <v>40</v>
      </c>
      <c r="AT59" s="74">
        <v>60</v>
      </c>
      <c r="AU59" s="74">
        <v>60</v>
      </c>
      <c r="AV59" s="74">
        <v>54</v>
      </c>
      <c r="AW59" s="74">
        <v>32</v>
      </c>
      <c r="AX59" s="74">
        <v>19</v>
      </c>
      <c r="AY59" s="74">
        <v>0</v>
      </c>
      <c r="AZ59" s="74">
        <f t="shared" si="6"/>
        <v>265</v>
      </c>
      <c r="BB59" s="74">
        <v>1423000</v>
      </c>
      <c r="BC59" s="74" t="s">
        <v>263</v>
      </c>
      <c r="BD59" s="74" t="s">
        <v>264</v>
      </c>
      <c r="BE59" s="74"/>
      <c r="BF59" s="74">
        <v>40</v>
      </c>
      <c r="BG59" s="74">
        <v>60</v>
      </c>
      <c r="BH59" s="74">
        <v>60</v>
      </c>
      <c r="BI59" s="74">
        <v>54</v>
      </c>
      <c r="BJ59" s="74">
        <v>32</v>
      </c>
      <c r="BK59" s="74">
        <v>19</v>
      </c>
      <c r="BL59" s="74">
        <v>0</v>
      </c>
      <c r="BM59" s="74">
        <f t="shared" si="8"/>
        <v>265</v>
      </c>
      <c r="BO59" s="74">
        <v>1423000</v>
      </c>
      <c r="BP59" s="74" t="s">
        <v>263</v>
      </c>
      <c r="BQ59" s="74" t="s">
        <v>264</v>
      </c>
      <c r="BR59" s="74"/>
      <c r="BS59" s="74">
        <v>32</v>
      </c>
      <c r="BT59" s="74">
        <v>48</v>
      </c>
      <c r="BU59" s="74">
        <v>48</v>
      </c>
      <c r="BV59" s="74">
        <v>42</v>
      </c>
      <c r="BW59" s="74">
        <v>29</v>
      </c>
      <c r="BX59" s="74">
        <v>16</v>
      </c>
      <c r="BY59" s="74">
        <v>0</v>
      </c>
      <c r="BZ59" s="74">
        <f t="shared" si="7"/>
        <v>215</v>
      </c>
      <c r="CB59" s="74">
        <v>1423000</v>
      </c>
      <c r="CC59" s="74" t="s">
        <v>263</v>
      </c>
      <c r="CD59" s="74" t="s">
        <v>264</v>
      </c>
      <c r="CE59" s="74"/>
      <c r="CF59" s="74">
        <v>32</v>
      </c>
      <c r="CG59" s="74">
        <v>48</v>
      </c>
      <c r="CH59" s="74">
        <v>48</v>
      </c>
      <c r="CI59" s="74">
        <v>42</v>
      </c>
      <c r="CJ59" s="74">
        <v>29</v>
      </c>
      <c r="CK59" s="74">
        <v>16</v>
      </c>
      <c r="CL59" s="74">
        <v>0</v>
      </c>
      <c r="CM59" s="74">
        <f t="shared" si="2"/>
        <v>215</v>
      </c>
      <c r="CO59" s="74">
        <v>1423000</v>
      </c>
      <c r="CP59" s="74" t="s">
        <v>263</v>
      </c>
      <c r="CQ59" s="74" t="s">
        <v>264</v>
      </c>
      <c r="CR59" s="74"/>
      <c r="CS59" s="74">
        <v>32</v>
      </c>
      <c r="CT59" s="74">
        <v>48</v>
      </c>
      <c r="CU59" s="74">
        <v>48</v>
      </c>
      <c r="CV59" s="74">
        <v>42</v>
      </c>
      <c r="CW59" s="74">
        <v>29</v>
      </c>
      <c r="CX59" s="74">
        <v>16</v>
      </c>
      <c r="CY59" s="74">
        <v>0</v>
      </c>
      <c r="CZ59" s="74">
        <v>215</v>
      </c>
      <c r="DB59" s="74">
        <v>1423000</v>
      </c>
      <c r="DC59" s="74" t="s">
        <v>263</v>
      </c>
      <c r="DD59" s="74" t="s">
        <v>264</v>
      </c>
      <c r="DE59" s="74"/>
      <c r="DF59" s="74">
        <v>30</v>
      </c>
      <c r="DG59" s="74">
        <v>44</v>
      </c>
      <c r="DH59" s="74">
        <v>44</v>
      </c>
      <c r="DI59" s="74">
        <v>38</v>
      </c>
      <c r="DJ59" s="74">
        <v>27</v>
      </c>
      <c r="DK59" s="74">
        <v>14</v>
      </c>
      <c r="DL59" s="74">
        <v>0</v>
      </c>
      <c r="DM59" s="74">
        <v>197</v>
      </c>
      <c r="DO59" s="74">
        <v>1423000</v>
      </c>
      <c r="DP59" s="74" t="s">
        <v>263</v>
      </c>
      <c r="DQ59" s="74" t="s">
        <v>264</v>
      </c>
      <c r="DR59" s="74"/>
      <c r="DS59" s="74">
        <v>30</v>
      </c>
      <c r="DT59" s="74">
        <v>44</v>
      </c>
      <c r="DU59" s="74">
        <v>44</v>
      </c>
      <c r="DV59" s="74">
        <v>38</v>
      </c>
      <c r="DW59" s="74">
        <v>27</v>
      </c>
      <c r="DX59" s="74">
        <v>14</v>
      </c>
      <c r="DY59" s="74">
        <v>0</v>
      </c>
      <c r="DZ59" s="74">
        <v>197</v>
      </c>
      <c r="EA59" s="74"/>
      <c r="EB59" s="74">
        <v>1423000</v>
      </c>
      <c r="EC59" s="74" t="s">
        <v>263</v>
      </c>
      <c r="ED59" s="74" t="s">
        <v>264</v>
      </c>
      <c r="EE59" s="74"/>
      <c r="EF59" s="74">
        <v>26</v>
      </c>
      <c r="EG59" s="74">
        <v>36</v>
      </c>
      <c r="EH59" s="74">
        <v>36</v>
      </c>
      <c r="EI59" s="74">
        <v>33</v>
      </c>
      <c r="EJ59" s="74">
        <v>24</v>
      </c>
      <c r="EK59" s="74">
        <v>13</v>
      </c>
      <c r="EL59" s="74">
        <v>0</v>
      </c>
      <c r="EM59" s="74">
        <v>168</v>
      </c>
      <c r="EN59" s="74"/>
      <c r="EO59" s="74">
        <v>1423200</v>
      </c>
      <c r="EP59" s="74" t="s">
        <v>268</v>
      </c>
      <c r="EQ59" s="74" t="s">
        <v>264</v>
      </c>
      <c r="ER59" s="74"/>
      <c r="ES59" s="74">
        <v>2</v>
      </c>
      <c r="ET59" s="74">
        <v>6</v>
      </c>
      <c r="EU59" s="74">
        <v>8</v>
      </c>
      <c r="EV59" s="74">
        <v>5</v>
      </c>
      <c r="EW59" s="74">
        <v>3</v>
      </c>
      <c r="EX59" s="74">
        <v>2</v>
      </c>
      <c r="EY59" s="74">
        <v>0</v>
      </c>
      <c r="EZ59" s="74">
        <v>26</v>
      </c>
      <c r="FB59" s="74">
        <v>1423304</v>
      </c>
      <c r="FC59" s="74" t="s">
        <v>274</v>
      </c>
      <c r="FD59" s="74" t="s">
        <v>264</v>
      </c>
      <c r="FE59" s="74"/>
      <c r="FF59" s="74">
        <v>3</v>
      </c>
      <c r="FG59" s="74">
        <v>8</v>
      </c>
      <c r="FH59" s="74">
        <v>10</v>
      </c>
      <c r="FI59" s="74">
        <v>7</v>
      </c>
      <c r="FJ59" s="74">
        <v>5</v>
      </c>
      <c r="FK59" s="74">
        <v>4</v>
      </c>
      <c r="FL59" s="74">
        <v>0</v>
      </c>
      <c r="FM59" s="74">
        <v>37</v>
      </c>
      <c r="FO59" s="74">
        <v>1423308</v>
      </c>
      <c r="FP59" s="74" t="s">
        <v>274</v>
      </c>
      <c r="FQ59" s="74" t="s">
        <v>264</v>
      </c>
      <c r="FR59" s="74"/>
      <c r="FS59" s="74">
        <v>3</v>
      </c>
      <c r="FT59" s="74">
        <v>7</v>
      </c>
      <c r="FU59" s="74">
        <v>7</v>
      </c>
      <c r="FV59" s="74">
        <v>6</v>
      </c>
      <c r="FW59" s="74">
        <v>5</v>
      </c>
      <c r="FX59" s="74">
        <v>3</v>
      </c>
      <c r="FY59" s="74">
        <v>0</v>
      </c>
      <c r="FZ59" s="74">
        <v>31</v>
      </c>
      <c r="GB59" s="74">
        <v>1423308</v>
      </c>
      <c r="GC59" s="74" t="s">
        <v>274</v>
      </c>
      <c r="GD59" s="74" t="s">
        <v>264</v>
      </c>
      <c r="GE59" s="74"/>
      <c r="GF59" s="74">
        <v>3</v>
      </c>
      <c r="GG59" s="74">
        <v>7</v>
      </c>
      <c r="GH59" s="74">
        <v>7</v>
      </c>
      <c r="GI59" s="74">
        <v>6</v>
      </c>
      <c r="GJ59" s="74">
        <v>5</v>
      </c>
      <c r="GK59" s="74">
        <v>3</v>
      </c>
      <c r="GL59" s="74">
        <v>0</v>
      </c>
      <c r="GM59" s="74">
        <v>31</v>
      </c>
      <c r="GO59" s="446">
        <v>1423308</v>
      </c>
      <c r="GP59" s="74" t="s">
        <v>274</v>
      </c>
      <c r="GQ59" s="74" t="s">
        <v>264</v>
      </c>
      <c r="GR59" s="74"/>
      <c r="GS59" s="74">
        <v>3</v>
      </c>
      <c r="GT59" s="74">
        <v>7</v>
      </c>
      <c r="GU59" s="74">
        <v>7</v>
      </c>
      <c r="GV59" s="74">
        <v>6</v>
      </c>
      <c r="GW59" s="74">
        <v>5</v>
      </c>
      <c r="GX59" s="74">
        <v>3</v>
      </c>
      <c r="GY59" s="74">
        <v>0</v>
      </c>
      <c r="GZ59" s="74">
        <f t="shared" si="10"/>
        <v>31</v>
      </c>
    </row>
    <row r="60" spans="1:208">
      <c r="A60" s="478">
        <v>1423100</v>
      </c>
      <c r="B60" s="478" t="s">
        <v>95</v>
      </c>
      <c r="C60" s="478"/>
      <c r="D60" s="478"/>
      <c r="E60" s="478"/>
      <c r="F60" s="478"/>
      <c r="G60" s="478"/>
      <c r="H60" s="478"/>
      <c r="I60" s="478"/>
      <c r="J60" s="479">
        <f>SUM(C60:H60)</f>
        <v>0</v>
      </c>
      <c r="K60" s="480">
        <f>'CORTE 4200'!$O$520</f>
        <v>0</v>
      </c>
      <c r="L60" s="480"/>
      <c r="M60" s="481"/>
      <c r="N60" s="500"/>
      <c r="O60"/>
      <c r="P60"/>
      <c r="Q60"/>
      <c r="R60"/>
      <c r="S60"/>
      <c r="T60"/>
      <c r="U60"/>
      <c r="V60"/>
      <c r="W60"/>
      <c r="X60"/>
      <c r="Y60"/>
      <c r="Z60">
        <f t="shared" si="5"/>
        <v>0</v>
      </c>
      <c r="AA60" s="500"/>
      <c r="AB60" s="74">
        <v>1423100</v>
      </c>
      <c r="AC60" s="74" t="s">
        <v>263</v>
      </c>
      <c r="AD60" s="74" t="s">
        <v>264</v>
      </c>
      <c r="AE60"/>
      <c r="AF60" s="74">
        <v>2</v>
      </c>
      <c r="AG60" s="74">
        <v>4</v>
      </c>
      <c r="AH60" s="74">
        <v>3</v>
      </c>
      <c r="AI60" s="74">
        <v>2</v>
      </c>
      <c r="AJ60" s="74">
        <v>1</v>
      </c>
      <c r="AK60" s="74">
        <v>0</v>
      </c>
      <c r="AL60" s="74">
        <v>0</v>
      </c>
      <c r="AM60" s="74">
        <f t="shared" si="1"/>
        <v>12</v>
      </c>
      <c r="AO60" s="74">
        <v>1423100</v>
      </c>
      <c r="AP60" s="74" t="s">
        <v>263</v>
      </c>
      <c r="AQ60" s="74" t="s">
        <v>264</v>
      </c>
      <c r="AR60" s="74"/>
      <c r="AS60" s="74">
        <v>2</v>
      </c>
      <c r="AT60" s="74">
        <v>4</v>
      </c>
      <c r="AU60" s="74">
        <v>3</v>
      </c>
      <c r="AV60" s="74">
        <v>2</v>
      </c>
      <c r="AW60" s="74">
        <v>1</v>
      </c>
      <c r="AX60" s="74">
        <v>0</v>
      </c>
      <c r="AY60" s="74">
        <v>0</v>
      </c>
      <c r="AZ60" s="74">
        <f t="shared" si="6"/>
        <v>12</v>
      </c>
      <c r="BB60" s="74">
        <v>1423100</v>
      </c>
      <c r="BC60" s="74" t="s">
        <v>263</v>
      </c>
      <c r="BD60" s="74" t="s">
        <v>264</v>
      </c>
      <c r="BE60" s="74"/>
      <c r="BF60" s="74">
        <v>2</v>
      </c>
      <c r="BG60" s="74">
        <v>4</v>
      </c>
      <c r="BH60" s="74">
        <v>3</v>
      </c>
      <c r="BI60" s="74">
        <v>2</v>
      </c>
      <c r="BJ60" s="74">
        <v>1</v>
      </c>
      <c r="BK60" s="74">
        <v>0</v>
      </c>
      <c r="BL60" s="74">
        <v>0</v>
      </c>
      <c r="BM60" s="74">
        <f t="shared" si="8"/>
        <v>12</v>
      </c>
      <c r="BO60" s="74">
        <v>1423100</v>
      </c>
      <c r="BP60" s="74" t="s">
        <v>263</v>
      </c>
      <c r="BQ60" s="74" t="s">
        <v>264</v>
      </c>
      <c r="BR60" s="74"/>
      <c r="BS60" s="74">
        <v>2</v>
      </c>
      <c r="BT60" s="74">
        <v>4</v>
      </c>
      <c r="BU60" s="74">
        <v>3</v>
      </c>
      <c r="BV60" s="74">
        <v>2</v>
      </c>
      <c r="BW60" s="74">
        <v>1</v>
      </c>
      <c r="BX60" s="74">
        <v>0</v>
      </c>
      <c r="BY60" s="74">
        <v>0</v>
      </c>
      <c r="BZ60" s="74">
        <f t="shared" si="7"/>
        <v>12</v>
      </c>
      <c r="CB60" s="74">
        <v>1423100</v>
      </c>
      <c r="CC60" s="74" t="s">
        <v>263</v>
      </c>
      <c r="CD60" s="74" t="s">
        <v>264</v>
      </c>
      <c r="CE60" s="74"/>
      <c r="CF60" s="74">
        <v>2</v>
      </c>
      <c r="CG60" s="74">
        <v>4</v>
      </c>
      <c r="CH60" s="74">
        <v>3</v>
      </c>
      <c r="CI60" s="74">
        <v>2</v>
      </c>
      <c r="CJ60" s="74">
        <v>1</v>
      </c>
      <c r="CK60" s="74">
        <v>0</v>
      </c>
      <c r="CL60" s="74">
        <v>0</v>
      </c>
      <c r="CM60" s="74">
        <f t="shared" si="2"/>
        <v>12</v>
      </c>
      <c r="CO60" s="74">
        <v>1423100</v>
      </c>
      <c r="CP60" s="74" t="s">
        <v>263</v>
      </c>
      <c r="CQ60" s="74" t="s">
        <v>264</v>
      </c>
      <c r="CR60" s="74"/>
      <c r="CS60" s="74">
        <v>2</v>
      </c>
      <c r="CT60" s="74">
        <v>4</v>
      </c>
      <c r="CU60" s="74">
        <v>3</v>
      </c>
      <c r="CV60" s="74">
        <v>2</v>
      </c>
      <c r="CW60" s="74">
        <v>1</v>
      </c>
      <c r="CX60" s="74">
        <v>0</v>
      </c>
      <c r="CY60" s="74">
        <v>0</v>
      </c>
      <c r="CZ60" s="74">
        <v>12</v>
      </c>
      <c r="DB60" s="74">
        <v>1423100</v>
      </c>
      <c r="DC60" s="74" t="s">
        <v>263</v>
      </c>
      <c r="DD60" s="74" t="s">
        <v>264</v>
      </c>
      <c r="DE60" s="74"/>
      <c r="DF60" s="74">
        <v>2</v>
      </c>
      <c r="DG60" s="74">
        <v>4</v>
      </c>
      <c r="DH60" s="74">
        <v>3</v>
      </c>
      <c r="DI60" s="74">
        <v>2</v>
      </c>
      <c r="DJ60" s="74">
        <v>1</v>
      </c>
      <c r="DK60" s="74">
        <v>0</v>
      </c>
      <c r="DL60" s="74">
        <v>0</v>
      </c>
      <c r="DM60" s="74">
        <v>12</v>
      </c>
      <c r="DO60" s="74">
        <v>1423100</v>
      </c>
      <c r="DP60" s="74" t="s">
        <v>263</v>
      </c>
      <c r="DQ60" s="74" t="s">
        <v>264</v>
      </c>
      <c r="DR60" s="74"/>
      <c r="DS60" s="74">
        <v>2</v>
      </c>
      <c r="DT60" s="74">
        <v>4</v>
      </c>
      <c r="DU60" s="74">
        <v>3</v>
      </c>
      <c r="DV60" s="74">
        <v>2</v>
      </c>
      <c r="DW60" s="74">
        <v>1</v>
      </c>
      <c r="DX60" s="74">
        <v>0</v>
      </c>
      <c r="DY60" s="74">
        <v>0</v>
      </c>
      <c r="DZ60" s="74">
        <v>12</v>
      </c>
      <c r="EA60" s="74"/>
      <c r="EB60" s="74">
        <v>1423200</v>
      </c>
      <c r="EC60" s="74" t="s">
        <v>268</v>
      </c>
      <c r="ED60" s="74" t="s">
        <v>264</v>
      </c>
      <c r="EE60" s="74"/>
      <c r="EF60" s="74">
        <v>6</v>
      </c>
      <c r="EG60" s="74">
        <v>11</v>
      </c>
      <c r="EH60" s="74">
        <v>13</v>
      </c>
      <c r="EI60" s="74">
        <v>10</v>
      </c>
      <c r="EJ60" s="74">
        <v>6</v>
      </c>
      <c r="EK60" s="74">
        <v>4</v>
      </c>
      <c r="EL60" s="74">
        <v>0</v>
      </c>
      <c r="EM60" s="74">
        <v>50</v>
      </c>
      <c r="EN60" s="74"/>
      <c r="EO60" s="74"/>
      <c r="EP60" s="74"/>
      <c r="EQ60" s="74"/>
      <c r="ER60" s="74"/>
      <c r="ES60" s="74"/>
      <c r="ET60" s="74"/>
      <c r="EU60" s="74"/>
      <c r="EV60" s="74"/>
      <c r="EW60" s="74"/>
      <c r="EX60" s="74"/>
      <c r="EY60" s="74"/>
      <c r="EZ60" s="74"/>
      <c r="FB60" s="74">
        <v>1423308</v>
      </c>
      <c r="FC60" s="74" t="s">
        <v>274</v>
      </c>
      <c r="FD60" s="74" t="s">
        <v>264</v>
      </c>
      <c r="FE60" s="74"/>
      <c r="FF60" s="74">
        <v>3</v>
      </c>
      <c r="FG60" s="74">
        <v>7</v>
      </c>
      <c r="FH60" s="74">
        <v>7</v>
      </c>
      <c r="FI60" s="74">
        <v>6</v>
      </c>
      <c r="FJ60" s="74">
        <v>5</v>
      </c>
      <c r="FK60" s="74">
        <v>3</v>
      </c>
      <c r="FL60" s="74">
        <v>0</v>
      </c>
      <c r="FM60" s="74">
        <v>31</v>
      </c>
      <c r="FO60" s="74">
        <v>1423309</v>
      </c>
      <c r="FP60" s="74" t="s">
        <v>274</v>
      </c>
      <c r="FQ60" s="74" t="s">
        <v>264</v>
      </c>
      <c r="FR60" s="74"/>
      <c r="FS60" s="74">
        <v>6</v>
      </c>
      <c r="FT60" s="74">
        <v>8</v>
      </c>
      <c r="FU60" s="74">
        <v>6</v>
      </c>
      <c r="FV60" s="74">
        <v>6</v>
      </c>
      <c r="FW60" s="74">
        <v>4</v>
      </c>
      <c r="FX60" s="74">
        <v>2</v>
      </c>
      <c r="FY60" s="74">
        <v>0</v>
      </c>
      <c r="FZ60" s="74">
        <v>32</v>
      </c>
      <c r="GB60" s="74">
        <v>1423309</v>
      </c>
      <c r="GC60" s="74" t="s">
        <v>274</v>
      </c>
      <c r="GD60" s="74" t="s">
        <v>264</v>
      </c>
      <c r="GE60" s="74"/>
      <c r="GF60" s="74">
        <v>5</v>
      </c>
      <c r="GG60" s="74">
        <v>6</v>
      </c>
      <c r="GH60" s="74">
        <v>4</v>
      </c>
      <c r="GI60" s="74">
        <v>4</v>
      </c>
      <c r="GJ60" s="74">
        <v>2</v>
      </c>
      <c r="GK60" s="74">
        <v>0</v>
      </c>
      <c r="GL60" s="74">
        <v>0</v>
      </c>
      <c r="GM60" s="74">
        <v>21</v>
      </c>
      <c r="GO60" s="446">
        <v>1423309</v>
      </c>
      <c r="GP60" s="74" t="s">
        <v>274</v>
      </c>
      <c r="GQ60" s="74" t="s">
        <v>264</v>
      </c>
      <c r="GR60" s="74"/>
      <c r="GS60" s="74">
        <v>5</v>
      </c>
      <c r="GT60" s="74">
        <v>6</v>
      </c>
      <c r="GU60" s="74">
        <v>4</v>
      </c>
      <c r="GV60" s="74">
        <v>4</v>
      </c>
      <c r="GW60" s="74">
        <v>2</v>
      </c>
      <c r="GX60" s="74">
        <v>0</v>
      </c>
      <c r="GY60" s="74">
        <v>0</v>
      </c>
      <c r="GZ60" s="74">
        <f t="shared" si="10"/>
        <v>21</v>
      </c>
    </row>
    <row r="61" spans="1:208">
      <c r="A61" s="478">
        <v>1423200</v>
      </c>
      <c r="B61" s="478" t="s">
        <v>50</v>
      </c>
      <c r="C61" s="478">
        <v>6</v>
      </c>
      <c r="D61" s="478">
        <v>13</v>
      </c>
      <c r="E61" s="478">
        <v>15</v>
      </c>
      <c r="F61" s="478">
        <v>12</v>
      </c>
      <c r="G61" s="478">
        <v>8</v>
      </c>
      <c r="H61" s="478">
        <v>6</v>
      </c>
      <c r="I61" s="478"/>
      <c r="J61" s="479">
        <f t="shared" si="14"/>
        <v>60</v>
      </c>
      <c r="K61" s="480">
        <f>'CORTE 4200'!$O$529</f>
        <v>-140</v>
      </c>
      <c r="L61" s="480"/>
      <c r="M61" s="481"/>
      <c r="N61" s="500"/>
      <c r="O61">
        <v>1423200</v>
      </c>
      <c r="P61" t="s">
        <v>268</v>
      </c>
      <c r="Q61" t="s">
        <v>264</v>
      </c>
      <c r="R61"/>
      <c r="S61">
        <v>6</v>
      </c>
      <c r="T61">
        <v>13</v>
      </c>
      <c r="U61">
        <v>15</v>
      </c>
      <c r="V61">
        <v>12</v>
      </c>
      <c r="W61">
        <v>8</v>
      </c>
      <c r="X61">
        <v>6</v>
      </c>
      <c r="Y61">
        <v>0</v>
      </c>
      <c r="Z61">
        <f t="shared" si="5"/>
        <v>60</v>
      </c>
      <c r="AA61" s="500"/>
      <c r="AB61" s="74">
        <v>1423200</v>
      </c>
      <c r="AC61" s="74" t="s">
        <v>268</v>
      </c>
      <c r="AD61" s="74" t="s">
        <v>264</v>
      </c>
      <c r="AE61"/>
      <c r="AF61" s="74">
        <v>6</v>
      </c>
      <c r="AG61" s="74">
        <v>13</v>
      </c>
      <c r="AH61" s="74">
        <v>15</v>
      </c>
      <c r="AI61" s="74">
        <v>12</v>
      </c>
      <c r="AJ61" s="74">
        <v>8</v>
      </c>
      <c r="AK61" s="74">
        <v>6</v>
      </c>
      <c r="AL61" s="74">
        <v>0</v>
      </c>
      <c r="AM61" s="74">
        <f t="shared" si="1"/>
        <v>60</v>
      </c>
      <c r="AO61" s="74">
        <v>1423200</v>
      </c>
      <c r="AP61" s="74" t="s">
        <v>268</v>
      </c>
      <c r="AQ61" s="74" t="s">
        <v>264</v>
      </c>
      <c r="AR61" s="74"/>
      <c r="AS61" s="74">
        <v>6</v>
      </c>
      <c r="AT61" s="74">
        <v>11</v>
      </c>
      <c r="AU61" s="74">
        <v>13</v>
      </c>
      <c r="AV61" s="74">
        <v>10</v>
      </c>
      <c r="AW61" s="74">
        <v>6</v>
      </c>
      <c r="AX61" s="74">
        <v>4</v>
      </c>
      <c r="AY61" s="74">
        <v>0</v>
      </c>
      <c r="AZ61" s="74">
        <f t="shared" si="6"/>
        <v>50</v>
      </c>
      <c r="BB61" s="74">
        <v>1423200</v>
      </c>
      <c r="BC61" s="74" t="s">
        <v>268</v>
      </c>
      <c r="BD61" s="74" t="s">
        <v>264</v>
      </c>
      <c r="BE61" s="74"/>
      <c r="BF61" s="74">
        <v>6</v>
      </c>
      <c r="BG61" s="74">
        <v>11</v>
      </c>
      <c r="BH61" s="74">
        <v>13</v>
      </c>
      <c r="BI61" s="74">
        <v>10</v>
      </c>
      <c r="BJ61" s="74">
        <v>6</v>
      </c>
      <c r="BK61" s="74">
        <v>4</v>
      </c>
      <c r="BL61" s="74">
        <v>0</v>
      </c>
      <c r="BM61" s="74">
        <f t="shared" si="8"/>
        <v>50</v>
      </c>
      <c r="BO61" s="74">
        <v>1423200</v>
      </c>
      <c r="BP61" s="74" t="s">
        <v>268</v>
      </c>
      <c r="BQ61" s="74" t="s">
        <v>264</v>
      </c>
      <c r="BR61" s="74"/>
      <c r="BS61" s="74">
        <v>6</v>
      </c>
      <c r="BT61" s="74">
        <v>11</v>
      </c>
      <c r="BU61" s="74">
        <v>13</v>
      </c>
      <c r="BV61" s="74">
        <v>10</v>
      </c>
      <c r="BW61" s="74">
        <v>6</v>
      </c>
      <c r="BX61" s="74">
        <v>4</v>
      </c>
      <c r="BY61" s="74">
        <v>0</v>
      </c>
      <c r="BZ61" s="74">
        <f t="shared" si="7"/>
        <v>50</v>
      </c>
      <c r="CB61" s="74">
        <v>1423200</v>
      </c>
      <c r="CC61" s="74" t="s">
        <v>268</v>
      </c>
      <c r="CD61" s="74" t="s">
        <v>264</v>
      </c>
      <c r="CE61" s="74"/>
      <c r="CF61" s="74">
        <v>6</v>
      </c>
      <c r="CG61" s="74">
        <v>11</v>
      </c>
      <c r="CH61" s="74">
        <v>13</v>
      </c>
      <c r="CI61" s="74">
        <v>10</v>
      </c>
      <c r="CJ61" s="74">
        <v>6</v>
      </c>
      <c r="CK61" s="74">
        <v>4</v>
      </c>
      <c r="CL61" s="74">
        <v>0</v>
      </c>
      <c r="CM61" s="74">
        <f t="shared" si="2"/>
        <v>50</v>
      </c>
      <c r="CO61" s="74">
        <v>1423200</v>
      </c>
      <c r="CP61" s="74" t="s">
        <v>268</v>
      </c>
      <c r="CQ61" s="74" t="s">
        <v>264</v>
      </c>
      <c r="CR61" s="74"/>
      <c r="CS61" s="74">
        <v>6</v>
      </c>
      <c r="CT61" s="74">
        <v>11</v>
      </c>
      <c r="CU61" s="74">
        <v>13</v>
      </c>
      <c r="CV61" s="74">
        <v>10</v>
      </c>
      <c r="CW61" s="74">
        <v>6</v>
      </c>
      <c r="CX61" s="74">
        <v>4</v>
      </c>
      <c r="CY61" s="74">
        <v>0</v>
      </c>
      <c r="CZ61" s="74">
        <v>50</v>
      </c>
      <c r="DB61" s="74">
        <v>1423200</v>
      </c>
      <c r="DC61" s="74" t="s">
        <v>268</v>
      </c>
      <c r="DD61" s="74" t="s">
        <v>264</v>
      </c>
      <c r="DE61" s="74"/>
      <c r="DF61" s="74">
        <v>6</v>
      </c>
      <c r="DG61" s="74">
        <v>11</v>
      </c>
      <c r="DH61" s="74">
        <v>13</v>
      </c>
      <c r="DI61" s="74">
        <v>10</v>
      </c>
      <c r="DJ61" s="74">
        <v>6</v>
      </c>
      <c r="DK61" s="74">
        <v>4</v>
      </c>
      <c r="DL61" s="74">
        <v>0</v>
      </c>
      <c r="DM61" s="74">
        <v>50</v>
      </c>
      <c r="DO61" s="74">
        <v>1423200</v>
      </c>
      <c r="DP61" s="74" t="s">
        <v>268</v>
      </c>
      <c r="DQ61" s="74" t="s">
        <v>264</v>
      </c>
      <c r="DR61" s="74"/>
      <c r="DS61" s="74">
        <v>6</v>
      </c>
      <c r="DT61" s="74">
        <v>11</v>
      </c>
      <c r="DU61" s="74">
        <v>13</v>
      </c>
      <c r="DV61" s="74">
        <v>10</v>
      </c>
      <c r="DW61" s="74">
        <v>6</v>
      </c>
      <c r="DX61" s="74">
        <v>4</v>
      </c>
      <c r="DY61" s="74">
        <v>0</v>
      </c>
      <c r="DZ61" s="74">
        <v>50</v>
      </c>
      <c r="EA61" s="74"/>
      <c r="EB61" s="74"/>
      <c r="EC61" s="74"/>
      <c r="ED61" s="74"/>
      <c r="EE61" s="74"/>
      <c r="EF61" s="74"/>
      <c r="EG61" s="74"/>
      <c r="EH61" s="74"/>
      <c r="EI61" s="74"/>
      <c r="EJ61" s="74"/>
      <c r="EK61" s="74"/>
      <c r="EL61" s="74"/>
      <c r="EM61" s="74"/>
      <c r="EN61" s="74"/>
      <c r="EO61" s="74">
        <v>1423304</v>
      </c>
      <c r="EP61" s="74" t="s">
        <v>274</v>
      </c>
      <c r="EQ61" s="74" t="s">
        <v>264</v>
      </c>
      <c r="ER61" s="74"/>
      <c r="ES61" s="74">
        <v>3</v>
      </c>
      <c r="ET61" s="74">
        <v>8</v>
      </c>
      <c r="EU61" s="74">
        <v>10</v>
      </c>
      <c r="EV61" s="74">
        <v>7</v>
      </c>
      <c r="EW61" s="74">
        <v>5</v>
      </c>
      <c r="EX61" s="74">
        <v>4</v>
      </c>
      <c r="EY61" s="74">
        <v>0</v>
      </c>
      <c r="EZ61" s="74">
        <v>37</v>
      </c>
      <c r="FB61" s="74">
        <v>1423309</v>
      </c>
      <c r="FC61" s="74" t="s">
        <v>274</v>
      </c>
      <c r="FD61" s="74" t="s">
        <v>264</v>
      </c>
      <c r="FE61" s="74"/>
      <c r="FF61" s="74">
        <v>6</v>
      </c>
      <c r="FG61" s="74">
        <v>8</v>
      </c>
      <c r="FH61" s="74">
        <v>6</v>
      </c>
      <c r="FI61" s="74">
        <v>6</v>
      </c>
      <c r="FJ61" s="74">
        <v>4</v>
      </c>
      <c r="FK61" s="74">
        <v>2</v>
      </c>
      <c r="FL61" s="74">
        <v>0</v>
      </c>
      <c r="FM61" s="74">
        <v>32</v>
      </c>
      <c r="FO61" s="74">
        <v>1423316</v>
      </c>
      <c r="FP61" s="74" t="s">
        <v>274</v>
      </c>
      <c r="FQ61" s="74" t="s">
        <v>264</v>
      </c>
      <c r="FR61" s="74"/>
      <c r="FS61" s="74">
        <v>1</v>
      </c>
      <c r="FT61" s="74">
        <v>2</v>
      </c>
      <c r="FU61" s="74">
        <v>2</v>
      </c>
      <c r="FV61" s="74">
        <v>2</v>
      </c>
      <c r="FW61" s="74">
        <v>2</v>
      </c>
      <c r="FX61" s="74">
        <v>1</v>
      </c>
      <c r="FY61" s="74">
        <v>0</v>
      </c>
      <c r="FZ61" s="74">
        <v>10</v>
      </c>
      <c r="GB61" s="74"/>
      <c r="GC61" s="74"/>
      <c r="GD61" s="74"/>
      <c r="GE61" s="74"/>
      <c r="GF61" s="74"/>
      <c r="GG61" s="74"/>
      <c r="GH61" s="74"/>
      <c r="GI61" s="74"/>
      <c r="GJ61" s="74"/>
      <c r="GK61" s="74"/>
      <c r="GL61" s="74"/>
      <c r="GM61" s="74"/>
      <c r="GO61" s="446"/>
      <c r="GP61" s="74"/>
      <c r="GQ61" s="74"/>
      <c r="GR61" s="74"/>
      <c r="GS61" s="74"/>
      <c r="GT61" s="74"/>
      <c r="GU61" s="74"/>
      <c r="GV61" s="74"/>
      <c r="GW61" s="74"/>
      <c r="GX61" s="74"/>
      <c r="GY61" s="74"/>
      <c r="GZ61" s="74"/>
    </row>
    <row r="62" spans="1:208">
      <c r="A62" s="494">
        <v>1423300</v>
      </c>
      <c r="B62" s="478" t="s">
        <v>161</v>
      </c>
      <c r="C62" s="478"/>
      <c r="D62" s="478"/>
      <c r="E62" s="478"/>
      <c r="F62" s="478"/>
      <c r="G62" s="478"/>
      <c r="H62" s="478"/>
      <c r="I62" s="478"/>
      <c r="J62" s="479">
        <f t="shared" si="14"/>
        <v>0</v>
      </c>
      <c r="K62" s="480">
        <f>'CORTE 4200'!$O$538</f>
        <v>0</v>
      </c>
      <c r="L62" s="480"/>
      <c r="M62" s="481"/>
      <c r="N62" s="500"/>
      <c r="O62"/>
      <c r="P62"/>
      <c r="Q62"/>
      <c r="R62"/>
      <c r="S62"/>
      <c r="T62"/>
      <c r="U62"/>
      <c r="V62"/>
      <c r="W62"/>
      <c r="X62"/>
      <c r="Y62"/>
      <c r="Z62">
        <f t="shared" si="5"/>
        <v>0</v>
      </c>
      <c r="AA62" s="500"/>
      <c r="AB62" s="74"/>
      <c r="AC62" s="74"/>
      <c r="AD62" s="74"/>
      <c r="AE62"/>
      <c r="AF62" s="74"/>
      <c r="AG62" s="74"/>
      <c r="AH62" s="74"/>
      <c r="AI62" s="74"/>
      <c r="AJ62" s="74"/>
      <c r="AK62" s="74"/>
      <c r="AL62" s="74"/>
      <c r="AM62" s="74">
        <f t="shared" si="1"/>
        <v>0</v>
      </c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>
        <f t="shared" si="8"/>
        <v>0</v>
      </c>
      <c r="BO62" s="74"/>
      <c r="BP62" s="74"/>
      <c r="BQ62" s="74"/>
      <c r="BR62" s="74"/>
      <c r="BS62" s="74"/>
      <c r="BT62" s="74"/>
      <c r="BU62" s="74"/>
      <c r="BV62" s="74"/>
      <c r="BW62" s="74"/>
      <c r="BX62" s="74"/>
      <c r="BY62" s="74"/>
      <c r="BZ62" s="74"/>
      <c r="CB62" s="74"/>
      <c r="CC62" s="74"/>
      <c r="CD62" s="74"/>
      <c r="CE62" s="74"/>
      <c r="CF62" s="74"/>
      <c r="CG62" s="74"/>
      <c r="CH62" s="74"/>
      <c r="CI62" s="74"/>
      <c r="CJ62" s="74"/>
      <c r="CK62" s="74"/>
      <c r="CL62" s="74"/>
      <c r="CM62" s="74">
        <f t="shared" si="2"/>
        <v>0</v>
      </c>
      <c r="CO62" s="74"/>
      <c r="CP62" s="74"/>
      <c r="CQ62" s="74"/>
      <c r="CR62" s="74"/>
      <c r="CS62" s="74"/>
      <c r="CT62" s="74"/>
      <c r="CU62" s="74"/>
      <c r="CV62" s="74"/>
      <c r="CW62" s="74"/>
      <c r="CX62" s="74"/>
      <c r="CY62" s="74"/>
      <c r="CZ62" s="74"/>
      <c r="DB62" s="74"/>
      <c r="DC62" s="74"/>
      <c r="DD62" s="74"/>
      <c r="DE62" s="74"/>
      <c r="DF62" s="74"/>
      <c r="DG62" s="74"/>
      <c r="DH62" s="74"/>
      <c r="DI62" s="74"/>
      <c r="DJ62" s="74"/>
      <c r="DK62" s="74"/>
      <c r="DL62" s="74"/>
      <c r="DM62" s="74"/>
      <c r="DO62" s="74"/>
      <c r="DP62" s="74"/>
      <c r="DQ62" s="74"/>
      <c r="DR62" s="74"/>
      <c r="DS62" s="74"/>
      <c r="DT62" s="74"/>
      <c r="DU62" s="74"/>
      <c r="DV62" s="74"/>
      <c r="DW62" s="74"/>
      <c r="DX62" s="74"/>
      <c r="DY62" s="74"/>
      <c r="DZ62" s="74"/>
      <c r="EA62" s="74"/>
      <c r="EB62" s="74">
        <v>1423304</v>
      </c>
      <c r="EC62" s="74" t="s">
        <v>274</v>
      </c>
      <c r="ED62" s="74" t="s">
        <v>264</v>
      </c>
      <c r="EE62" s="74"/>
      <c r="EF62" s="74">
        <v>4</v>
      </c>
      <c r="EG62" s="74">
        <v>9</v>
      </c>
      <c r="EH62" s="74">
        <v>11</v>
      </c>
      <c r="EI62" s="74">
        <v>8</v>
      </c>
      <c r="EJ62" s="74">
        <v>6</v>
      </c>
      <c r="EK62" s="74">
        <v>5</v>
      </c>
      <c r="EL62" s="74">
        <v>0</v>
      </c>
      <c r="EM62" s="74">
        <v>43</v>
      </c>
      <c r="EN62" s="74"/>
      <c r="EO62" s="74">
        <v>1423308</v>
      </c>
      <c r="EP62" s="74" t="s">
        <v>274</v>
      </c>
      <c r="EQ62" s="74" t="s">
        <v>264</v>
      </c>
      <c r="ER62" s="74"/>
      <c r="ES62" s="74">
        <v>6</v>
      </c>
      <c r="ET62" s="74">
        <v>10</v>
      </c>
      <c r="EU62" s="74">
        <v>10</v>
      </c>
      <c r="EV62" s="74">
        <v>8</v>
      </c>
      <c r="EW62" s="74">
        <v>7</v>
      </c>
      <c r="EX62" s="74">
        <v>5</v>
      </c>
      <c r="EY62" s="74">
        <v>0</v>
      </c>
      <c r="EZ62" s="74">
        <v>46</v>
      </c>
      <c r="FB62" s="74">
        <v>1423316</v>
      </c>
      <c r="FC62" s="74" t="s">
        <v>274</v>
      </c>
      <c r="FD62" s="74" t="s">
        <v>264</v>
      </c>
      <c r="FE62" s="74"/>
      <c r="FF62" s="74">
        <v>1</v>
      </c>
      <c r="FG62" s="74">
        <v>2</v>
      </c>
      <c r="FH62" s="74">
        <v>2</v>
      </c>
      <c r="FI62" s="74">
        <v>2</v>
      </c>
      <c r="FJ62" s="74">
        <v>2</v>
      </c>
      <c r="FK62" s="74">
        <v>1</v>
      </c>
      <c r="FL62" s="74">
        <v>0</v>
      </c>
      <c r="FM62" s="74">
        <v>10</v>
      </c>
      <c r="FO62" s="74">
        <v>1423348</v>
      </c>
      <c r="FP62" s="74" t="s">
        <v>274</v>
      </c>
      <c r="FQ62" s="74" t="s">
        <v>264</v>
      </c>
      <c r="FR62" s="74"/>
      <c r="FS62" s="74">
        <v>1</v>
      </c>
      <c r="FT62" s="74">
        <v>3</v>
      </c>
      <c r="FU62" s="74">
        <v>3</v>
      </c>
      <c r="FV62" s="74">
        <v>2</v>
      </c>
      <c r="FW62" s="74">
        <v>1</v>
      </c>
      <c r="FX62" s="74">
        <v>1</v>
      </c>
      <c r="FY62" s="74">
        <v>0</v>
      </c>
      <c r="FZ62" s="74">
        <v>11</v>
      </c>
      <c r="GB62" s="74">
        <v>1423348</v>
      </c>
      <c r="GC62" s="74" t="s">
        <v>274</v>
      </c>
      <c r="GD62" s="74" t="s">
        <v>264</v>
      </c>
      <c r="GE62" s="74"/>
      <c r="GF62" s="74">
        <v>1</v>
      </c>
      <c r="GG62" s="74">
        <v>3</v>
      </c>
      <c r="GH62" s="74">
        <v>3</v>
      </c>
      <c r="GI62" s="74">
        <v>2</v>
      </c>
      <c r="GJ62" s="74">
        <v>1</v>
      </c>
      <c r="GK62" s="74">
        <v>1</v>
      </c>
      <c r="GL62" s="74">
        <v>0</v>
      </c>
      <c r="GM62" s="74">
        <v>11</v>
      </c>
      <c r="GO62" s="446">
        <v>1423348</v>
      </c>
      <c r="GP62" s="74" t="s">
        <v>274</v>
      </c>
      <c r="GQ62" s="74" t="s">
        <v>264</v>
      </c>
      <c r="GR62" s="74"/>
      <c r="GS62" s="74">
        <v>1</v>
      </c>
      <c r="GT62" s="74">
        <v>3</v>
      </c>
      <c r="GU62" s="74">
        <v>3</v>
      </c>
      <c r="GV62" s="74">
        <v>2</v>
      </c>
      <c r="GW62" s="74">
        <v>1</v>
      </c>
      <c r="GX62" s="74">
        <v>1</v>
      </c>
      <c r="GY62" s="74">
        <v>0</v>
      </c>
      <c r="GZ62" s="74">
        <f t="shared" ref="GZ62:GZ78" si="15">SUM(GS62:GY62)</f>
        <v>11</v>
      </c>
    </row>
    <row r="63" spans="1:208">
      <c r="A63" s="494">
        <v>1423304</v>
      </c>
      <c r="B63" s="478" t="s">
        <v>161</v>
      </c>
      <c r="C63" s="478">
        <v>6</v>
      </c>
      <c r="D63" s="478">
        <v>15</v>
      </c>
      <c r="E63" s="478">
        <v>17</v>
      </c>
      <c r="F63" s="478">
        <v>14</v>
      </c>
      <c r="G63" s="478">
        <v>10</v>
      </c>
      <c r="H63" s="478">
        <v>7</v>
      </c>
      <c r="I63" s="478"/>
      <c r="J63" s="479">
        <f t="shared" si="12"/>
        <v>69</v>
      </c>
      <c r="K63" s="480">
        <f>'CORTE 4200'!$O$547</f>
        <v>-77</v>
      </c>
      <c r="L63" s="480"/>
      <c r="M63" s="481"/>
      <c r="N63" s="500"/>
      <c r="O63">
        <v>1423304</v>
      </c>
      <c r="P63" t="s">
        <v>274</v>
      </c>
      <c r="Q63" t="s">
        <v>264</v>
      </c>
      <c r="R63"/>
      <c r="S63">
        <v>6</v>
      </c>
      <c r="T63">
        <v>15</v>
      </c>
      <c r="U63">
        <v>17</v>
      </c>
      <c r="V63">
        <v>14</v>
      </c>
      <c r="W63">
        <v>10</v>
      </c>
      <c r="X63">
        <v>7</v>
      </c>
      <c r="Y63">
        <v>0</v>
      </c>
      <c r="Z63">
        <f t="shared" si="5"/>
        <v>69</v>
      </c>
      <c r="AA63" s="500"/>
      <c r="AB63" s="74">
        <v>1423304</v>
      </c>
      <c r="AC63" s="74" t="s">
        <v>274</v>
      </c>
      <c r="AD63" s="74" t="s">
        <v>264</v>
      </c>
      <c r="AE63"/>
      <c r="AF63" s="74">
        <v>8</v>
      </c>
      <c r="AG63" s="74">
        <v>19</v>
      </c>
      <c r="AH63" s="74">
        <v>21</v>
      </c>
      <c r="AI63" s="74">
        <v>16</v>
      </c>
      <c r="AJ63" s="74">
        <v>11</v>
      </c>
      <c r="AK63" s="74">
        <v>7</v>
      </c>
      <c r="AL63" s="74">
        <v>0</v>
      </c>
      <c r="AM63" s="74">
        <f t="shared" si="1"/>
        <v>82</v>
      </c>
      <c r="AO63" s="74">
        <v>1423304</v>
      </c>
      <c r="AP63" s="74" t="s">
        <v>274</v>
      </c>
      <c r="AQ63" s="74" t="s">
        <v>264</v>
      </c>
      <c r="AR63" s="74"/>
      <c r="AS63" s="74">
        <v>8</v>
      </c>
      <c r="AT63" s="74">
        <v>19</v>
      </c>
      <c r="AU63" s="74">
        <v>21</v>
      </c>
      <c r="AV63" s="74">
        <v>16</v>
      </c>
      <c r="AW63" s="74">
        <v>11</v>
      </c>
      <c r="AX63" s="74">
        <v>7</v>
      </c>
      <c r="AY63" s="74">
        <v>0</v>
      </c>
      <c r="AZ63" s="74">
        <f t="shared" si="6"/>
        <v>82</v>
      </c>
      <c r="BB63" s="74">
        <v>1423304</v>
      </c>
      <c r="BC63" s="74" t="s">
        <v>274</v>
      </c>
      <c r="BD63" s="74" t="s">
        <v>264</v>
      </c>
      <c r="BE63" s="74"/>
      <c r="BF63" s="74">
        <v>8</v>
      </c>
      <c r="BG63" s="74">
        <v>19</v>
      </c>
      <c r="BH63" s="74">
        <v>21</v>
      </c>
      <c r="BI63" s="74">
        <v>16</v>
      </c>
      <c r="BJ63" s="74">
        <v>11</v>
      </c>
      <c r="BK63" s="74">
        <v>7</v>
      </c>
      <c r="BL63" s="74">
        <v>0</v>
      </c>
      <c r="BM63" s="74">
        <f t="shared" si="8"/>
        <v>82</v>
      </c>
      <c r="BO63" s="74">
        <v>1423304</v>
      </c>
      <c r="BP63" s="74" t="s">
        <v>274</v>
      </c>
      <c r="BQ63" s="74" t="s">
        <v>264</v>
      </c>
      <c r="BR63" s="74"/>
      <c r="BS63" s="74">
        <v>8</v>
      </c>
      <c r="BT63" s="74">
        <v>19</v>
      </c>
      <c r="BU63" s="74">
        <v>21</v>
      </c>
      <c r="BV63" s="74">
        <v>16</v>
      </c>
      <c r="BW63" s="74">
        <v>11</v>
      </c>
      <c r="BX63" s="74">
        <v>7</v>
      </c>
      <c r="BY63" s="74">
        <v>0</v>
      </c>
      <c r="BZ63" s="74">
        <f t="shared" si="7"/>
        <v>82</v>
      </c>
      <c r="CB63" s="74">
        <v>1423304</v>
      </c>
      <c r="CC63" s="74" t="s">
        <v>274</v>
      </c>
      <c r="CD63" s="74" t="s">
        <v>264</v>
      </c>
      <c r="CE63" s="74"/>
      <c r="CF63" s="74">
        <v>8</v>
      </c>
      <c r="CG63" s="74">
        <v>19</v>
      </c>
      <c r="CH63" s="74">
        <v>21</v>
      </c>
      <c r="CI63" s="74">
        <v>16</v>
      </c>
      <c r="CJ63" s="74">
        <v>11</v>
      </c>
      <c r="CK63" s="74">
        <v>7</v>
      </c>
      <c r="CL63" s="74">
        <v>0</v>
      </c>
      <c r="CM63" s="74">
        <f t="shared" si="2"/>
        <v>82</v>
      </c>
      <c r="CO63" s="74">
        <v>1423304</v>
      </c>
      <c r="CP63" s="74" t="s">
        <v>274</v>
      </c>
      <c r="CQ63" s="74" t="s">
        <v>264</v>
      </c>
      <c r="CR63" s="74"/>
      <c r="CS63" s="74">
        <v>8</v>
      </c>
      <c r="CT63" s="74">
        <v>16</v>
      </c>
      <c r="CU63" s="74">
        <v>18</v>
      </c>
      <c r="CV63" s="74">
        <v>13</v>
      </c>
      <c r="CW63" s="74">
        <v>9</v>
      </c>
      <c r="CX63" s="74">
        <v>6</v>
      </c>
      <c r="CY63" s="74">
        <v>0</v>
      </c>
      <c r="CZ63" s="74">
        <v>70</v>
      </c>
      <c r="DB63" s="74">
        <v>1423304</v>
      </c>
      <c r="DC63" s="74" t="s">
        <v>274</v>
      </c>
      <c r="DD63" s="74" t="s">
        <v>264</v>
      </c>
      <c r="DE63" s="74"/>
      <c r="DF63" s="74">
        <v>8</v>
      </c>
      <c r="DG63" s="74">
        <v>16</v>
      </c>
      <c r="DH63" s="74">
        <v>18</v>
      </c>
      <c r="DI63" s="74">
        <v>13</v>
      </c>
      <c r="DJ63" s="74">
        <v>9</v>
      </c>
      <c r="DK63" s="74">
        <v>6</v>
      </c>
      <c r="DL63" s="74">
        <v>0</v>
      </c>
      <c r="DM63" s="74">
        <v>70</v>
      </c>
      <c r="DO63" s="74">
        <v>1423304</v>
      </c>
      <c r="DP63" s="74" t="s">
        <v>274</v>
      </c>
      <c r="DQ63" s="74" t="s">
        <v>264</v>
      </c>
      <c r="DR63" s="74"/>
      <c r="DS63" s="74">
        <v>8</v>
      </c>
      <c r="DT63" s="74">
        <v>16</v>
      </c>
      <c r="DU63" s="74">
        <v>18</v>
      </c>
      <c r="DV63" s="74">
        <v>13</v>
      </c>
      <c r="DW63" s="74">
        <v>9</v>
      </c>
      <c r="DX63" s="74">
        <v>6</v>
      </c>
      <c r="DY63" s="74">
        <v>0</v>
      </c>
      <c r="DZ63" s="74">
        <v>70</v>
      </c>
      <c r="EA63" s="74"/>
      <c r="EB63" s="74">
        <v>1423308</v>
      </c>
      <c r="EC63" s="74" t="s">
        <v>274</v>
      </c>
      <c r="ED63" s="74" t="s">
        <v>264</v>
      </c>
      <c r="EE63" s="74"/>
      <c r="EF63" s="74">
        <v>8</v>
      </c>
      <c r="EG63" s="74">
        <v>13</v>
      </c>
      <c r="EH63" s="74">
        <v>13</v>
      </c>
      <c r="EI63" s="74">
        <v>11</v>
      </c>
      <c r="EJ63" s="74">
        <v>9</v>
      </c>
      <c r="EK63" s="74">
        <v>6</v>
      </c>
      <c r="EL63" s="74">
        <v>0</v>
      </c>
      <c r="EM63" s="74">
        <v>60</v>
      </c>
      <c r="EN63" s="74"/>
      <c r="EO63" s="74">
        <v>1423309</v>
      </c>
      <c r="EP63" s="74" t="s">
        <v>274</v>
      </c>
      <c r="EQ63" s="74" t="s">
        <v>264</v>
      </c>
      <c r="ER63" s="74"/>
      <c r="ES63" s="74">
        <v>6</v>
      </c>
      <c r="ET63" s="74">
        <v>8</v>
      </c>
      <c r="EU63" s="74">
        <v>6</v>
      </c>
      <c r="EV63" s="74">
        <v>6</v>
      </c>
      <c r="EW63" s="74">
        <v>4</v>
      </c>
      <c r="EX63" s="74">
        <v>2</v>
      </c>
      <c r="EY63" s="74">
        <v>0</v>
      </c>
      <c r="EZ63" s="74">
        <v>32</v>
      </c>
      <c r="FB63" s="74">
        <v>1423348</v>
      </c>
      <c r="FC63" s="74" t="s">
        <v>274</v>
      </c>
      <c r="FD63" s="74" t="s">
        <v>264</v>
      </c>
      <c r="FE63" s="74"/>
      <c r="FF63" s="74">
        <v>1</v>
      </c>
      <c r="FG63" s="74">
        <v>3</v>
      </c>
      <c r="FH63" s="74">
        <v>3</v>
      </c>
      <c r="FI63" s="74">
        <v>2</v>
      </c>
      <c r="FJ63" s="74">
        <v>1</v>
      </c>
      <c r="FK63" s="74">
        <v>1</v>
      </c>
      <c r="FL63" s="74">
        <v>0</v>
      </c>
      <c r="FM63" s="74">
        <v>11</v>
      </c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B63" s="74">
        <v>1423400</v>
      </c>
      <c r="GC63" s="74" t="s">
        <v>270</v>
      </c>
      <c r="GD63" s="74" t="s">
        <v>264</v>
      </c>
      <c r="GE63" s="74"/>
      <c r="GF63" s="74">
        <v>0</v>
      </c>
      <c r="GG63" s="74">
        <v>5</v>
      </c>
      <c r="GH63" s="74">
        <v>5</v>
      </c>
      <c r="GI63" s="74">
        <v>4</v>
      </c>
      <c r="GJ63" s="74">
        <v>3</v>
      </c>
      <c r="GK63" s="74">
        <v>1</v>
      </c>
      <c r="GL63" s="74">
        <v>0</v>
      </c>
      <c r="GM63" s="74">
        <v>18</v>
      </c>
      <c r="GO63" s="440">
        <v>1423400</v>
      </c>
      <c r="GP63" s="74" t="s">
        <v>270</v>
      </c>
      <c r="GQ63" s="74" t="s">
        <v>264</v>
      </c>
      <c r="GR63" s="74"/>
      <c r="GS63" s="74">
        <v>0</v>
      </c>
      <c r="GT63" s="74">
        <v>5</v>
      </c>
      <c r="GU63" s="74">
        <v>5</v>
      </c>
      <c r="GV63" s="74">
        <v>4</v>
      </c>
      <c r="GW63" s="74">
        <v>3</v>
      </c>
      <c r="GX63" s="74">
        <v>1</v>
      </c>
      <c r="GY63" s="74">
        <v>0</v>
      </c>
      <c r="GZ63" s="74">
        <f t="shared" si="15"/>
        <v>18</v>
      </c>
    </row>
    <row r="64" spans="1:208">
      <c r="A64" s="494">
        <v>1423308</v>
      </c>
      <c r="B64" s="478" t="s">
        <v>161</v>
      </c>
      <c r="C64" s="478">
        <v>8</v>
      </c>
      <c r="D64" s="478">
        <v>17</v>
      </c>
      <c r="E64" s="478">
        <v>17</v>
      </c>
      <c r="F64" s="478">
        <v>15</v>
      </c>
      <c r="G64" s="478">
        <v>12</v>
      </c>
      <c r="H64" s="478">
        <v>7</v>
      </c>
      <c r="I64" s="478"/>
      <c r="J64" s="479">
        <f>SUM(C64:H64)</f>
        <v>76</v>
      </c>
      <c r="K64" s="480">
        <f>'CORTE 4200'!$O$556</f>
        <v>-57</v>
      </c>
      <c r="L64" s="480"/>
      <c r="M64" s="481"/>
      <c r="N64" s="500"/>
      <c r="O64">
        <v>1423308</v>
      </c>
      <c r="P64" t="s">
        <v>274</v>
      </c>
      <c r="Q64" t="s">
        <v>264</v>
      </c>
      <c r="R64"/>
      <c r="S64">
        <v>8</v>
      </c>
      <c r="T64">
        <v>17</v>
      </c>
      <c r="U64">
        <v>17</v>
      </c>
      <c r="V64">
        <v>15</v>
      </c>
      <c r="W64">
        <v>12</v>
      </c>
      <c r="X64">
        <v>7</v>
      </c>
      <c r="Y64">
        <v>0</v>
      </c>
      <c r="Z64">
        <f t="shared" si="5"/>
        <v>76</v>
      </c>
      <c r="AA64" s="500"/>
      <c r="AB64" s="74">
        <v>1423308</v>
      </c>
      <c r="AC64" s="74" t="s">
        <v>274</v>
      </c>
      <c r="AD64" s="74" t="s">
        <v>264</v>
      </c>
      <c r="AE64"/>
      <c r="AF64" s="74">
        <v>8</v>
      </c>
      <c r="AG64" s="74">
        <v>17</v>
      </c>
      <c r="AH64" s="74">
        <v>17</v>
      </c>
      <c r="AI64" s="74">
        <v>15</v>
      </c>
      <c r="AJ64" s="74">
        <v>12</v>
      </c>
      <c r="AK64" s="74">
        <v>7</v>
      </c>
      <c r="AL64" s="74">
        <v>0</v>
      </c>
      <c r="AM64" s="74">
        <f t="shared" si="1"/>
        <v>76</v>
      </c>
      <c r="AO64" s="74">
        <v>1423308</v>
      </c>
      <c r="AP64" s="74" t="s">
        <v>274</v>
      </c>
      <c r="AQ64" s="74" t="s">
        <v>264</v>
      </c>
      <c r="AR64" s="74"/>
      <c r="AS64" s="74">
        <v>8</v>
      </c>
      <c r="AT64" s="74">
        <v>17</v>
      </c>
      <c r="AU64" s="74">
        <v>17</v>
      </c>
      <c r="AV64" s="74">
        <v>15</v>
      </c>
      <c r="AW64" s="74">
        <v>12</v>
      </c>
      <c r="AX64" s="74">
        <v>7</v>
      </c>
      <c r="AY64" s="74">
        <v>0</v>
      </c>
      <c r="AZ64" s="74">
        <f t="shared" si="6"/>
        <v>76</v>
      </c>
      <c r="BB64" s="74">
        <v>1423308</v>
      </c>
      <c r="BC64" s="74" t="s">
        <v>274</v>
      </c>
      <c r="BD64" s="74" t="s">
        <v>264</v>
      </c>
      <c r="BE64" s="74"/>
      <c r="BF64" s="74">
        <v>8</v>
      </c>
      <c r="BG64" s="74">
        <v>17</v>
      </c>
      <c r="BH64" s="74">
        <v>17</v>
      </c>
      <c r="BI64" s="74">
        <v>15</v>
      </c>
      <c r="BJ64" s="74">
        <v>12</v>
      </c>
      <c r="BK64" s="74">
        <v>7</v>
      </c>
      <c r="BL64" s="74">
        <v>0</v>
      </c>
      <c r="BM64" s="74">
        <f t="shared" si="8"/>
        <v>76</v>
      </c>
      <c r="BO64" s="74">
        <v>1423308</v>
      </c>
      <c r="BP64" s="74" t="s">
        <v>274</v>
      </c>
      <c r="BQ64" s="74" t="s">
        <v>264</v>
      </c>
      <c r="BR64" s="74"/>
      <c r="BS64" s="74">
        <v>8</v>
      </c>
      <c r="BT64" s="74">
        <v>17</v>
      </c>
      <c r="BU64" s="74">
        <v>17</v>
      </c>
      <c r="BV64" s="74">
        <v>15</v>
      </c>
      <c r="BW64" s="74">
        <v>12</v>
      </c>
      <c r="BX64" s="74">
        <v>7</v>
      </c>
      <c r="BY64" s="74">
        <v>0</v>
      </c>
      <c r="BZ64" s="74">
        <f t="shared" si="7"/>
        <v>76</v>
      </c>
      <c r="CB64" s="74">
        <v>1423308</v>
      </c>
      <c r="CC64" s="74" t="s">
        <v>274</v>
      </c>
      <c r="CD64" s="74" t="s">
        <v>264</v>
      </c>
      <c r="CE64" s="74"/>
      <c r="CF64" s="74">
        <v>8</v>
      </c>
      <c r="CG64" s="74">
        <v>17</v>
      </c>
      <c r="CH64" s="74">
        <v>17</v>
      </c>
      <c r="CI64" s="74">
        <v>15</v>
      </c>
      <c r="CJ64" s="74">
        <v>12</v>
      </c>
      <c r="CK64" s="74">
        <v>7</v>
      </c>
      <c r="CL64" s="74">
        <v>0</v>
      </c>
      <c r="CM64" s="74">
        <f t="shared" si="2"/>
        <v>76</v>
      </c>
      <c r="CO64" s="74">
        <v>1423308</v>
      </c>
      <c r="CP64" s="74" t="s">
        <v>274</v>
      </c>
      <c r="CQ64" s="74" t="s">
        <v>264</v>
      </c>
      <c r="CR64" s="74"/>
      <c r="CS64" s="74">
        <v>8</v>
      </c>
      <c r="CT64" s="74">
        <v>14</v>
      </c>
      <c r="CU64" s="74">
        <v>14</v>
      </c>
      <c r="CV64" s="74">
        <v>12</v>
      </c>
      <c r="CW64" s="74">
        <v>10</v>
      </c>
      <c r="CX64" s="74">
        <v>6</v>
      </c>
      <c r="CY64" s="74">
        <v>0</v>
      </c>
      <c r="CZ64" s="74">
        <v>64</v>
      </c>
      <c r="DB64" s="74">
        <v>1423308</v>
      </c>
      <c r="DC64" s="74" t="s">
        <v>274</v>
      </c>
      <c r="DD64" s="74" t="s">
        <v>264</v>
      </c>
      <c r="DE64" s="74"/>
      <c r="DF64" s="74">
        <v>8</v>
      </c>
      <c r="DG64" s="74">
        <v>14</v>
      </c>
      <c r="DH64" s="74">
        <v>14</v>
      </c>
      <c r="DI64" s="74">
        <v>12</v>
      </c>
      <c r="DJ64" s="74">
        <v>10</v>
      </c>
      <c r="DK64" s="74">
        <v>6</v>
      </c>
      <c r="DL64" s="74">
        <v>0</v>
      </c>
      <c r="DM64" s="74">
        <v>64</v>
      </c>
      <c r="DO64" s="74">
        <v>1423308</v>
      </c>
      <c r="DP64" s="74" t="s">
        <v>274</v>
      </c>
      <c r="DQ64" s="74" t="s">
        <v>264</v>
      </c>
      <c r="DR64" s="74"/>
      <c r="DS64" s="74">
        <v>8</v>
      </c>
      <c r="DT64" s="74">
        <v>14</v>
      </c>
      <c r="DU64" s="74">
        <v>14</v>
      </c>
      <c r="DV64" s="74">
        <v>12</v>
      </c>
      <c r="DW64" s="74">
        <v>10</v>
      </c>
      <c r="DX64" s="74">
        <v>6</v>
      </c>
      <c r="DY64" s="74">
        <v>0</v>
      </c>
      <c r="DZ64" s="74">
        <v>64</v>
      </c>
      <c r="EA64" s="74"/>
      <c r="EB64" s="74">
        <v>1423309</v>
      </c>
      <c r="EC64" s="74" t="s">
        <v>274</v>
      </c>
      <c r="ED64" s="74" t="s">
        <v>264</v>
      </c>
      <c r="EE64" s="74"/>
      <c r="EF64" s="74">
        <v>6</v>
      </c>
      <c r="EG64" s="74">
        <v>8</v>
      </c>
      <c r="EH64" s="74">
        <v>6</v>
      </c>
      <c r="EI64" s="74">
        <v>6</v>
      </c>
      <c r="EJ64" s="74">
        <v>4</v>
      </c>
      <c r="EK64" s="74">
        <v>2</v>
      </c>
      <c r="EL64" s="74">
        <v>0</v>
      </c>
      <c r="EM64" s="74">
        <v>32</v>
      </c>
      <c r="EN64" s="74"/>
      <c r="EO64" s="74">
        <v>1423316</v>
      </c>
      <c r="EP64" s="74" t="s">
        <v>274</v>
      </c>
      <c r="EQ64" s="74" t="s">
        <v>264</v>
      </c>
      <c r="ER64" s="74"/>
      <c r="ES64" s="74">
        <v>1</v>
      </c>
      <c r="ET64" s="74">
        <v>4</v>
      </c>
      <c r="EU64" s="74">
        <v>4</v>
      </c>
      <c r="EV64" s="74">
        <v>4</v>
      </c>
      <c r="EW64" s="74">
        <v>2</v>
      </c>
      <c r="EX64" s="74">
        <v>1</v>
      </c>
      <c r="EY64" s="74">
        <v>0</v>
      </c>
      <c r="EZ64" s="74">
        <v>16</v>
      </c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O64" s="74">
        <v>1423404</v>
      </c>
      <c r="FP64" s="74" t="s">
        <v>270</v>
      </c>
      <c r="FQ64" s="74" t="s">
        <v>264</v>
      </c>
      <c r="FR64" s="74"/>
      <c r="FS64" s="74">
        <v>17</v>
      </c>
      <c r="FT64" s="74">
        <v>41</v>
      </c>
      <c r="FU64" s="74">
        <v>42</v>
      </c>
      <c r="FV64" s="74">
        <v>41</v>
      </c>
      <c r="FW64" s="74">
        <v>27</v>
      </c>
      <c r="FX64" s="74">
        <v>25</v>
      </c>
      <c r="FY64" s="74">
        <v>0</v>
      </c>
      <c r="FZ64" s="74">
        <v>193</v>
      </c>
      <c r="GB64" s="74">
        <v>1423404</v>
      </c>
      <c r="GC64" s="74" t="s">
        <v>270</v>
      </c>
      <c r="GD64" s="74" t="s">
        <v>264</v>
      </c>
      <c r="GE64" s="74"/>
      <c r="GF64" s="74">
        <v>3</v>
      </c>
      <c r="GG64" s="74">
        <v>5</v>
      </c>
      <c r="GH64" s="74">
        <v>6</v>
      </c>
      <c r="GI64" s="74">
        <v>5</v>
      </c>
      <c r="GJ64" s="74">
        <v>3</v>
      </c>
      <c r="GK64" s="74">
        <v>3</v>
      </c>
      <c r="GL64" s="74">
        <v>0</v>
      </c>
      <c r="GM64" s="74">
        <v>25</v>
      </c>
      <c r="GO64" s="440">
        <v>1423404</v>
      </c>
      <c r="GP64" s="74" t="s">
        <v>270</v>
      </c>
      <c r="GQ64" s="74" t="s">
        <v>264</v>
      </c>
      <c r="GR64" s="74"/>
      <c r="GS64" s="74">
        <v>1</v>
      </c>
      <c r="GT64" s="74">
        <v>3</v>
      </c>
      <c r="GU64" s="74">
        <v>3</v>
      </c>
      <c r="GV64" s="74">
        <v>2</v>
      </c>
      <c r="GW64" s="74">
        <v>1</v>
      </c>
      <c r="GX64" s="74">
        <v>1</v>
      </c>
      <c r="GY64" s="74">
        <v>0</v>
      </c>
      <c r="GZ64" s="74">
        <f t="shared" si="15"/>
        <v>11</v>
      </c>
    </row>
    <row r="65" spans="1:208">
      <c r="A65" s="494">
        <v>1423309</v>
      </c>
      <c r="B65" s="478" t="s">
        <v>161</v>
      </c>
      <c r="C65" s="478">
        <v>6</v>
      </c>
      <c r="D65" s="478">
        <v>8</v>
      </c>
      <c r="E65" s="478">
        <v>6</v>
      </c>
      <c r="F65" s="478">
        <v>6</v>
      </c>
      <c r="G65" s="478">
        <v>4</v>
      </c>
      <c r="H65" s="478">
        <v>2</v>
      </c>
      <c r="I65" s="478"/>
      <c r="J65" s="479">
        <f>SUM(C65:H65)</f>
        <v>32</v>
      </c>
      <c r="K65" s="480">
        <f>'CORTE 4200'!$O$565</f>
        <v>-4</v>
      </c>
      <c r="L65" s="480"/>
      <c r="M65" s="481"/>
      <c r="N65" s="500"/>
      <c r="O65">
        <v>1423309</v>
      </c>
      <c r="P65" t="s">
        <v>274</v>
      </c>
      <c r="Q65" t="s">
        <v>264</v>
      </c>
      <c r="R65"/>
      <c r="S65">
        <v>6</v>
      </c>
      <c r="T65">
        <v>8</v>
      </c>
      <c r="U65">
        <v>6</v>
      </c>
      <c r="V65">
        <v>6</v>
      </c>
      <c r="W65">
        <v>4</v>
      </c>
      <c r="X65">
        <v>2</v>
      </c>
      <c r="Y65">
        <v>0</v>
      </c>
      <c r="Z65">
        <f t="shared" si="5"/>
        <v>32</v>
      </c>
      <c r="AA65" s="500"/>
      <c r="AB65" s="74">
        <v>1423309</v>
      </c>
      <c r="AC65" s="74" t="s">
        <v>274</v>
      </c>
      <c r="AD65" s="74" t="s">
        <v>264</v>
      </c>
      <c r="AE65"/>
      <c r="AF65" s="74">
        <v>6</v>
      </c>
      <c r="AG65" s="74">
        <v>8</v>
      </c>
      <c r="AH65" s="74">
        <v>6</v>
      </c>
      <c r="AI65" s="74">
        <v>6</v>
      </c>
      <c r="AJ65" s="74">
        <v>4</v>
      </c>
      <c r="AK65" s="74">
        <v>2</v>
      </c>
      <c r="AL65" s="74">
        <v>0</v>
      </c>
      <c r="AM65" s="74">
        <f t="shared" si="1"/>
        <v>32</v>
      </c>
      <c r="AO65" s="74">
        <v>1423309</v>
      </c>
      <c r="AP65" s="74" t="s">
        <v>274</v>
      </c>
      <c r="AQ65" s="74" t="s">
        <v>264</v>
      </c>
      <c r="AR65" s="74"/>
      <c r="AS65" s="74">
        <v>6</v>
      </c>
      <c r="AT65" s="74">
        <v>8</v>
      </c>
      <c r="AU65" s="74">
        <v>6</v>
      </c>
      <c r="AV65" s="74">
        <v>6</v>
      </c>
      <c r="AW65" s="74">
        <v>4</v>
      </c>
      <c r="AX65" s="74">
        <v>2</v>
      </c>
      <c r="AY65" s="74">
        <v>0</v>
      </c>
      <c r="AZ65" s="74">
        <f t="shared" si="6"/>
        <v>32</v>
      </c>
      <c r="BB65" s="74">
        <v>1423309</v>
      </c>
      <c r="BC65" s="74" t="s">
        <v>274</v>
      </c>
      <c r="BD65" s="74" t="s">
        <v>264</v>
      </c>
      <c r="BE65" s="74"/>
      <c r="BF65" s="74">
        <v>6</v>
      </c>
      <c r="BG65" s="74">
        <v>8</v>
      </c>
      <c r="BH65" s="74">
        <v>6</v>
      </c>
      <c r="BI65" s="74">
        <v>6</v>
      </c>
      <c r="BJ65" s="74">
        <v>4</v>
      </c>
      <c r="BK65" s="74">
        <v>2</v>
      </c>
      <c r="BL65" s="74">
        <v>0</v>
      </c>
      <c r="BM65" s="74">
        <f t="shared" si="8"/>
        <v>32</v>
      </c>
      <c r="BO65" s="74">
        <v>1423309</v>
      </c>
      <c r="BP65" s="74" t="s">
        <v>274</v>
      </c>
      <c r="BQ65" s="74" t="s">
        <v>264</v>
      </c>
      <c r="BR65" s="74"/>
      <c r="BS65" s="74">
        <v>6</v>
      </c>
      <c r="BT65" s="74">
        <v>8</v>
      </c>
      <c r="BU65" s="74">
        <v>6</v>
      </c>
      <c r="BV65" s="74">
        <v>6</v>
      </c>
      <c r="BW65" s="74">
        <v>4</v>
      </c>
      <c r="BX65" s="74">
        <v>2</v>
      </c>
      <c r="BY65" s="74">
        <v>0</v>
      </c>
      <c r="BZ65" s="74">
        <f t="shared" si="7"/>
        <v>32</v>
      </c>
      <c r="CB65" s="74">
        <v>1423309</v>
      </c>
      <c r="CC65" s="74" t="s">
        <v>274</v>
      </c>
      <c r="CD65" s="74" t="s">
        <v>264</v>
      </c>
      <c r="CE65" s="74"/>
      <c r="CF65" s="74">
        <v>6</v>
      </c>
      <c r="CG65" s="74">
        <v>8</v>
      </c>
      <c r="CH65" s="74">
        <v>6</v>
      </c>
      <c r="CI65" s="74">
        <v>6</v>
      </c>
      <c r="CJ65" s="74">
        <v>4</v>
      </c>
      <c r="CK65" s="74">
        <v>2</v>
      </c>
      <c r="CL65" s="74">
        <v>0</v>
      </c>
      <c r="CM65" s="74">
        <f t="shared" si="2"/>
        <v>32</v>
      </c>
      <c r="CO65" s="74">
        <v>1423309</v>
      </c>
      <c r="CP65" s="74" t="s">
        <v>274</v>
      </c>
      <c r="CQ65" s="74" t="s">
        <v>264</v>
      </c>
      <c r="CR65" s="74"/>
      <c r="CS65" s="74">
        <v>6</v>
      </c>
      <c r="CT65" s="74">
        <v>8</v>
      </c>
      <c r="CU65" s="74">
        <v>6</v>
      </c>
      <c r="CV65" s="74">
        <v>6</v>
      </c>
      <c r="CW65" s="74">
        <v>4</v>
      </c>
      <c r="CX65" s="74">
        <v>2</v>
      </c>
      <c r="CY65" s="74">
        <v>0</v>
      </c>
      <c r="CZ65" s="74">
        <v>32</v>
      </c>
      <c r="DB65" s="74">
        <v>1423309</v>
      </c>
      <c r="DC65" s="74" t="s">
        <v>274</v>
      </c>
      <c r="DD65" s="74" t="s">
        <v>264</v>
      </c>
      <c r="DE65" s="74"/>
      <c r="DF65" s="74">
        <v>6</v>
      </c>
      <c r="DG65" s="74">
        <v>8</v>
      </c>
      <c r="DH65" s="74">
        <v>6</v>
      </c>
      <c r="DI65" s="74">
        <v>6</v>
      </c>
      <c r="DJ65" s="74">
        <v>4</v>
      </c>
      <c r="DK65" s="74">
        <v>2</v>
      </c>
      <c r="DL65" s="74">
        <v>0</v>
      </c>
      <c r="DM65" s="74">
        <v>32</v>
      </c>
      <c r="DO65" s="74">
        <v>1423309</v>
      </c>
      <c r="DP65" s="74" t="s">
        <v>274</v>
      </c>
      <c r="DQ65" s="74" t="s">
        <v>264</v>
      </c>
      <c r="DR65" s="74"/>
      <c r="DS65" s="74">
        <v>6</v>
      </c>
      <c r="DT65" s="74">
        <v>8</v>
      </c>
      <c r="DU65" s="74">
        <v>6</v>
      </c>
      <c r="DV65" s="74">
        <v>6</v>
      </c>
      <c r="DW65" s="74">
        <v>4</v>
      </c>
      <c r="DX65" s="74">
        <v>2</v>
      </c>
      <c r="DY65" s="74">
        <v>0</v>
      </c>
      <c r="DZ65" s="74">
        <v>32</v>
      </c>
      <c r="EA65" s="74"/>
      <c r="EB65" s="74">
        <v>1423316</v>
      </c>
      <c r="EC65" s="74" t="s">
        <v>274</v>
      </c>
      <c r="ED65" s="74" t="s">
        <v>264</v>
      </c>
      <c r="EE65" s="74"/>
      <c r="EF65" s="74">
        <v>4</v>
      </c>
      <c r="EG65" s="74">
        <v>8</v>
      </c>
      <c r="EH65" s="74">
        <v>8</v>
      </c>
      <c r="EI65" s="74">
        <v>8</v>
      </c>
      <c r="EJ65" s="74">
        <v>5</v>
      </c>
      <c r="EK65" s="74">
        <v>3</v>
      </c>
      <c r="EL65" s="74">
        <v>0</v>
      </c>
      <c r="EM65" s="74">
        <v>36</v>
      </c>
      <c r="EN65" s="74"/>
      <c r="EO65" s="74">
        <v>1423348</v>
      </c>
      <c r="EP65" s="74" t="s">
        <v>274</v>
      </c>
      <c r="EQ65" s="74" t="s">
        <v>264</v>
      </c>
      <c r="ER65" s="74"/>
      <c r="ES65" s="74">
        <v>4</v>
      </c>
      <c r="ET65" s="74">
        <v>6</v>
      </c>
      <c r="EU65" s="74">
        <v>6</v>
      </c>
      <c r="EV65" s="74">
        <v>4</v>
      </c>
      <c r="EW65" s="74">
        <v>3</v>
      </c>
      <c r="EX65" s="74">
        <v>3</v>
      </c>
      <c r="EY65" s="74">
        <v>0</v>
      </c>
      <c r="EZ65" s="74">
        <v>26</v>
      </c>
      <c r="FB65" s="74">
        <v>1423404</v>
      </c>
      <c r="FC65" s="74" t="s">
        <v>270</v>
      </c>
      <c r="FD65" s="74" t="s">
        <v>264</v>
      </c>
      <c r="FE65" s="74"/>
      <c r="FF65" s="74">
        <v>17</v>
      </c>
      <c r="FG65" s="74">
        <v>41</v>
      </c>
      <c r="FH65" s="74">
        <v>42</v>
      </c>
      <c r="FI65" s="74">
        <v>41</v>
      </c>
      <c r="FJ65" s="74">
        <v>27</v>
      </c>
      <c r="FK65" s="74">
        <v>25</v>
      </c>
      <c r="FL65" s="74">
        <v>0</v>
      </c>
      <c r="FM65" s="74">
        <v>193</v>
      </c>
      <c r="FO65" s="74">
        <v>1423408</v>
      </c>
      <c r="FP65" s="74" t="s">
        <v>270</v>
      </c>
      <c r="FQ65" s="74" t="s">
        <v>264</v>
      </c>
      <c r="FR65" s="74"/>
      <c r="FS65" s="74">
        <v>27</v>
      </c>
      <c r="FT65" s="74">
        <v>47</v>
      </c>
      <c r="FU65" s="74">
        <v>49</v>
      </c>
      <c r="FV65" s="74">
        <v>46</v>
      </c>
      <c r="FW65" s="74">
        <v>31</v>
      </c>
      <c r="FX65" s="74">
        <v>19</v>
      </c>
      <c r="FY65" s="74">
        <v>0</v>
      </c>
      <c r="FZ65" s="74">
        <v>219</v>
      </c>
      <c r="GB65" s="74">
        <v>1423408</v>
      </c>
      <c r="GC65" s="74" t="s">
        <v>270</v>
      </c>
      <c r="GD65" s="74" t="s">
        <v>264</v>
      </c>
      <c r="GE65" s="74"/>
      <c r="GF65" s="74">
        <v>16</v>
      </c>
      <c r="GG65" s="74">
        <v>22</v>
      </c>
      <c r="GH65" s="74">
        <v>24</v>
      </c>
      <c r="GI65" s="74">
        <v>20</v>
      </c>
      <c r="GJ65" s="74">
        <v>14</v>
      </c>
      <c r="GK65" s="74">
        <v>4</v>
      </c>
      <c r="GL65" s="74">
        <v>0</v>
      </c>
      <c r="GM65" s="74">
        <v>100</v>
      </c>
      <c r="GO65" s="440">
        <v>1423408</v>
      </c>
      <c r="GP65" s="74" t="s">
        <v>270</v>
      </c>
      <c r="GQ65" s="74" t="s">
        <v>264</v>
      </c>
      <c r="GR65" s="74"/>
      <c r="GS65" s="74">
        <v>13</v>
      </c>
      <c r="GT65" s="74">
        <v>17</v>
      </c>
      <c r="GU65" s="74">
        <v>17</v>
      </c>
      <c r="GV65" s="74">
        <v>14</v>
      </c>
      <c r="GW65" s="74">
        <v>10</v>
      </c>
      <c r="GX65" s="74">
        <v>1</v>
      </c>
      <c r="GY65" s="74">
        <v>0</v>
      </c>
      <c r="GZ65" s="74">
        <f t="shared" si="15"/>
        <v>72</v>
      </c>
    </row>
    <row r="66" spans="1:208">
      <c r="A66" s="494">
        <v>1423316</v>
      </c>
      <c r="B66" s="478" t="s">
        <v>161</v>
      </c>
      <c r="C66" s="478">
        <v>8</v>
      </c>
      <c r="D66" s="478">
        <v>17</v>
      </c>
      <c r="E66" s="478">
        <v>17</v>
      </c>
      <c r="F66" s="478">
        <v>16</v>
      </c>
      <c r="G66" s="478">
        <v>10</v>
      </c>
      <c r="H66" s="478">
        <v>5</v>
      </c>
      <c r="I66" s="478"/>
      <c r="J66" s="479">
        <f>SUM(C66:H66)</f>
        <v>73</v>
      </c>
      <c r="K66" s="480">
        <f>'CORTE 4200'!$O$574</f>
        <v>-16</v>
      </c>
      <c r="L66" s="480"/>
      <c r="M66" s="481"/>
      <c r="N66" s="500"/>
      <c r="O66">
        <v>1423316</v>
      </c>
      <c r="P66" t="s">
        <v>274</v>
      </c>
      <c r="Q66" t="s">
        <v>264</v>
      </c>
      <c r="R66"/>
      <c r="S66">
        <v>8</v>
      </c>
      <c r="T66">
        <v>17</v>
      </c>
      <c r="U66">
        <v>17</v>
      </c>
      <c r="V66">
        <v>16</v>
      </c>
      <c r="W66">
        <v>10</v>
      </c>
      <c r="X66">
        <v>5</v>
      </c>
      <c r="Y66">
        <v>0</v>
      </c>
      <c r="Z66">
        <f t="shared" si="5"/>
        <v>73</v>
      </c>
      <c r="AA66" s="500"/>
      <c r="AB66" s="74">
        <v>1423316</v>
      </c>
      <c r="AC66" s="74" t="s">
        <v>274</v>
      </c>
      <c r="AD66" s="74" t="s">
        <v>264</v>
      </c>
      <c r="AE66"/>
      <c r="AF66" s="74">
        <v>8</v>
      </c>
      <c r="AG66" s="74">
        <v>17</v>
      </c>
      <c r="AH66" s="74">
        <v>17</v>
      </c>
      <c r="AI66" s="74">
        <v>16</v>
      </c>
      <c r="AJ66" s="74">
        <v>10</v>
      </c>
      <c r="AK66" s="74">
        <v>5</v>
      </c>
      <c r="AL66" s="74">
        <v>0</v>
      </c>
      <c r="AM66" s="74">
        <f t="shared" si="1"/>
        <v>73</v>
      </c>
      <c r="AO66" s="74">
        <v>1423316</v>
      </c>
      <c r="AP66" s="74" t="s">
        <v>274</v>
      </c>
      <c r="AQ66" s="74" t="s">
        <v>264</v>
      </c>
      <c r="AR66" s="74"/>
      <c r="AS66" s="74">
        <v>8</v>
      </c>
      <c r="AT66" s="74">
        <v>17</v>
      </c>
      <c r="AU66" s="74">
        <v>17</v>
      </c>
      <c r="AV66" s="74">
        <v>16</v>
      </c>
      <c r="AW66" s="74">
        <v>10</v>
      </c>
      <c r="AX66" s="74">
        <v>5</v>
      </c>
      <c r="AY66" s="74">
        <v>0</v>
      </c>
      <c r="AZ66" s="74">
        <f t="shared" si="6"/>
        <v>73</v>
      </c>
      <c r="BB66" s="74">
        <v>1423316</v>
      </c>
      <c r="BC66" s="74" t="s">
        <v>274</v>
      </c>
      <c r="BD66" s="74" t="s">
        <v>264</v>
      </c>
      <c r="BE66" s="74"/>
      <c r="BF66" s="74">
        <v>8</v>
      </c>
      <c r="BG66" s="74">
        <v>17</v>
      </c>
      <c r="BH66" s="74">
        <v>17</v>
      </c>
      <c r="BI66" s="74">
        <v>16</v>
      </c>
      <c r="BJ66" s="74">
        <v>10</v>
      </c>
      <c r="BK66" s="74">
        <v>5</v>
      </c>
      <c r="BL66" s="74">
        <v>0</v>
      </c>
      <c r="BM66" s="74">
        <f t="shared" si="8"/>
        <v>73</v>
      </c>
      <c r="BO66" s="74">
        <v>1423316</v>
      </c>
      <c r="BP66" s="74" t="s">
        <v>274</v>
      </c>
      <c r="BQ66" s="74" t="s">
        <v>264</v>
      </c>
      <c r="BR66" s="74"/>
      <c r="BS66" s="74">
        <v>8</v>
      </c>
      <c r="BT66" s="74">
        <v>17</v>
      </c>
      <c r="BU66" s="74">
        <v>17</v>
      </c>
      <c r="BV66" s="74">
        <v>16</v>
      </c>
      <c r="BW66" s="74">
        <v>10</v>
      </c>
      <c r="BX66" s="74">
        <v>5</v>
      </c>
      <c r="BY66" s="74">
        <v>0</v>
      </c>
      <c r="BZ66" s="74">
        <f t="shared" si="7"/>
        <v>73</v>
      </c>
      <c r="CB66" s="74">
        <v>1423316</v>
      </c>
      <c r="CC66" s="74" t="s">
        <v>274</v>
      </c>
      <c r="CD66" s="74" t="s">
        <v>264</v>
      </c>
      <c r="CE66" s="74"/>
      <c r="CF66" s="74">
        <v>8</v>
      </c>
      <c r="CG66" s="74">
        <v>17</v>
      </c>
      <c r="CH66" s="74">
        <v>17</v>
      </c>
      <c r="CI66" s="74">
        <v>16</v>
      </c>
      <c r="CJ66" s="74">
        <v>10</v>
      </c>
      <c r="CK66" s="74">
        <v>5</v>
      </c>
      <c r="CL66" s="74">
        <v>0</v>
      </c>
      <c r="CM66" s="74">
        <f t="shared" si="2"/>
        <v>73</v>
      </c>
      <c r="CO66" s="74">
        <v>1423316</v>
      </c>
      <c r="CP66" s="74" t="s">
        <v>274</v>
      </c>
      <c r="CQ66" s="74" t="s">
        <v>264</v>
      </c>
      <c r="CR66" s="74"/>
      <c r="CS66" s="74">
        <v>8</v>
      </c>
      <c r="CT66" s="74">
        <v>14</v>
      </c>
      <c r="CU66" s="74">
        <v>14</v>
      </c>
      <c r="CV66" s="74">
        <v>13</v>
      </c>
      <c r="CW66" s="74">
        <v>8</v>
      </c>
      <c r="CX66" s="74">
        <v>4</v>
      </c>
      <c r="CY66" s="74">
        <v>0</v>
      </c>
      <c r="CZ66" s="74">
        <v>61</v>
      </c>
      <c r="DB66" s="74">
        <v>1423316</v>
      </c>
      <c r="DC66" s="74" t="s">
        <v>274</v>
      </c>
      <c r="DD66" s="74" t="s">
        <v>264</v>
      </c>
      <c r="DE66" s="74"/>
      <c r="DF66" s="74">
        <v>8</v>
      </c>
      <c r="DG66" s="74">
        <v>14</v>
      </c>
      <c r="DH66" s="74">
        <v>14</v>
      </c>
      <c r="DI66" s="74">
        <v>13</v>
      </c>
      <c r="DJ66" s="74">
        <v>8</v>
      </c>
      <c r="DK66" s="74">
        <v>4</v>
      </c>
      <c r="DL66" s="74">
        <v>0</v>
      </c>
      <c r="DM66" s="74">
        <v>61</v>
      </c>
      <c r="DO66" s="74">
        <v>1423316</v>
      </c>
      <c r="DP66" s="74" t="s">
        <v>274</v>
      </c>
      <c r="DQ66" s="74" t="s">
        <v>264</v>
      </c>
      <c r="DR66" s="74"/>
      <c r="DS66" s="74">
        <v>6</v>
      </c>
      <c r="DT66" s="74">
        <v>11</v>
      </c>
      <c r="DU66" s="74">
        <v>11</v>
      </c>
      <c r="DV66" s="74">
        <v>11</v>
      </c>
      <c r="DW66" s="74">
        <v>7</v>
      </c>
      <c r="DX66" s="74">
        <v>4</v>
      </c>
      <c r="DY66" s="74">
        <v>0</v>
      </c>
      <c r="DZ66" s="74">
        <v>50</v>
      </c>
      <c r="EA66" s="74"/>
      <c r="EB66" s="74">
        <v>1423348</v>
      </c>
      <c r="EC66" s="74" t="s">
        <v>274</v>
      </c>
      <c r="ED66" s="74" t="s">
        <v>264</v>
      </c>
      <c r="EE66" s="74"/>
      <c r="EF66" s="74">
        <v>7</v>
      </c>
      <c r="EG66" s="74">
        <v>10</v>
      </c>
      <c r="EH66" s="74">
        <v>10</v>
      </c>
      <c r="EI66" s="74">
        <v>8</v>
      </c>
      <c r="EJ66" s="74">
        <v>6</v>
      </c>
      <c r="EK66" s="74">
        <v>5</v>
      </c>
      <c r="EL66" s="74">
        <v>0</v>
      </c>
      <c r="EM66" s="74">
        <v>46</v>
      </c>
      <c r="EN66" s="74"/>
      <c r="EO66" s="74"/>
      <c r="EP66" s="74"/>
      <c r="EQ66" s="74"/>
      <c r="ER66" s="74"/>
      <c r="ES66" s="74"/>
      <c r="ET66" s="74"/>
      <c r="EU66" s="74"/>
      <c r="EV66" s="74"/>
      <c r="EW66" s="74"/>
      <c r="EX66" s="74"/>
      <c r="EY66" s="74"/>
      <c r="EZ66" s="74"/>
      <c r="FB66" s="74">
        <v>1423408</v>
      </c>
      <c r="FC66" s="74" t="s">
        <v>270</v>
      </c>
      <c r="FD66" s="74" t="s">
        <v>264</v>
      </c>
      <c r="FE66" s="74"/>
      <c r="FF66" s="74">
        <v>27</v>
      </c>
      <c r="FG66" s="74">
        <v>47</v>
      </c>
      <c r="FH66" s="74">
        <v>49</v>
      </c>
      <c r="FI66" s="74">
        <v>46</v>
      </c>
      <c r="FJ66" s="74">
        <v>31</v>
      </c>
      <c r="FK66" s="74">
        <v>19</v>
      </c>
      <c r="FL66" s="74">
        <v>0</v>
      </c>
      <c r="FM66" s="74">
        <v>219</v>
      </c>
      <c r="FO66" s="74">
        <v>1423409</v>
      </c>
      <c r="FP66" s="74" t="s">
        <v>270</v>
      </c>
      <c r="FQ66" s="74" t="s">
        <v>264</v>
      </c>
      <c r="FR66" s="74"/>
      <c r="FS66" s="74">
        <v>2</v>
      </c>
      <c r="FT66" s="74">
        <v>4</v>
      </c>
      <c r="FU66" s="74">
        <v>4</v>
      </c>
      <c r="FV66" s="74">
        <v>4</v>
      </c>
      <c r="FW66" s="74">
        <v>4</v>
      </c>
      <c r="FX66" s="74">
        <v>2</v>
      </c>
      <c r="FY66" s="74">
        <v>0</v>
      </c>
      <c r="FZ66" s="74">
        <v>20</v>
      </c>
      <c r="GB66" s="74">
        <v>1423409</v>
      </c>
      <c r="GC66" s="74" t="s">
        <v>270</v>
      </c>
      <c r="GD66" s="74" t="s">
        <v>264</v>
      </c>
      <c r="GE66" s="74"/>
      <c r="GF66" s="74">
        <v>2</v>
      </c>
      <c r="GG66" s="74">
        <v>4</v>
      </c>
      <c r="GH66" s="74">
        <v>4</v>
      </c>
      <c r="GI66" s="74">
        <v>4</v>
      </c>
      <c r="GJ66" s="74">
        <v>4</v>
      </c>
      <c r="GK66" s="74">
        <v>2</v>
      </c>
      <c r="GL66" s="74">
        <v>0</v>
      </c>
      <c r="GM66" s="74">
        <v>20</v>
      </c>
      <c r="GO66" s="440">
        <v>1423409</v>
      </c>
      <c r="GP66" s="74" t="s">
        <v>270</v>
      </c>
      <c r="GQ66" s="74" t="s">
        <v>264</v>
      </c>
      <c r="GR66" s="74"/>
      <c r="GS66" s="74">
        <v>2</v>
      </c>
      <c r="GT66" s="74">
        <v>4</v>
      </c>
      <c r="GU66" s="74">
        <v>4</v>
      </c>
      <c r="GV66" s="74">
        <v>4</v>
      </c>
      <c r="GW66" s="74">
        <v>4</v>
      </c>
      <c r="GX66" s="74">
        <v>2</v>
      </c>
      <c r="GY66" s="74">
        <v>0</v>
      </c>
      <c r="GZ66" s="74">
        <f t="shared" si="15"/>
        <v>20</v>
      </c>
    </row>
    <row r="67" spans="1:208">
      <c r="A67" s="494">
        <v>1423348</v>
      </c>
      <c r="B67" s="478" t="s">
        <v>161</v>
      </c>
      <c r="C67" s="478">
        <v>8</v>
      </c>
      <c r="D67" s="478">
        <v>14</v>
      </c>
      <c r="E67" s="478">
        <v>14</v>
      </c>
      <c r="F67" s="478">
        <v>14</v>
      </c>
      <c r="G67" s="478">
        <v>10</v>
      </c>
      <c r="H67" s="478">
        <v>8</v>
      </c>
      <c r="I67" s="478"/>
      <c r="J67" s="479">
        <f t="shared" si="12"/>
        <v>68</v>
      </c>
      <c r="K67" s="480">
        <f>'CORTE 4200'!$O$583</f>
        <v>-17</v>
      </c>
      <c r="L67" s="480"/>
      <c r="M67" s="481"/>
      <c r="N67" s="500"/>
      <c r="O67">
        <v>1423348</v>
      </c>
      <c r="P67" t="s">
        <v>274</v>
      </c>
      <c r="Q67" t="s">
        <v>264</v>
      </c>
      <c r="R67"/>
      <c r="S67">
        <v>8</v>
      </c>
      <c r="T67">
        <v>14</v>
      </c>
      <c r="U67">
        <v>14</v>
      </c>
      <c r="V67">
        <v>14</v>
      </c>
      <c r="W67">
        <v>10</v>
      </c>
      <c r="X67">
        <v>8</v>
      </c>
      <c r="Y67">
        <v>0</v>
      </c>
      <c r="Z67">
        <f t="shared" si="5"/>
        <v>68</v>
      </c>
      <c r="AA67" s="500"/>
      <c r="AB67" s="74">
        <v>1423348</v>
      </c>
      <c r="AC67" s="74" t="s">
        <v>274</v>
      </c>
      <c r="AD67" s="74" t="s">
        <v>264</v>
      </c>
      <c r="AE67"/>
      <c r="AF67" s="74">
        <v>8</v>
      </c>
      <c r="AG67" s="74">
        <v>14</v>
      </c>
      <c r="AH67" s="74">
        <v>14</v>
      </c>
      <c r="AI67" s="74">
        <v>14</v>
      </c>
      <c r="AJ67" s="74">
        <v>10</v>
      </c>
      <c r="AK67" s="74">
        <v>8</v>
      </c>
      <c r="AL67" s="74">
        <v>0</v>
      </c>
      <c r="AM67" s="74">
        <f t="shared" si="1"/>
        <v>68</v>
      </c>
      <c r="AO67" s="74">
        <v>1423348</v>
      </c>
      <c r="AP67" s="74" t="s">
        <v>274</v>
      </c>
      <c r="AQ67" s="74" t="s">
        <v>264</v>
      </c>
      <c r="AR67" s="74"/>
      <c r="AS67" s="74">
        <v>8</v>
      </c>
      <c r="AT67" s="74">
        <v>14</v>
      </c>
      <c r="AU67" s="74">
        <v>14</v>
      </c>
      <c r="AV67" s="74">
        <v>14</v>
      </c>
      <c r="AW67" s="74">
        <v>10</v>
      </c>
      <c r="AX67" s="74">
        <v>8</v>
      </c>
      <c r="AY67" s="74">
        <v>0</v>
      </c>
      <c r="AZ67" s="74">
        <f t="shared" si="6"/>
        <v>68</v>
      </c>
      <c r="BB67" s="74">
        <v>1423348</v>
      </c>
      <c r="BC67" s="74" t="s">
        <v>274</v>
      </c>
      <c r="BD67" s="74" t="s">
        <v>264</v>
      </c>
      <c r="BE67" s="74"/>
      <c r="BF67" s="74">
        <v>8</v>
      </c>
      <c r="BG67" s="74">
        <v>14</v>
      </c>
      <c r="BH67" s="74">
        <v>14</v>
      </c>
      <c r="BI67" s="74">
        <v>14</v>
      </c>
      <c r="BJ67" s="74">
        <v>10</v>
      </c>
      <c r="BK67" s="74">
        <v>8</v>
      </c>
      <c r="BL67" s="74">
        <v>0</v>
      </c>
      <c r="BM67" s="74">
        <f t="shared" si="8"/>
        <v>68</v>
      </c>
      <c r="BO67" s="74">
        <v>1423348</v>
      </c>
      <c r="BP67" s="74" t="s">
        <v>274</v>
      </c>
      <c r="BQ67" s="74" t="s">
        <v>264</v>
      </c>
      <c r="BR67" s="74"/>
      <c r="BS67" s="74">
        <v>8</v>
      </c>
      <c r="BT67" s="74">
        <v>14</v>
      </c>
      <c r="BU67" s="74">
        <v>14</v>
      </c>
      <c r="BV67" s="74">
        <v>14</v>
      </c>
      <c r="BW67" s="74">
        <v>10</v>
      </c>
      <c r="BX67" s="74">
        <v>8</v>
      </c>
      <c r="BY67" s="74">
        <v>0</v>
      </c>
      <c r="BZ67" s="74">
        <f t="shared" si="7"/>
        <v>68</v>
      </c>
      <c r="CB67" s="74">
        <v>1423348</v>
      </c>
      <c r="CC67" s="74" t="s">
        <v>274</v>
      </c>
      <c r="CD67" s="74" t="s">
        <v>264</v>
      </c>
      <c r="CE67" s="74"/>
      <c r="CF67" s="74">
        <v>8</v>
      </c>
      <c r="CG67" s="74">
        <v>14</v>
      </c>
      <c r="CH67" s="74">
        <v>14</v>
      </c>
      <c r="CI67" s="74">
        <v>14</v>
      </c>
      <c r="CJ67" s="74">
        <v>10</v>
      </c>
      <c r="CK67" s="74">
        <v>8</v>
      </c>
      <c r="CL67" s="74">
        <v>0</v>
      </c>
      <c r="CM67" s="74">
        <f t="shared" si="2"/>
        <v>68</v>
      </c>
      <c r="CO67" s="74">
        <v>1423348</v>
      </c>
      <c r="CP67" s="74" t="s">
        <v>274</v>
      </c>
      <c r="CQ67" s="74" t="s">
        <v>264</v>
      </c>
      <c r="CR67" s="74"/>
      <c r="CS67" s="74">
        <v>8</v>
      </c>
      <c r="CT67" s="74">
        <v>14</v>
      </c>
      <c r="CU67" s="74">
        <v>14</v>
      </c>
      <c r="CV67" s="74">
        <v>14</v>
      </c>
      <c r="CW67" s="74">
        <v>10</v>
      </c>
      <c r="CX67" s="74">
        <v>8</v>
      </c>
      <c r="CY67" s="74">
        <v>0</v>
      </c>
      <c r="CZ67" s="74">
        <v>68</v>
      </c>
      <c r="DB67" s="74">
        <v>1423348</v>
      </c>
      <c r="DC67" s="74" t="s">
        <v>274</v>
      </c>
      <c r="DD67" s="74" t="s">
        <v>264</v>
      </c>
      <c r="DE67" s="74"/>
      <c r="DF67" s="74">
        <v>7</v>
      </c>
      <c r="DG67" s="74">
        <v>10</v>
      </c>
      <c r="DH67" s="74">
        <v>10</v>
      </c>
      <c r="DI67" s="74">
        <v>8</v>
      </c>
      <c r="DJ67" s="74">
        <v>6</v>
      </c>
      <c r="DK67" s="74">
        <v>5</v>
      </c>
      <c r="DL67" s="74">
        <v>0</v>
      </c>
      <c r="DM67" s="74">
        <v>46</v>
      </c>
      <c r="DO67" s="74">
        <v>1423348</v>
      </c>
      <c r="DP67" s="74" t="s">
        <v>274</v>
      </c>
      <c r="DQ67" s="74" t="s">
        <v>264</v>
      </c>
      <c r="DR67" s="74"/>
      <c r="DS67" s="74">
        <v>7</v>
      </c>
      <c r="DT67" s="74">
        <v>10</v>
      </c>
      <c r="DU67" s="74">
        <v>10</v>
      </c>
      <c r="DV67" s="74">
        <v>8</v>
      </c>
      <c r="DW67" s="74">
        <v>6</v>
      </c>
      <c r="DX67" s="74">
        <v>5</v>
      </c>
      <c r="DY67" s="74">
        <v>0</v>
      </c>
      <c r="DZ67" s="74">
        <v>46</v>
      </c>
      <c r="EA67" s="74"/>
      <c r="EB67" s="74"/>
      <c r="EC67" s="74"/>
      <c r="ED67" s="74"/>
      <c r="EE67" s="74"/>
      <c r="EF67" s="74"/>
      <c r="EG67" s="74"/>
      <c r="EH67" s="74"/>
      <c r="EI67" s="74"/>
      <c r="EJ67" s="74"/>
      <c r="EK67" s="74"/>
      <c r="EL67" s="74"/>
      <c r="EM67" s="74"/>
      <c r="EN67" s="74"/>
      <c r="EO67" s="74">
        <v>1423404</v>
      </c>
      <c r="EP67" s="74" t="s">
        <v>270</v>
      </c>
      <c r="EQ67" s="74" t="s">
        <v>264</v>
      </c>
      <c r="ER67" s="74"/>
      <c r="ES67" s="74">
        <v>19</v>
      </c>
      <c r="ET67" s="74">
        <v>44</v>
      </c>
      <c r="EU67" s="74">
        <v>45</v>
      </c>
      <c r="EV67" s="74">
        <v>44</v>
      </c>
      <c r="EW67" s="74">
        <v>27</v>
      </c>
      <c r="EX67" s="74">
        <v>25</v>
      </c>
      <c r="EY67" s="74">
        <v>0</v>
      </c>
      <c r="EZ67" s="74">
        <v>204</v>
      </c>
      <c r="FB67" s="74">
        <v>1423409</v>
      </c>
      <c r="FC67" s="74" t="s">
        <v>270</v>
      </c>
      <c r="FD67" s="74" t="s">
        <v>264</v>
      </c>
      <c r="FE67" s="74"/>
      <c r="FF67" s="74">
        <v>2</v>
      </c>
      <c r="FG67" s="74">
        <v>4</v>
      </c>
      <c r="FH67" s="74">
        <v>4</v>
      </c>
      <c r="FI67" s="74">
        <v>4</v>
      </c>
      <c r="FJ67" s="74">
        <v>4</v>
      </c>
      <c r="FK67" s="74">
        <v>2</v>
      </c>
      <c r="FL67" s="74">
        <v>0</v>
      </c>
      <c r="FM67" s="74">
        <v>20</v>
      </c>
      <c r="FO67" s="74">
        <v>1423416</v>
      </c>
      <c r="FP67" s="74" t="s">
        <v>270</v>
      </c>
      <c r="FQ67" s="74" t="s">
        <v>264</v>
      </c>
      <c r="FR67" s="74"/>
      <c r="FS67" s="74">
        <v>8</v>
      </c>
      <c r="FT67" s="74">
        <v>12</v>
      </c>
      <c r="FU67" s="74">
        <v>12</v>
      </c>
      <c r="FV67" s="74">
        <v>12</v>
      </c>
      <c r="FW67" s="74">
        <v>9</v>
      </c>
      <c r="FX67" s="74">
        <v>4</v>
      </c>
      <c r="FY67" s="74">
        <v>0</v>
      </c>
      <c r="FZ67" s="74">
        <v>57</v>
      </c>
      <c r="GB67" s="74">
        <v>1423416</v>
      </c>
      <c r="GC67" s="74" t="s">
        <v>270</v>
      </c>
      <c r="GD67" s="74" t="s">
        <v>264</v>
      </c>
      <c r="GE67" s="74"/>
      <c r="GF67" s="74">
        <v>2</v>
      </c>
      <c r="GG67" s="74">
        <v>4</v>
      </c>
      <c r="GH67" s="74">
        <v>4</v>
      </c>
      <c r="GI67" s="74">
        <v>4</v>
      </c>
      <c r="GJ67" s="74">
        <v>4</v>
      </c>
      <c r="GK67" s="74">
        <v>2</v>
      </c>
      <c r="GL67" s="74">
        <v>0</v>
      </c>
      <c r="GM67" s="74">
        <v>20</v>
      </c>
      <c r="GO67" s="440">
        <v>1423416</v>
      </c>
      <c r="GP67" s="74" t="s">
        <v>270</v>
      </c>
      <c r="GQ67" s="74" t="s">
        <v>264</v>
      </c>
      <c r="GR67" s="74"/>
      <c r="GS67" s="74">
        <v>2</v>
      </c>
      <c r="GT67" s="74">
        <v>4</v>
      </c>
      <c r="GU67" s="74">
        <v>4</v>
      </c>
      <c r="GV67" s="74">
        <v>4</v>
      </c>
      <c r="GW67" s="74">
        <v>4</v>
      </c>
      <c r="GX67" s="74">
        <v>2</v>
      </c>
      <c r="GY67" s="74">
        <v>0</v>
      </c>
      <c r="GZ67" s="74">
        <f t="shared" si="15"/>
        <v>20</v>
      </c>
    </row>
    <row r="68" spans="1:208">
      <c r="A68" s="495">
        <v>1423400</v>
      </c>
      <c r="B68" s="478" t="s">
        <v>161</v>
      </c>
      <c r="C68" s="478">
        <v>3</v>
      </c>
      <c r="D68" s="478">
        <v>4</v>
      </c>
      <c r="E68" s="478">
        <v>2</v>
      </c>
      <c r="F68" s="478">
        <v>2</v>
      </c>
      <c r="G68" s="478">
        <v>1</v>
      </c>
      <c r="H68" s="478">
        <v>0</v>
      </c>
      <c r="I68" s="478"/>
      <c r="J68" s="479">
        <f>SUM(C68:H68)</f>
        <v>12</v>
      </c>
      <c r="K68" s="480">
        <f>'CORTE 4200'!$O$592</f>
        <v>12</v>
      </c>
      <c r="L68" s="480"/>
      <c r="M68" s="481"/>
      <c r="N68" s="500"/>
      <c r="O68">
        <v>1423400</v>
      </c>
      <c r="P68" t="s">
        <v>270</v>
      </c>
      <c r="Q68" t="s">
        <v>264</v>
      </c>
      <c r="R68"/>
      <c r="S68">
        <v>3</v>
      </c>
      <c r="T68">
        <v>4</v>
      </c>
      <c r="U68">
        <v>2</v>
      </c>
      <c r="V68">
        <v>2</v>
      </c>
      <c r="W68">
        <v>1</v>
      </c>
      <c r="X68">
        <v>0</v>
      </c>
      <c r="Y68">
        <v>0</v>
      </c>
      <c r="Z68">
        <f t="shared" si="5"/>
        <v>12</v>
      </c>
      <c r="AA68" s="500"/>
      <c r="AB68" s="74">
        <v>1423400</v>
      </c>
      <c r="AC68" s="74" t="s">
        <v>270</v>
      </c>
      <c r="AD68" s="74" t="s">
        <v>264</v>
      </c>
      <c r="AE68"/>
      <c r="AF68" s="74">
        <v>3</v>
      </c>
      <c r="AG68" s="74">
        <v>4</v>
      </c>
      <c r="AH68" s="74">
        <v>2</v>
      </c>
      <c r="AI68" s="74">
        <v>2</v>
      </c>
      <c r="AJ68" s="74">
        <v>1</v>
      </c>
      <c r="AK68" s="74">
        <v>0</v>
      </c>
      <c r="AL68" s="74">
        <v>0</v>
      </c>
      <c r="AM68" s="74">
        <f t="shared" ref="AM68:AM96" si="16">SUM(AF68:AL68)</f>
        <v>12</v>
      </c>
      <c r="AO68" s="74">
        <v>1423400</v>
      </c>
      <c r="AP68" s="74" t="s">
        <v>270</v>
      </c>
      <c r="AQ68" s="74" t="s">
        <v>264</v>
      </c>
      <c r="AR68" s="74"/>
      <c r="AS68" s="74">
        <v>3</v>
      </c>
      <c r="AT68" s="74">
        <v>4</v>
      </c>
      <c r="AU68" s="74">
        <v>2</v>
      </c>
      <c r="AV68" s="74">
        <v>2</v>
      </c>
      <c r="AW68" s="74">
        <v>1</v>
      </c>
      <c r="AX68" s="74">
        <v>0</v>
      </c>
      <c r="AY68" s="74">
        <v>0</v>
      </c>
      <c r="AZ68" s="74">
        <f t="shared" si="6"/>
        <v>12</v>
      </c>
      <c r="BB68" s="74">
        <v>1423400</v>
      </c>
      <c r="BC68" s="74" t="s">
        <v>270</v>
      </c>
      <c r="BD68" s="74" t="s">
        <v>264</v>
      </c>
      <c r="BE68" s="74"/>
      <c r="BF68" s="74">
        <v>3</v>
      </c>
      <c r="BG68" s="74">
        <v>4</v>
      </c>
      <c r="BH68" s="74">
        <v>2</v>
      </c>
      <c r="BI68" s="74">
        <v>2</v>
      </c>
      <c r="BJ68" s="74">
        <v>1</v>
      </c>
      <c r="BK68" s="74">
        <v>0</v>
      </c>
      <c r="BL68" s="74">
        <v>0</v>
      </c>
      <c r="BM68" s="74">
        <f t="shared" si="8"/>
        <v>12</v>
      </c>
      <c r="BO68" s="74"/>
      <c r="BP68" s="74"/>
      <c r="BQ68" s="74"/>
      <c r="BR68" s="74"/>
      <c r="BS68" s="74"/>
      <c r="BT68" s="74"/>
      <c r="BU68" s="74"/>
      <c r="BV68" s="74"/>
      <c r="BW68" s="74"/>
      <c r="BX68" s="74"/>
      <c r="BY68" s="74"/>
      <c r="BZ68" s="74"/>
      <c r="CB68" s="74"/>
      <c r="CC68" s="74"/>
      <c r="CD68" s="74"/>
      <c r="CE68" s="74"/>
      <c r="CF68" s="74"/>
      <c r="CG68" s="74"/>
      <c r="CH68" s="74"/>
      <c r="CI68" s="74"/>
      <c r="CJ68" s="74"/>
      <c r="CK68" s="74"/>
      <c r="CL68" s="74"/>
      <c r="CM68" s="74">
        <f t="shared" ref="CM68:CM96" si="17">SUM(CF68:CL68)</f>
        <v>0</v>
      </c>
      <c r="CO68" s="74"/>
      <c r="CP68" s="74"/>
      <c r="CQ68" s="74"/>
      <c r="CR68" s="74"/>
      <c r="CS68" s="74"/>
      <c r="CT68" s="74"/>
      <c r="CU68" s="74"/>
      <c r="CV68" s="74"/>
      <c r="CW68" s="74"/>
      <c r="CX68" s="74"/>
      <c r="CY68" s="74"/>
      <c r="CZ68" s="74"/>
      <c r="DB68" s="74"/>
      <c r="DC68" s="74"/>
      <c r="DD68" s="74"/>
      <c r="DE68" s="74"/>
      <c r="DF68" s="74"/>
      <c r="DG68" s="74"/>
      <c r="DH68" s="74"/>
      <c r="DI68" s="74"/>
      <c r="DJ68" s="74"/>
      <c r="DK68" s="74"/>
      <c r="DL68" s="74"/>
      <c r="DM68" s="74"/>
      <c r="DO68" s="74"/>
      <c r="DP68" s="74"/>
      <c r="DQ68" s="74"/>
      <c r="DR68" s="74"/>
      <c r="DS68" s="74"/>
      <c r="DT68" s="74"/>
      <c r="DU68" s="74"/>
      <c r="DV68" s="74"/>
      <c r="DW68" s="74"/>
      <c r="DX68" s="74"/>
      <c r="DY68" s="74"/>
      <c r="DZ68" s="74"/>
      <c r="EA68" s="74"/>
      <c r="EB68" s="74">
        <v>1423404</v>
      </c>
      <c r="EC68" s="74" t="s">
        <v>270</v>
      </c>
      <c r="ED68" s="74" t="s">
        <v>264</v>
      </c>
      <c r="EE68" s="74"/>
      <c r="EF68" s="74">
        <v>21</v>
      </c>
      <c r="EG68" s="74">
        <v>47</v>
      </c>
      <c r="EH68" s="74">
        <v>48</v>
      </c>
      <c r="EI68" s="74">
        <v>47</v>
      </c>
      <c r="EJ68" s="74">
        <v>29</v>
      </c>
      <c r="EK68" s="74">
        <v>26</v>
      </c>
      <c r="EL68" s="74">
        <v>0</v>
      </c>
      <c r="EM68" s="74">
        <v>218</v>
      </c>
      <c r="EN68" s="74"/>
      <c r="EO68" s="74">
        <v>1423408</v>
      </c>
      <c r="EP68" s="74" t="s">
        <v>270</v>
      </c>
      <c r="EQ68" s="74" t="s">
        <v>264</v>
      </c>
      <c r="ER68" s="74"/>
      <c r="ES68" s="74">
        <v>31</v>
      </c>
      <c r="ET68" s="74">
        <v>52</v>
      </c>
      <c r="EU68" s="74">
        <v>54</v>
      </c>
      <c r="EV68" s="74">
        <v>51</v>
      </c>
      <c r="EW68" s="74">
        <v>31</v>
      </c>
      <c r="EX68" s="74">
        <v>19</v>
      </c>
      <c r="EY68" s="74">
        <v>0</v>
      </c>
      <c r="EZ68" s="74">
        <v>238</v>
      </c>
      <c r="FB68" s="74">
        <v>1423416</v>
      </c>
      <c r="FC68" s="74" t="s">
        <v>270</v>
      </c>
      <c r="FD68" s="74" t="s">
        <v>264</v>
      </c>
      <c r="FE68" s="74"/>
      <c r="FF68" s="74">
        <v>8</v>
      </c>
      <c r="FG68" s="74">
        <v>12</v>
      </c>
      <c r="FH68" s="74">
        <v>12</v>
      </c>
      <c r="FI68" s="74">
        <v>12</v>
      </c>
      <c r="FJ68" s="74">
        <v>9</v>
      </c>
      <c r="FK68" s="74">
        <v>4</v>
      </c>
      <c r="FL68" s="74">
        <v>0</v>
      </c>
      <c r="FM68" s="74">
        <v>57</v>
      </c>
      <c r="FO68" s="74">
        <v>1423448</v>
      </c>
      <c r="FP68" s="74" t="s">
        <v>270</v>
      </c>
      <c r="FQ68" s="74" t="s">
        <v>264</v>
      </c>
      <c r="FR68" s="74"/>
      <c r="FS68" s="74">
        <v>6</v>
      </c>
      <c r="FT68" s="74">
        <v>9</v>
      </c>
      <c r="FU68" s="74">
        <v>5</v>
      </c>
      <c r="FV68" s="74">
        <v>6</v>
      </c>
      <c r="FW68" s="74">
        <v>4</v>
      </c>
      <c r="FX68" s="74">
        <v>2</v>
      </c>
      <c r="FY68" s="74">
        <v>0</v>
      </c>
      <c r="FZ68" s="74">
        <v>32</v>
      </c>
      <c r="GB68" s="74">
        <v>1423448</v>
      </c>
      <c r="GC68" s="74" t="s">
        <v>270</v>
      </c>
      <c r="GD68" s="74" t="s">
        <v>264</v>
      </c>
      <c r="GE68" s="74"/>
      <c r="GF68" s="74">
        <v>6</v>
      </c>
      <c r="GG68" s="74">
        <v>9</v>
      </c>
      <c r="GH68" s="74">
        <v>5</v>
      </c>
      <c r="GI68" s="74">
        <v>6</v>
      </c>
      <c r="GJ68" s="74">
        <v>4</v>
      </c>
      <c r="GK68" s="74">
        <v>2</v>
      </c>
      <c r="GL68" s="74">
        <v>0</v>
      </c>
      <c r="GM68" s="74">
        <v>32</v>
      </c>
      <c r="GO68" s="440">
        <v>1423448</v>
      </c>
      <c r="GP68" s="74" t="s">
        <v>270</v>
      </c>
      <c r="GQ68" s="74" t="s">
        <v>264</v>
      </c>
      <c r="GR68" s="74"/>
      <c r="GS68" s="74">
        <v>6</v>
      </c>
      <c r="GT68" s="74">
        <v>9</v>
      </c>
      <c r="GU68" s="74">
        <v>5</v>
      </c>
      <c r="GV68" s="74">
        <v>6</v>
      </c>
      <c r="GW68" s="74">
        <v>4</v>
      </c>
      <c r="GX68" s="74">
        <v>2</v>
      </c>
      <c r="GY68" s="74">
        <v>0</v>
      </c>
      <c r="GZ68" s="74">
        <f t="shared" si="15"/>
        <v>32</v>
      </c>
    </row>
    <row r="69" spans="1:208">
      <c r="A69" s="495">
        <v>1423404</v>
      </c>
      <c r="B69" s="478" t="s">
        <v>161</v>
      </c>
      <c r="C69" s="478">
        <v>30</v>
      </c>
      <c r="D69" s="478">
        <v>64</v>
      </c>
      <c r="E69" s="478">
        <v>70</v>
      </c>
      <c r="F69" s="478">
        <v>68</v>
      </c>
      <c r="G69" s="478">
        <v>42</v>
      </c>
      <c r="H69" s="478">
        <v>31</v>
      </c>
      <c r="I69" s="478"/>
      <c r="J69" s="479">
        <f t="shared" si="12"/>
        <v>305</v>
      </c>
      <c r="K69" s="480">
        <f>'CORTE 4200'!$O$601</f>
        <v>-64</v>
      </c>
      <c r="L69" s="480"/>
      <c r="M69" s="481"/>
      <c r="N69" s="500"/>
      <c r="O69">
        <v>1423404</v>
      </c>
      <c r="P69" t="s">
        <v>270</v>
      </c>
      <c r="Q69" t="s">
        <v>264</v>
      </c>
      <c r="R69"/>
      <c r="S69">
        <v>30</v>
      </c>
      <c r="T69">
        <v>64</v>
      </c>
      <c r="U69">
        <v>70</v>
      </c>
      <c r="V69">
        <v>68</v>
      </c>
      <c r="W69">
        <v>42</v>
      </c>
      <c r="X69">
        <v>31</v>
      </c>
      <c r="Y69">
        <v>0</v>
      </c>
      <c r="Z69">
        <f t="shared" ref="Z69:Z97" si="18">SUM(S69:Y69)</f>
        <v>305</v>
      </c>
      <c r="AA69" s="500"/>
      <c r="AB69" s="74">
        <v>1423404</v>
      </c>
      <c r="AC69" s="74" t="s">
        <v>270</v>
      </c>
      <c r="AD69" s="74" t="s">
        <v>264</v>
      </c>
      <c r="AE69"/>
      <c r="AF69" s="74">
        <v>30</v>
      </c>
      <c r="AG69" s="74">
        <v>64</v>
      </c>
      <c r="AH69" s="74">
        <v>69</v>
      </c>
      <c r="AI69" s="74">
        <v>67</v>
      </c>
      <c r="AJ69" s="74">
        <v>41</v>
      </c>
      <c r="AK69" s="74">
        <v>31</v>
      </c>
      <c r="AL69" s="74">
        <v>0</v>
      </c>
      <c r="AM69" s="74">
        <f t="shared" si="16"/>
        <v>302</v>
      </c>
      <c r="AO69" s="74">
        <v>1423404</v>
      </c>
      <c r="AP69" s="74" t="s">
        <v>270</v>
      </c>
      <c r="AQ69" s="74" t="s">
        <v>264</v>
      </c>
      <c r="AR69" s="74"/>
      <c r="AS69" s="74">
        <v>30</v>
      </c>
      <c r="AT69" s="74">
        <v>64</v>
      </c>
      <c r="AU69" s="74">
        <v>69</v>
      </c>
      <c r="AV69" s="74">
        <v>67</v>
      </c>
      <c r="AW69" s="74">
        <v>41</v>
      </c>
      <c r="AX69" s="74">
        <v>31</v>
      </c>
      <c r="AY69" s="74">
        <v>0</v>
      </c>
      <c r="AZ69" s="74">
        <f t="shared" ref="AZ69:AZ97" si="19">SUM(AS69:AY69)</f>
        <v>302</v>
      </c>
      <c r="BB69" s="74">
        <v>1423404</v>
      </c>
      <c r="BC69" s="74" t="s">
        <v>270</v>
      </c>
      <c r="BD69" s="74" t="s">
        <v>264</v>
      </c>
      <c r="BE69" s="74"/>
      <c r="BF69" s="74">
        <v>29</v>
      </c>
      <c r="BG69" s="74">
        <v>62</v>
      </c>
      <c r="BH69" s="74">
        <v>66</v>
      </c>
      <c r="BI69" s="74">
        <v>65</v>
      </c>
      <c r="BJ69" s="74">
        <v>40</v>
      </c>
      <c r="BK69" s="74">
        <v>30</v>
      </c>
      <c r="BL69" s="74">
        <v>0</v>
      </c>
      <c r="BM69" s="74">
        <f t="shared" si="8"/>
        <v>292</v>
      </c>
      <c r="BO69" s="74">
        <v>1423404</v>
      </c>
      <c r="BP69" s="74" t="s">
        <v>270</v>
      </c>
      <c r="BQ69" s="74" t="s">
        <v>264</v>
      </c>
      <c r="BR69" s="74"/>
      <c r="BS69" s="74">
        <v>29</v>
      </c>
      <c r="BT69" s="74">
        <v>62</v>
      </c>
      <c r="BU69" s="74">
        <v>66</v>
      </c>
      <c r="BV69" s="74">
        <v>65</v>
      </c>
      <c r="BW69" s="74">
        <v>40</v>
      </c>
      <c r="BX69" s="74">
        <v>30</v>
      </c>
      <c r="BY69" s="74">
        <v>0</v>
      </c>
      <c r="BZ69" s="74">
        <f t="shared" si="7"/>
        <v>292</v>
      </c>
      <c r="CB69" s="74">
        <v>1423404</v>
      </c>
      <c r="CC69" s="74" t="s">
        <v>270</v>
      </c>
      <c r="CD69" s="74" t="s">
        <v>264</v>
      </c>
      <c r="CE69" s="74"/>
      <c r="CF69" s="74">
        <v>29</v>
      </c>
      <c r="CG69" s="74">
        <v>62</v>
      </c>
      <c r="CH69" s="74">
        <v>66</v>
      </c>
      <c r="CI69" s="74">
        <v>65</v>
      </c>
      <c r="CJ69" s="74">
        <v>40</v>
      </c>
      <c r="CK69" s="74">
        <v>30</v>
      </c>
      <c r="CL69" s="74">
        <v>0</v>
      </c>
      <c r="CM69" s="74">
        <f t="shared" si="17"/>
        <v>292</v>
      </c>
      <c r="CO69" s="74">
        <v>1423404</v>
      </c>
      <c r="CP69" s="74" t="s">
        <v>270</v>
      </c>
      <c r="CQ69" s="74" t="s">
        <v>264</v>
      </c>
      <c r="CR69" s="74"/>
      <c r="CS69" s="74">
        <v>28</v>
      </c>
      <c r="CT69" s="74">
        <v>59</v>
      </c>
      <c r="CU69" s="74">
        <v>63</v>
      </c>
      <c r="CV69" s="74">
        <v>62</v>
      </c>
      <c r="CW69" s="74">
        <v>38</v>
      </c>
      <c r="CX69" s="74">
        <v>29</v>
      </c>
      <c r="CY69" s="74">
        <v>0</v>
      </c>
      <c r="CZ69" s="74">
        <v>279</v>
      </c>
      <c r="DB69" s="74">
        <v>1423404</v>
      </c>
      <c r="DC69" s="74" t="s">
        <v>270</v>
      </c>
      <c r="DD69" s="74" t="s">
        <v>264</v>
      </c>
      <c r="DE69" s="74"/>
      <c r="DF69" s="74">
        <v>28</v>
      </c>
      <c r="DG69" s="74">
        <v>57</v>
      </c>
      <c r="DH69" s="74">
        <v>59</v>
      </c>
      <c r="DI69" s="74">
        <v>56</v>
      </c>
      <c r="DJ69" s="74">
        <v>34</v>
      </c>
      <c r="DK69" s="74">
        <v>27</v>
      </c>
      <c r="DL69" s="74">
        <v>0</v>
      </c>
      <c r="DM69" s="74">
        <v>261</v>
      </c>
      <c r="DO69" s="74">
        <v>1423404</v>
      </c>
      <c r="DP69" s="74" t="s">
        <v>270</v>
      </c>
      <c r="DQ69" s="74" t="s">
        <v>264</v>
      </c>
      <c r="DR69" s="74"/>
      <c r="DS69" s="74">
        <v>23</v>
      </c>
      <c r="DT69" s="74">
        <v>50</v>
      </c>
      <c r="DU69" s="74">
        <v>52</v>
      </c>
      <c r="DV69" s="74">
        <v>51</v>
      </c>
      <c r="DW69" s="74">
        <v>31</v>
      </c>
      <c r="DX69" s="74">
        <v>27</v>
      </c>
      <c r="DY69" s="74">
        <v>0</v>
      </c>
      <c r="DZ69" s="74">
        <v>234</v>
      </c>
      <c r="EA69" s="74"/>
      <c r="EB69" s="74">
        <v>1423408</v>
      </c>
      <c r="EC69" s="74" t="s">
        <v>270</v>
      </c>
      <c r="ED69" s="74" t="s">
        <v>264</v>
      </c>
      <c r="EE69" s="74"/>
      <c r="EF69" s="74">
        <v>33</v>
      </c>
      <c r="EG69" s="74">
        <v>55</v>
      </c>
      <c r="EH69" s="74">
        <v>57</v>
      </c>
      <c r="EI69" s="74">
        <v>54</v>
      </c>
      <c r="EJ69" s="74">
        <v>33</v>
      </c>
      <c r="EK69" s="74">
        <v>20</v>
      </c>
      <c r="EL69" s="74">
        <v>0</v>
      </c>
      <c r="EM69" s="74">
        <v>252</v>
      </c>
      <c r="EN69" s="74"/>
      <c r="EO69" s="74">
        <v>1423409</v>
      </c>
      <c r="EP69" s="74" t="s">
        <v>270</v>
      </c>
      <c r="EQ69" s="74" t="s">
        <v>264</v>
      </c>
      <c r="ER69" s="74"/>
      <c r="ES69" s="74">
        <v>2</v>
      </c>
      <c r="ET69" s="74">
        <v>5</v>
      </c>
      <c r="EU69" s="74">
        <v>5</v>
      </c>
      <c r="EV69" s="74">
        <v>5</v>
      </c>
      <c r="EW69" s="74">
        <v>4</v>
      </c>
      <c r="EX69" s="74">
        <v>2</v>
      </c>
      <c r="EY69" s="74">
        <v>0</v>
      </c>
      <c r="EZ69" s="74">
        <v>23</v>
      </c>
      <c r="FB69" s="74">
        <v>1423448</v>
      </c>
      <c r="FC69" s="74" t="s">
        <v>270</v>
      </c>
      <c r="FD69" s="74" t="s">
        <v>264</v>
      </c>
      <c r="FE69" s="74"/>
      <c r="FF69" s="74">
        <v>6</v>
      </c>
      <c r="FG69" s="74">
        <v>9</v>
      </c>
      <c r="FH69" s="74">
        <v>5</v>
      </c>
      <c r="FI69" s="74">
        <v>6</v>
      </c>
      <c r="FJ69" s="74">
        <v>4</v>
      </c>
      <c r="FK69" s="74">
        <v>2</v>
      </c>
      <c r="FL69" s="74">
        <v>0</v>
      </c>
      <c r="FM69" s="74">
        <v>32</v>
      </c>
      <c r="FO69" s="74">
        <v>1423500</v>
      </c>
      <c r="FP69" s="74" t="s">
        <v>263</v>
      </c>
      <c r="FQ69" s="74" t="s">
        <v>264</v>
      </c>
      <c r="FR69" s="74"/>
      <c r="FS69" s="74">
        <v>41</v>
      </c>
      <c r="FT69" s="74">
        <v>71</v>
      </c>
      <c r="FU69" s="74">
        <v>69</v>
      </c>
      <c r="FV69" s="74">
        <v>68</v>
      </c>
      <c r="FW69" s="74">
        <v>50</v>
      </c>
      <c r="FX69" s="74">
        <v>39</v>
      </c>
      <c r="FY69" s="74">
        <v>0</v>
      </c>
      <c r="FZ69" s="74">
        <v>338</v>
      </c>
      <c r="GB69" s="74">
        <v>1423500</v>
      </c>
      <c r="GC69" s="74" t="s">
        <v>263</v>
      </c>
      <c r="GD69" s="74" t="s">
        <v>264</v>
      </c>
      <c r="GE69" s="74"/>
      <c r="GF69" s="74">
        <v>28</v>
      </c>
      <c r="GG69" s="74">
        <v>39</v>
      </c>
      <c r="GH69" s="74">
        <v>37</v>
      </c>
      <c r="GI69" s="74">
        <v>36</v>
      </c>
      <c r="GJ69" s="74">
        <v>28</v>
      </c>
      <c r="GK69" s="74">
        <v>19</v>
      </c>
      <c r="GL69" s="74">
        <v>0</v>
      </c>
      <c r="GM69" s="74">
        <v>187</v>
      </c>
      <c r="GO69" s="74">
        <v>1423500</v>
      </c>
      <c r="GP69" s="74" t="s">
        <v>263</v>
      </c>
      <c r="GQ69" s="74" t="s">
        <v>264</v>
      </c>
      <c r="GR69" s="74"/>
      <c r="GS69" s="74">
        <v>26</v>
      </c>
      <c r="GT69" s="74">
        <v>37</v>
      </c>
      <c r="GU69" s="74">
        <v>34</v>
      </c>
      <c r="GV69" s="74">
        <v>33</v>
      </c>
      <c r="GW69" s="74">
        <v>26</v>
      </c>
      <c r="GX69" s="74">
        <v>17</v>
      </c>
      <c r="GY69" s="74">
        <v>0</v>
      </c>
      <c r="GZ69" s="74">
        <f t="shared" si="15"/>
        <v>173</v>
      </c>
    </row>
    <row r="70" spans="1:208">
      <c r="A70" s="495">
        <v>1423408</v>
      </c>
      <c r="B70" s="478" t="s">
        <v>161</v>
      </c>
      <c r="C70" s="478">
        <v>43</v>
      </c>
      <c r="D70" s="478">
        <v>70</v>
      </c>
      <c r="E70" s="478">
        <v>72</v>
      </c>
      <c r="F70" s="478">
        <v>67</v>
      </c>
      <c r="G70" s="478">
        <v>41</v>
      </c>
      <c r="H70" s="478">
        <v>23</v>
      </c>
      <c r="I70" s="478"/>
      <c r="J70" s="479">
        <f>SUM(C70:H70)</f>
        <v>316</v>
      </c>
      <c r="K70" s="480">
        <f>'CORTE 4200'!$O$610</f>
        <v>-103</v>
      </c>
      <c r="L70" s="480"/>
      <c r="M70" s="481"/>
      <c r="N70" s="500"/>
      <c r="O70">
        <v>1423408</v>
      </c>
      <c r="P70" t="s">
        <v>270</v>
      </c>
      <c r="Q70" t="s">
        <v>264</v>
      </c>
      <c r="R70"/>
      <c r="S70">
        <v>43</v>
      </c>
      <c r="T70">
        <v>70</v>
      </c>
      <c r="U70">
        <v>72</v>
      </c>
      <c r="V70">
        <v>67</v>
      </c>
      <c r="W70">
        <v>41</v>
      </c>
      <c r="X70">
        <v>23</v>
      </c>
      <c r="Y70">
        <v>0</v>
      </c>
      <c r="Z70">
        <f t="shared" si="18"/>
        <v>316</v>
      </c>
      <c r="AA70" s="500"/>
      <c r="AB70" s="74">
        <v>1423408</v>
      </c>
      <c r="AC70" s="74" t="s">
        <v>270</v>
      </c>
      <c r="AD70" s="74" t="s">
        <v>264</v>
      </c>
      <c r="AE70"/>
      <c r="AF70" s="74">
        <v>45</v>
      </c>
      <c r="AG70" s="74">
        <v>74</v>
      </c>
      <c r="AH70" s="74">
        <v>76</v>
      </c>
      <c r="AI70" s="74">
        <v>69</v>
      </c>
      <c r="AJ70" s="74">
        <v>42</v>
      </c>
      <c r="AK70" s="74">
        <v>23</v>
      </c>
      <c r="AL70" s="74">
        <v>0</v>
      </c>
      <c r="AM70" s="74">
        <f t="shared" si="16"/>
        <v>329</v>
      </c>
      <c r="AO70" s="74">
        <v>1423408</v>
      </c>
      <c r="AP70" s="74" t="s">
        <v>270</v>
      </c>
      <c r="AQ70" s="74" t="s">
        <v>264</v>
      </c>
      <c r="AR70" s="74"/>
      <c r="AS70" s="74">
        <v>45</v>
      </c>
      <c r="AT70" s="74">
        <v>74</v>
      </c>
      <c r="AU70" s="74">
        <v>76</v>
      </c>
      <c r="AV70" s="74">
        <v>69</v>
      </c>
      <c r="AW70" s="74">
        <v>42</v>
      </c>
      <c r="AX70" s="74">
        <v>23</v>
      </c>
      <c r="AY70" s="74">
        <v>0</v>
      </c>
      <c r="AZ70" s="74">
        <f t="shared" si="19"/>
        <v>329</v>
      </c>
      <c r="BB70" s="74">
        <v>1423408</v>
      </c>
      <c r="BC70" s="74" t="s">
        <v>270</v>
      </c>
      <c r="BD70" s="74" t="s">
        <v>264</v>
      </c>
      <c r="BE70" s="74"/>
      <c r="BF70" s="74">
        <v>45</v>
      </c>
      <c r="BG70" s="74">
        <v>74</v>
      </c>
      <c r="BH70" s="74">
        <v>76</v>
      </c>
      <c r="BI70" s="74">
        <v>69</v>
      </c>
      <c r="BJ70" s="74">
        <v>42</v>
      </c>
      <c r="BK70" s="74">
        <v>23</v>
      </c>
      <c r="BL70" s="74">
        <v>0</v>
      </c>
      <c r="BM70" s="74">
        <f t="shared" ref="BM70:BM96" si="20">SUM(BF70:BL70)</f>
        <v>329</v>
      </c>
      <c r="BO70" s="74">
        <v>1423408</v>
      </c>
      <c r="BP70" s="74" t="s">
        <v>270</v>
      </c>
      <c r="BQ70" s="74" t="s">
        <v>264</v>
      </c>
      <c r="BR70" s="74"/>
      <c r="BS70" s="74">
        <v>45</v>
      </c>
      <c r="BT70" s="74">
        <v>74</v>
      </c>
      <c r="BU70" s="74">
        <v>76</v>
      </c>
      <c r="BV70" s="74">
        <v>69</v>
      </c>
      <c r="BW70" s="74">
        <v>42</v>
      </c>
      <c r="BX70" s="74">
        <v>23</v>
      </c>
      <c r="BY70" s="74">
        <v>0</v>
      </c>
      <c r="BZ70" s="74">
        <f t="shared" ref="BZ70:BZ97" si="21">SUM(BS70:BY70)</f>
        <v>329</v>
      </c>
      <c r="CB70" s="74">
        <v>1423408</v>
      </c>
      <c r="CC70" s="74" t="s">
        <v>270</v>
      </c>
      <c r="CD70" s="74" t="s">
        <v>264</v>
      </c>
      <c r="CE70" s="74"/>
      <c r="CF70" s="74">
        <v>45</v>
      </c>
      <c r="CG70" s="74">
        <v>74</v>
      </c>
      <c r="CH70" s="74">
        <v>76</v>
      </c>
      <c r="CI70" s="74">
        <v>69</v>
      </c>
      <c r="CJ70" s="74">
        <v>42</v>
      </c>
      <c r="CK70" s="74">
        <v>23</v>
      </c>
      <c r="CL70" s="74">
        <v>0</v>
      </c>
      <c r="CM70" s="74">
        <f t="shared" si="17"/>
        <v>329</v>
      </c>
      <c r="CO70" s="74">
        <v>1423408</v>
      </c>
      <c r="CP70" s="74" t="s">
        <v>270</v>
      </c>
      <c r="CQ70" s="74" t="s">
        <v>264</v>
      </c>
      <c r="CR70" s="74"/>
      <c r="CS70" s="74">
        <v>45</v>
      </c>
      <c r="CT70" s="74">
        <v>74</v>
      </c>
      <c r="CU70" s="74">
        <v>76</v>
      </c>
      <c r="CV70" s="74">
        <v>69</v>
      </c>
      <c r="CW70" s="74">
        <v>42</v>
      </c>
      <c r="CX70" s="74">
        <v>23</v>
      </c>
      <c r="CY70" s="74">
        <v>0</v>
      </c>
      <c r="CZ70" s="74">
        <v>329</v>
      </c>
      <c r="DB70" s="74">
        <v>1423408</v>
      </c>
      <c r="DC70" s="74" t="s">
        <v>270</v>
      </c>
      <c r="DD70" s="74" t="s">
        <v>264</v>
      </c>
      <c r="DE70" s="74"/>
      <c r="DF70" s="74">
        <v>42</v>
      </c>
      <c r="DG70" s="74">
        <v>68</v>
      </c>
      <c r="DH70" s="74">
        <v>70</v>
      </c>
      <c r="DI70" s="74">
        <v>63</v>
      </c>
      <c r="DJ70" s="74">
        <v>38</v>
      </c>
      <c r="DK70" s="74">
        <v>20</v>
      </c>
      <c r="DL70" s="74">
        <v>0</v>
      </c>
      <c r="DM70" s="74">
        <v>301</v>
      </c>
      <c r="DO70" s="74">
        <v>1423408</v>
      </c>
      <c r="DP70" s="74" t="s">
        <v>270</v>
      </c>
      <c r="DQ70" s="74" t="s">
        <v>264</v>
      </c>
      <c r="DR70" s="74"/>
      <c r="DS70" s="74">
        <v>37</v>
      </c>
      <c r="DT70" s="74">
        <v>61</v>
      </c>
      <c r="DU70" s="74">
        <v>63</v>
      </c>
      <c r="DV70" s="74">
        <v>58</v>
      </c>
      <c r="DW70" s="74">
        <v>35</v>
      </c>
      <c r="DX70" s="74">
        <v>20</v>
      </c>
      <c r="DY70" s="74">
        <v>0</v>
      </c>
      <c r="DZ70" s="74">
        <v>274</v>
      </c>
      <c r="EA70" s="74"/>
      <c r="EB70" s="74">
        <v>1423409</v>
      </c>
      <c r="EC70" s="74" t="s">
        <v>270</v>
      </c>
      <c r="ED70" s="74" t="s">
        <v>264</v>
      </c>
      <c r="EE70" s="74"/>
      <c r="EF70" s="74">
        <v>4</v>
      </c>
      <c r="EG70" s="74">
        <v>8</v>
      </c>
      <c r="EH70" s="74">
        <v>8</v>
      </c>
      <c r="EI70" s="74">
        <v>8</v>
      </c>
      <c r="EJ70" s="74">
        <v>6</v>
      </c>
      <c r="EK70" s="74">
        <v>3</v>
      </c>
      <c r="EL70" s="74">
        <v>0</v>
      </c>
      <c r="EM70" s="74">
        <v>37</v>
      </c>
      <c r="EN70" s="74"/>
      <c r="EO70" s="74">
        <v>1423416</v>
      </c>
      <c r="EP70" s="74" t="s">
        <v>270</v>
      </c>
      <c r="EQ70" s="74" t="s">
        <v>264</v>
      </c>
      <c r="ER70" s="74"/>
      <c r="ES70" s="74">
        <v>9</v>
      </c>
      <c r="ET70" s="74">
        <v>15</v>
      </c>
      <c r="EU70" s="74">
        <v>15</v>
      </c>
      <c r="EV70" s="74">
        <v>14</v>
      </c>
      <c r="EW70" s="74">
        <v>10</v>
      </c>
      <c r="EX70" s="74">
        <v>5</v>
      </c>
      <c r="EY70" s="74">
        <v>0</v>
      </c>
      <c r="EZ70" s="74">
        <v>68</v>
      </c>
      <c r="FB70" s="74">
        <v>1423500</v>
      </c>
      <c r="FC70" s="74" t="s">
        <v>263</v>
      </c>
      <c r="FD70" s="74" t="s">
        <v>264</v>
      </c>
      <c r="FE70" s="74"/>
      <c r="FF70" s="74">
        <v>43</v>
      </c>
      <c r="FG70" s="74">
        <v>77</v>
      </c>
      <c r="FH70" s="74">
        <v>75</v>
      </c>
      <c r="FI70" s="74">
        <v>74</v>
      </c>
      <c r="FJ70" s="74">
        <v>54</v>
      </c>
      <c r="FK70" s="74">
        <v>43</v>
      </c>
      <c r="FL70" s="74">
        <v>0</v>
      </c>
      <c r="FM70" s="74">
        <v>366</v>
      </c>
      <c r="FO70" s="74">
        <v>1423501</v>
      </c>
      <c r="FP70" s="74" t="s">
        <v>263</v>
      </c>
      <c r="FQ70" s="74" t="s">
        <v>264</v>
      </c>
      <c r="FR70" s="74"/>
      <c r="FS70" s="74">
        <v>22</v>
      </c>
      <c r="FT70" s="74">
        <v>33</v>
      </c>
      <c r="FU70" s="74">
        <v>38</v>
      </c>
      <c r="FV70" s="74">
        <v>37</v>
      </c>
      <c r="FW70" s="74">
        <v>29</v>
      </c>
      <c r="FX70" s="74">
        <v>22</v>
      </c>
      <c r="FY70" s="74">
        <v>0</v>
      </c>
      <c r="FZ70" s="74">
        <v>181</v>
      </c>
      <c r="GB70" s="74">
        <v>1423501</v>
      </c>
      <c r="GC70" s="74" t="s">
        <v>263</v>
      </c>
      <c r="GD70" s="74" t="s">
        <v>264</v>
      </c>
      <c r="GE70" s="74"/>
      <c r="GF70" s="74">
        <v>21</v>
      </c>
      <c r="GG70" s="74">
        <v>27</v>
      </c>
      <c r="GH70" s="74">
        <v>32</v>
      </c>
      <c r="GI70" s="74">
        <v>31</v>
      </c>
      <c r="GJ70" s="74">
        <v>24</v>
      </c>
      <c r="GK70" s="74">
        <v>18</v>
      </c>
      <c r="GL70" s="74">
        <v>0</v>
      </c>
      <c r="GM70" s="74">
        <v>153</v>
      </c>
      <c r="GO70" s="74">
        <v>1423501</v>
      </c>
      <c r="GP70" s="74" t="s">
        <v>263</v>
      </c>
      <c r="GQ70" s="74" t="s">
        <v>264</v>
      </c>
      <c r="GR70" s="74"/>
      <c r="GS70" s="74">
        <v>18</v>
      </c>
      <c r="GT70" s="74">
        <v>22</v>
      </c>
      <c r="GU70" s="74">
        <v>25</v>
      </c>
      <c r="GV70" s="74">
        <v>25</v>
      </c>
      <c r="GW70" s="74">
        <v>20</v>
      </c>
      <c r="GX70" s="74">
        <v>15</v>
      </c>
      <c r="GY70" s="74">
        <v>0</v>
      </c>
      <c r="GZ70" s="74">
        <f t="shared" si="15"/>
        <v>125</v>
      </c>
    </row>
    <row r="71" spans="1:208">
      <c r="A71" s="495">
        <v>1423409</v>
      </c>
      <c r="B71" s="478" t="s">
        <v>161</v>
      </c>
      <c r="C71" s="478">
        <v>5</v>
      </c>
      <c r="D71" s="478">
        <v>11</v>
      </c>
      <c r="E71" s="478">
        <v>11</v>
      </c>
      <c r="F71" s="478">
        <v>12</v>
      </c>
      <c r="G71" s="478">
        <v>8</v>
      </c>
      <c r="H71" s="478">
        <v>4</v>
      </c>
      <c r="I71" s="478"/>
      <c r="J71" s="479">
        <f t="shared" si="11"/>
        <v>51</v>
      </c>
      <c r="K71" s="480">
        <f>'CORTE 4200'!$O$619</f>
        <v>-18</v>
      </c>
      <c r="L71" s="480"/>
      <c r="M71" s="481"/>
      <c r="N71" s="500"/>
      <c r="O71">
        <v>1423409</v>
      </c>
      <c r="P71" t="s">
        <v>270</v>
      </c>
      <c r="Q71" t="s">
        <v>264</v>
      </c>
      <c r="R71"/>
      <c r="S71">
        <v>5</v>
      </c>
      <c r="T71">
        <v>11</v>
      </c>
      <c r="U71">
        <v>11</v>
      </c>
      <c r="V71">
        <v>12</v>
      </c>
      <c r="W71">
        <v>8</v>
      </c>
      <c r="X71">
        <v>4</v>
      </c>
      <c r="Y71">
        <v>0</v>
      </c>
      <c r="Z71">
        <f t="shared" si="18"/>
        <v>51</v>
      </c>
      <c r="AA71" s="500"/>
      <c r="AB71" s="74">
        <v>1423409</v>
      </c>
      <c r="AC71" s="74" t="s">
        <v>270</v>
      </c>
      <c r="AD71" s="74" t="s">
        <v>264</v>
      </c>
      <c r="AE71"/>
      <c r="AF71" s="74">
        <v>5</v>
      </c>
      <c r="AG71" s="74">
        <v>11</v>
      </c>
      <c r="AH71" s="74">
        <v>11</v>
      </c>
      <c r="AI71" s="74">
        <v>12</v>
      </c>
      <c r="AJ71" s="74">
        <v>8</v>
      </c>
      <c r="AK71" s="74">
        <v>4</v>
      </c>
      <c r="AL71" s="74">
        <v>0</v>
      </c>
      <c r="AM71" s="74">
        <f t="shared" si="16"/>
        <v>51</v>
      </c>
      <c r="AO71" s="74">
        <v>1423409</v>
      </c>
      <c r="AP71" s="74" t="s">
        <v>270</v>
      </c>
      <c r="AQ71" s="74" t="s">
        <v>264</v>
      </c>
      <c r="AR71" s="74"/>
      <c r="AS71" s="74">
        <v>5</v>
      </c>
      <c r="AT71" s="74">
        <v>11</v>
      </c>
      <c r="AU71" s="74">
        <v>11</v>
      </c>
      <c r="AV71" s="74">
        <v>12</v>
      </c>
      <c r="AW71" s="74">
        <v>8</v>
      </c>
      <c r="AX71" s="74">
        <v>4</v>
      </c>
      <c r="AY71" s="74">
        <v>0</v>
      </c>
      <c r="AZ71" s="74">
        <f t="shared" si="19"/>
        <v>51</v>
      </c>
      <c r="BB71" s="74">
        <v>1423409</v>
      </c>
      <c r="BC71" s="74" t="s">
        <v>270</v>
      </c>
      <c r="BD71" s="74" t="s">
        <v>264</v>
      </c>
      <c r="BE71" s="74"/>
      <c r="BF71" s="74">
        <v>5</v>
      </c>
      <c r="BG71" s="74">
        <v>11</v>
      </c>
      <c r="BH71" s="74">
        <v>11</v>
      </c>
      <c r="BI71" s="74">
        <v>12</v>
      </c>
      <c r="BJ71" s="74">
        <v>8</v>
      </c>
      <c r="BK71" s="74">
        <v>4</v>
      </c>
      <c r="BL71" s="74">
        <v>0</v>
      </c>
      <c r="BM71" s="74">
        <f t="shared" si="20"/>
        <v>51</v>
      </c>
      <c r="BO71" s="74">
        <v>1423409</v>
      </c>
      <c r="BP71" s="74" t="s">
        <v>270</v>
      </c>
      <c r="BQ71" s="74" t="s">
        <v>264</v>
      </c>
      <c r="BR71" s="74"/>
      <c r="BS71" s="74">
        <v>5</v>
      </c>
      <c r="BT71" s="74">
        <v>11</v>
      </c>
      <c r="BU71" s="74">
        <v>11</v>
      </c>
      <c r="BV71" s="74">
        <v>12</v>
      </c>
      <c r="BW71" s="74">
        <v>8</v>
      </c>
      <c r="BX71" s="74">
        <v>4</v>
      </c>
      <c r="BY71" s="74">
        <v>0</v>
      </c>
      <c r="BZ71" s="74">
        <f t="shared" si="21"/>
        <v>51</v>
      </c>
      <c r="CB71" s="74">
        <v>1423409</v>
      </c>
      <c r="CC71" s="74" t="s">
        <v>270</v>
      </c>
      <c r="CD71" s="74" t="s">
        <v>264</v>
      </c>
      <c r="CE71" s="74"/>
      <c r="CF71" s="74">
        <v>5</v>
      </c>
      <c r="CG71" s="74">
        <v>11</v>
      </c>
      <c r="CH71" s="74">
        <v>11</v>
      </c>
      <c r="CI71" s="74">
        <v>12</v>
      </c>
      <c r="CJ71" s="74">
        <v>8</v>
      </c>
      <c r="CK71" s="74">
        <v>4</v>
      </c>
      <c r="CL71" s="74">
        <v>0</v>
      </c>
      <c r="CM71" s="74">
        <f t="shared" si="17"/>
        <v>51</v>
      </c>
      <c r="CO71" s="74">
        <v>1423409</v>
      </c>
      <c r="CP71" s="74" t="s">
        <v>270</v>
      </c>
      <c r="CQ71" s="74" t="s">
        <v>264</v>
      </c>
      <c r="CR71" s="74"/>
      <c r="CS71" s="74">
        <v>5</v>
      </c>
      <c r="CT71" s="74">
        <v>11</v>
      </c>
      <c r="CU71" s="74">
        <v>11</v>
      </c>
      <c r="CV71" s="74">
        <v>12</v>
      </c>
      <c r="CW71" s="74">
        <v>8</v>
      </c>
      <c r="CX71" s="74">
        <v>4</v>
      </c>
      <c r="CY71" s="74">
        <v>0</v>
      </c>
      <c r="CZ71" s="74">
        <v>51</v>
      </c>
      <c r="DB71" s="74">
        <v>1423409</v>
      </c>
      <c r="DC71" s="74" t="s">
        <v>270</v>
      </c>
      <c r="DD71" s="74" t="s">
        <v>264</v>
      </c>
      <c r="DE71" s="74"/>
      <c r="DF71" s="74">
        <v>4</v>
      </c>
      <c r="DG71" s="74">
        <v>8</v>
      </c>
      <c r="DH71" s="74">
        <v>8</v>
      </c>
      <c r="DI71" s="74">
        <v>8</v>
      </c>
      <c r="DJ71" s="74">
        <v>6</v>
      </c>
      <c r="DK71" s="74">
        <v>3</v>
      </c>
      <c r="DL71" s="74">
        <v>0</v>
      </c>
      <c r="DM71" s="74">
        <v>37</v>
      </c>
      <c r="DO71" s="74">
        <v>1423409</v>
      </c>
      <c r="DP71" s="74" t="s">
        <v>270</v>
      </c>
      <c r="DQ71" s="74" t="s">
        <v>264</v>
      </c>
      <c r="DR71" s="74"/>
      <c r="DS71" s="74">
        <v>4</v>
      </c>
      <c r="DT71" s="74">
        <v>8</v>
      </c>
      <c r="DU71" s="74">
        <v>8</v>
      </c>
      <c r="DV71" s="74">
        <v>8</v>
      </c>
      <c r="DW71" s="74">
        <v>6</v>
      </c>
      <c r="DX71" s="74">
        <v>3</v>
      </c>
      <c r="DY71" s="74">
        <v>0</v>
      </c>
      <c r="DZ71" s="74">
        <v>37</v>
      </c>
      <c r="EA71" s="74"/>
      <c r="EB71" s="74">
        <v>1423416</v>
      </c>
      <c r="EC71" s="74" t="s">
        <v>270</v>
      </c>
      <c r="ED71" s="74" t="s">
        <v>264</v>
      </c>
      <c r="EE71" s="74"/>
      <c r="EF71" s="74">
        <v>12</v>
      </c>
      <c r="EG71" s="74">
        <v>19</v>
      </c>
      <c r="EH71" s="74">
        <v>19</v>
      </c>
      <c r="EI71" s="74">
        <v>18</v>
      </c>
      <c r="EJ71" s="74">
        <v>13</v>
      </c>
      <c r="EK71" s="74">
        <v>6</v>
      </c>
      <c r="EL71" s="74">
        <v>0</v>
      </c>
      <c r="EM71" s="74">
        <v>87</v>
      </c>
      <c r="EN71" s="74"/>
      <c r="EO71" s="74">
        <v>1423448</v>
      </c>
      <c r="EP71" s="74" t="s">
        <v>270</v>
      </c>
      <c r="EQ71" s="74" t="s">
        <v>264</v>
      </c>
      <c r="ER71" s="74"/>
      <c r="ES71" s="74">
        <v>6</v>
      </c>
      <c r="ET71" s="74">
        <v>9</v>
      </c>
      <c r="EU71" s="74">
        <v>5</v>
      </c>
      <c r="EV71" s="74">
        <v>6</v>
      </c>
      <c r="EW71" s="74">
        <v>4</v>
      </c>
      <c r="EX71" s="74">
        <v>2</v>
      </c>
      <c r="EY71" s="74">
        <v>0</v>
      </c>
      <c r="EZ71" s="74">
        <v>32</v>
      </c>
      <c r="FB71" s="74">
        <v>1423501</v>
      </c>
      <c r="FC71" s="74" t="s">
        <v>263</v>
      </c>
      <c r="FD71" s="74" t="s">
        <v>264</v>
      </c>
      <c r="FE71" s="74"/>
      <c r="FF71" s="74">
        <v>22</v>
      </c>
      <c r="FG71" s="74">
        <v>33</v>
      </c>
      <c r="FH71" s="74">
        <v>38</v>
      </c>
      <c r="FI71" s="74">
        <v>37</v>
      </c>
      <c r="FJ71" s="74">
        <v>29</v>
      </c>
      <c r="FK71" s="74">
        <v>22</v>
      </c>
      <c r="FL71" s="74">
        <v>0</v>
      </c>
      <c r="FM71" s="74">
        <v>181</v>
      </c>
      <c r="FO71" s="74">
        <v>1423600</v>
      </c>
      <c r="FP71" s="74" t="s">
        <v>263</v>
      </c>
      <c r="FQ71" s="74" t="s">
        <v>264</v>
      </c>
      <c r="FR71" s="74"/>
      <c r="FS71" s="74">
        <v>16</v>
      </c>
      <c r="FT71" s="74">
        <v>38</v>
      </c>
      <c r="FU71" s="74">
        <v>40</v>
      </c>
      <c r="FV71" s="74">
        <v>38</v>
      </c>
      <c r="FW71" s="74">
        <v>25</v>
      </c>
      <c r="FX71" s="74">
        <v>21</v>
      </c>
      <c r="FY71" s="74">
        <v>0</v>
      </c>
      <c r="FZ71" s="74">
        <v>178</v>
      </c>
      <c r="GB71" s="74">
        <v>1423600</v>
      </c>
      <c r="GC71" s="74" t="s">
        <v>263</v>
      </c>
      <c r="GD71" s="74" t="s">
        <v>264</v>
      </c>
      <c r="GE71" s="74"/>
      <c r="GF71" s="74">
        <v>4</v>
      </c>
      <c r="GG71" s="74">
        <v>8</v>
      </c>
      <c r="GH71" s="74">
        <v>10</v>
      </c>
      <c r="GI71" s="74">
        <v>8</v>
      </c>
      <c r="GJ71" s="74">
        <v>5</v>
      </c>
      <c r="GK71" s="74">
        <v>4</v>
      </c>
      <c r="GL71" s="74">
        <v>0</v>
      </c>
      <c r="GM71" s="74">
        <v>39</v>
      </c>
      <c r="GO71" s="74">
        <v>1423600</v>
      </c>
      <c r="GP71" s="74" t="s">
        <v>263</v>
      </c>
      <c r="GQ71" s="74" t="s">
        <v>264</v>
      </c>
      <c r="GR71" s="74"/>
      <c r="GS71" s="74">
        <v>1</v>
      </c>
      <c r="GT71" s="74">
        <v>3</v>
      </c>
      <c r="GU71" s="74">
        <v>3</v>
      </c>
      <c r="GV71" s="74">
        <v>2</v>
      </c>
      <c r="GW71" s="74">
        <v>1</v>
      </c>
      <c r="GX71" s="74">
        <v>1</v>
      </c>
      <c r="GY71" s="74">
        <v>0</v>
      </c>
      <c r="GZ71" s="74">
        <f t="shared" si="15"/>
        <v>11</v>
      </c>
    </row>
    <row r="72" spans="1:208">
      <c r="A72" s="495">
        <v>1423416</v>
      </c>
      <c r="B72" s="478" t="s">
        <v>161</v>
      </c>
      <c r="C72" s="478">
        <v>23</v>
      </c>
      <c r="D72" s="478">
        <v>39</v>
      </c>
      <c r="E72" s="478">
        <v>43</v>
      </c>
      <c r="F72" s="478">
        <v>37</v>
      </c>
      <c r="G72" s="478">
        <v>22</v>
      </c>
      <c r="H72" s="478">
        <v>9</v>
      </c>
      <c r="I72" s="478"/>
      <c r="J72" s="479">
        <f t="shared" ref="J72" si="22">SUM(C72:H72)</f>
        <v>173</v>
      </c>
      <c r="K72" s="480">
        <f>'CORTE 4200'!$O$628</f>
        <v>-16</v>
      </c>
      <c r="L72" s="480"/>
      <c r="M72" s="481"/>
      <c r="N72" s="500"/>
      <c r="O72">
        <v>1423416</v>
      </c>
      <c r="P72" t="s">
        <v>270</v>
      </c>
      <c r="Q72" t="s">
        <v>264</v>
      </c>
      <c r="R72"/>
      <c r="S72">
        <v>23</v>
      </c>
      <c r="T72">
        <v>39</v>
      </c>
      <c r="U72">
        <v>43</v>
      </c>
      <c r="V72">
        <v>37</v>
      </c>
      <c r="W72">
        <v>22</v>
      </c>
      <c r="X72">
        <v>9</v>
      </c>
      <c r="Y72">
        <v>0</v>
      </c>
      <c r="Z72">
        <f t="shared" si="18"/>
        <v>173</v>
      </c>
      <c r="AA72" s="500"/>
      <c r="AB72" s="74">
        <v>1423416</v>
      </c>
      <c r="AC72" s="74" t="s">
        <v>270</v>
      </c>
      <c r="AD72" s="74" t="s">
        <v>264</v>
      </c>
      <c r="AE72"/>
      <c r="AF72" s="74">
        <v>23</v>
      </c>
      <c r="AG72" s="74">
        <v>39</v>
      </c>
      <c r="AH72" s="74">
        <v>43</v>
      </c>
      <c r="AI72" s="74">
        <v>37</v>
      </c>
      <c r="AJ72" s="74">
        <v>22</v>
      </c>
      <c r="AK72" s="74">
        <v>9</v>
      </c>
      <c r="AL72" s="74">
        <v>0</v>
      </c>
      <c r="AM72" s="74">
        <f t="shared" si="16"/>
        <v>173</v>
      </c>
      <c r="AO72" s="74">
        <v>1423416</v>
      </c>
      <c r="AP72" s="74" t="s">
        <v>270</v>
      </c>
      <c r="AQ72" s="74" t="s">
        <v>264</v>
      </c>
      <c r="AR72" s="74"/>
      <c r="AS72" s="74">
        <v>23</v>
      </c>
      <c r="AT72" s="74">
        <v>39</v>
      </c>
      <c r="AU72" s="74">
        <v>43</v>
      </c>
      <c r="AV72" s="74">
        <v>37</v>
      </c>
      <c r="AW72" s="74">
        <v>22</v>
      </c>
      <c r="AX72" s="74">
        <v>9</v>
      </c>
      <c r="AY72" s="74">
        <v>0</v>
      </c>
      <c r="AZ72" s="74">
        <f t="shared" si="19"/>
        <v>173</v>
      </c>
      <c r="BB72" s="74">
        <v>1423416</v>
      </c>
      <c r="BC72" s="74" t="s">
        <v>270</v>
      </c>
      <c r="BD72" s="74" t="s">
        <v>264</v>
      </c>
      <c r="BE72" s="74"/>
      <c r="BF72" s="74">
        <v>22</v>
      </c>
      <c r="BG72" s="74">
        <v>37</v>
      </c>
      <c r="BH72" s="74">
        <v>40</v>
      </c>
      <c r="BI72" s="74">
        <v>35</v>
      </c>
      <c r="BJ72" s="74">
        <v>21</v>
      </c>
      <c r="BK72" s="74">
        <v>8</v>
      </c>
      <c r="BL72" s="74">
        <v>0</v>
      </c>
      <c r="BM72" s="74">
        <f t="shared" si="20"/>
        <v>163</v>
      </c>
      <c r="BO72" s="74">
        <v>1423416</v>
      </c>
      <c r="BP72" s="74" t="s">
        <v>270</v>
      </c>
      <c r="BQ72" s="74" t="s">
        <v>264</v>
      </c>
      <c r="BR72" s="74"/>
      <c r="BS72" s="74">
        <v>22</v>
      </c>
      <c r="BT72" s="74">
        <v>37</v>
      </c>
      <c r="BU72" s="74">
        <v>40</v>
      </c>
      <c r="BV72" s="74">
        <v>35</v>
      </c>
      <c r="BW72" s="74">
        <v>21</v>
      </c>
      <c r="BX72" s="74">
        <v>8</v>
      </c>
      <c r="BY72" s="74">
        <v>0</v>
      </c>
      <c r="BZ72" s="74">
        <f t="shared" si="21"/>
        <v>163</v>
      </c>
      <c r="CB72" s="74">
        <v>1423416</v>
      </c>
      <c r="CC72" s="74" t="s">
        <v>270</v>
      </c>
      <c r="CD72" s="74" t="s">
        <v>264</v>
      </c>
      <c r="CE72" s="74"/>
      <c r="CF72" s="74">
        <v>21</v>
      </c>
      <c r="CG72" s="74">
        <v>35</v>
      </c>
      <c r="CH72" s="74">
        <v>38</v>
      </c>
      <c r="CI72" s="74">
        <v>33</v>
      </c>
      <c r="CJ72" s="74">
        <v>20</v>
      </c>
      <c r="CK72" s="74">
        <v>8</v>
      </c>
      <c r="CL72" s="74">
        <v>0</v>
      </c>
      <c r="CM72" s="74">
        <f t="shared" si="17"/>
        <v>155</v>
      </c>
      <c r="CO72" s="74">
        <v>1423416</v>
      </c>
      <c r="CP72" s="74" t="s">
        <v>270</v>
      </c>
      <c r="CQ72" s="74" t="s">
        <v>264</v>
      </c>
      <c r="CR72" s="74"/>
      <c r="CS72" s="74">
        <v>20</v>
      </c>
      <c r="CT72" s="74">
        <v>32</v>
      </c>
      <c r="CU72" s="74">
        <v>35</v>
      </c>
      <c r="CV72" s="74">
        <v>30</v>
      </c>
      <c r="CW72" s="74">
        <v>18</v>
      </c>
      <c r="CX72" s="74">
        <v>7</v>
      </c>
      <c r="CY72" s="74">
        <v>0</v>
      </c>
      <c r="CZ72" s="74">
        <v>142</v>
      </c>
      <c r="DB72" s="74">
        <v>1423416</v>
      </c>
      <c r="DC72" s="74" t="s">
        <v>270</v>
      </c>
      <c r="DD72" s="74" t="s">
        <v>264</v>
      </c>
      <c r="DE72" s="74"/>
      <c r="DF72" s="74">
        <v>20</v>
      </c>
      <c r="DG72" s="74">
        <v>32</v>
      </c>
      <c r="DH72" s="74">
        <v>35</v>
      </c>
      <c r="DI72" s="74">
        <v>30</v>
      </c>
      <c r="DJ72" s="74">
        <v>18</v>
      </c>
      <c r="DK72" s="74">
        <v>7</v>
      </c>
      <c r="DL72" s="74">
        <v>0</v>
      </c>
      <c r="DM72" s="74">
        <v>142</v>
      </c>
      <c r="DO72" s="74">
        <v>1423416</v>
      </c>
      <c r="DP72" s="74" t="s">
        <v>270</v>
      </c>
      <c r="DQ72" s="74" t="s">
        <v>264</v>
      </c>
      <c r="DR72" s="74"/>
      <c r="DS72" s="74">
        <v>12</v>
      </c>
      <c r="DT72" s="74">
        <v>19</v>
      </c>
      <c r="DU72" s="74">
        <v>19</v>
      </c>
      <c r="DV72" s="74">
        <v>18</v>
      </c>
      <c r="DW72" s="74">
        <v>13</v>
      </c>
      <c r="DX72" s="74">
        <v>6</v>
      </c>
      <c r="DY72" s="74">
        <v>0</v>
      </c>
      <c r="DZ72" s="74">
        <v>87</v>
      </c>
      <c r="EA72" s="74"/>
      <c r="EB72" s="74">
        <v>1423448</v>
      </c>
      <c r="EC72" s="74" t="s">
        <v>270</v>
      </c>
      <c r="ED72" s="74" t="s">
        <v>264</v>
      </c>
      <c r="EE72" s="74"/>
      <c r="EF72" s="74">
        <v>9</v>
      </c>
      <c r="EG72" s="74">
        <v>13</v>
      </c>
      <c r="EH72" s="74">
        <v>9</v>
      </c>
      <c r="EI72" s="74">
        <v>10</v>
      </c>
      <c r="EJ72" s="74">
        <v>7</v>
      </c>
      <c r="EK72" s="74">
        <v>3</v>
      </c>
      <c r="EL72" s="74">
        <v>0</v>
      </c>
      <c r="EM72" s="74">
        <v>51</v>
      </c>
      <c r="EN72" s="74"/>
      <c r="EO72" s="74">
        <v>1423500</v>
      </c>
      <c r="EP72" s="74" t="s">
        <v>263</v>
      </c>
      <c r="EQ72" s="74" t="s">
        <v>264</v>
      </c>
      <c r="ER72" s="74"/>
      <c r="ES72" s="74">
        <v>51</v>
      </c>
      <c r="ET72" s="74">
        <v>91</v>
      </c>
      <c r="EU72" s="74">
        <v>89</v>
      </c>
      <c r="EV72" s="74">
        <v>87</v>
      </c>
      <c r="EW72" s="74">
        <v>62</v>
      </c>
      <c r="EX72" s="74">
        <v>48</v>
      </c>
      <c r="EY72" s="74">
        <v>0</v>
      </c>
      <c r="EZ72" s="74">
        <v>428</v>
      </c>
      <c r="FB72" s="74">
        <v>1423600</v>
      </c>
      <c r="FC72" s="74" t="s">
        <v>263</v>
      </c>
      <c r="FD72" s="74" t="s">
        <v>264</v>
      </c>
      <c r="FE72" s="74"/>
      <c r="FF72" s="74">
        <v>18</v>
      </c>
      <c r="FG72" s="74">
        <v>44</v>
      </c>
      <c r="FH72" s="74">
        <v>46</v>
      </c>
      <c r="FI72" s="74">
        <v>44</v>
      </c>
      <c r="FJ72" s="74">
        <v>29</v>
      </c>
      <c r="FK72" s="74">
        <v>25</v>
      </c>
      <c r="FL72" s="74">
        <v>0</v>
      </c>
      <c r="FM72" s="74">
        <v>206</v>
      </c>
      <c r="FO72" s="74">
        <v>1423800</v>
      </c>
      <c r="FP72" s="74" t="s">
        <v>263</v>
      </c>
      <c r="FQ72" s="74" t="s">
        <v>264</v>
      </c>
      <c r="FR72" s="74"/>
      <c r="FS72" s="74">
        <v>7</v>
      </c>
      <c r="FT72" s="74">
        <v>16</v>
      </c>
      <c r="FU72" s="74">
        <v>16</v>
      </c>
      <c r="FV72" s="74">
        <v>16</v>
      </c>
      <c r="FW72" s="74">
        <v>11</v>
      </c>
      <c r="FX72" s="74">
        <v>9</v>
      </c>
      <c r="FY72" s="74">
        <v>0</v>
      </c>
      <c r="FZ72" s="74">
        <v>75</v>
      </c>
      <c r="GB72" s="74">
        <v>1423800</v>
      </c>
      <c r="GC72" s="74" t="s">
        <v>263</v>
      </c>
      <c r="GD72" s="74" t="s">
        <v>264</v>
      </c>
      <c r="GE72" s="74"/>
      <c r="GF72" s="74">
        <v>3</v>
      </c>
      <c r="GG72" s="74">
        <v>4</v>
      </c>
      <c r="GH72" s="74">
        <v>4</v>
      </c>
      <c r="GI72" s="74">
        <v>4</v>
      </c>
      <c r="GJ72" s="74">
        <v>3</v>
      </c>
      <c r="GK72" s="74">
        <v>1</v>
      </c>
      <c r="GL72" s="74">
        <v>0</v>
      </c>
      <c r="GM72" s="74">
        <v>19</v>
      </c>
      <c r="GO72" s="74">
        <v>1423800</v>
      </c>
      <c r="GP72" s="74" t="s">
        <v>263</v>
      </c>
      <c r="GQ72" s="74" t="s">
        <v>264</v>
      </c>
      <c r="GR72" s="74"/>
      <c r="GS72" s="74">
        <v>1</v>
      </c>
      <c r="GT72" s="74">
        <v>2</v>
      </c>
      <c r="GU72" s="74">
        <v>2</v>
      </c>
      <c r="GV72" s="74">
        <v>2</v>
      </c>
      <c r="GW72" s="74">
        <v>1</v>
      </c>
      <c r="GX72" s="74">
        <v>1</v>
      </c>
      <c r="GY72" s="74">
        <v>0</v>
      </c>
      <c r="GZ72" s="74">
        <f t="shared" si="15"/>
        <v>9</v>
      </c>
    </row>
    <row r="73" spans="1:208">
      <c r="A73" s="495">
        <v>1423448</v>
      </c>
      <c r="B73" s="478" t="s">
        <v>161</v>
      </c>
      <c r="C73" s="478">
        <v>10</v>
      </c>
      <c r="D73" s="478">
        <v>17</v>
      </c>
      <c r="E73" s="478">
        <v>17</v>
      </c>
      <c r="F73" s="478">
        <v>17</v>
      </c>
      <c r="G73" s="478">
        <v>11</v>
      </c>
      <c r="H73" s="478">
        <v>4</v>
      </c>
      <c r="I73" s="478"/>
      <c r="J73" s="479">
        <f>SUM(C73:H73)</f>
        <v>76</v>
      </c>
      <c r="K73" s="480">
        <f>'CORTE 4200'!$O$637</f>
        <v>-62</v>
      </c>
      <c r="L73" s="480"/>
      <c r="M73" s="481"/>
      <c r="N73" s="500"/>
      <c r="O73">
        <v>1423448</v>
      </c>
      <c r="P73" t="s">
        <v>270</v>
      </c>
      <c r="Q73" t="s">
        <v>264</v>
      </c>
      <c r="R73"/>
      <c r="S73">
        <v>10</v>
      </c>
      <c r="T73">
        <v>17</v>
      </c>
      <c r="U73">
        <v>17</v>
      </c>
      <c r="V73">
        <v>17</v>
      </c>
      <c r="W73">
        <v>11</v>
      </c>
      <c r="X73">
        <v>4</v>
      </c>
      <c r="Y73">
        <v>0</v>
      </c>
      <c r="Z73">
        <f t="shared" si="18"/>
        <v>76</v>
      </c>
      <c r="AA73" s="500"/>
      <c r="AB73" s="74">
        <v>1423448</v>
      </c>
      <c r="AC73" s="74" t="s">
        <v>270</v>
      </c>
      <c r="AD73" s="74" t="s">
        <v>264</v>
      </c>
      <c r="AE73"/>
      <c r="AF73" s="74">
        <v>12</v>
      </c>
      <c r="AG73" s="74">
        <v>21</v>
      </c>
      <c r="AH73" s="74">
        <v>21</v>
      </c>
      <c r="AI73" s="74">
        <v>19</v>
      </c>
      <c r="AJ73" s="74">
        <v>12</v>
      </c>
      <c r="AK73" s="74">
        <v>4</v>
      </c>
      <c r="AL73" s="74">
        <v>0</v>
      </c>
      <c r="AM73" s="74">
        <f t="shared" si="16"/>
        <v>89</v>
      </c>
      <c r="AO73" s="74">
        <v>1423448</v>
      </c>
      <c r="AP73" s="74" t="s">
        <v>270</v>
      </c>
      <c r="AQ73" s="74" t="s">
        <v>264</v>
      </c>
      <c r="AR73" s="74"/>
      <c r="AS73" s="74">
        <v>12</v>
      </c>
      <c r="AT73" s="74">
        <v>21</v>
      </c>
      <c r="AU73" s="74">
        <v>21</v>
      </c>
      <c r="AV73" s="74">
        <v>19</v>
      </c>
      <c r="AW73" s="74">
        <v>12</v>
      </c>
      <c r="AX73" s="74">
        <v>4</v>
      </c>
      <c r="AY73" s="74">
        <v>0</v>
      </c>
      <c r="AZ73" s="74">
        <f t="shared" si="19"/>
        <v>89</v>
      </c>
      <c r="BB73" s="74">
        <v>1423448</v>
      </c>
      <c r="BC73" s="74" t="s">
        <v>270</v>
      </c>
      <c r="BD73" s="74" t="s">
        <v>264</v>
      </c>
      <c r="BE73" s="74"/>
      <c r="BF73" s="74">
        <v>12</v>
      </c>
      <c r="BG73" s="74">
        <v>21</v>
      </c>
      <c r="BH73" s="74">
        <v>21</v>
      </c>
      <c r="BI73" s="74">
        <v>19</v>
      </c>
      <c r="BJ73" s="74">
        <v>12</v>
      </c>
      <c r="BK73" s="74">
        <v>4</v>
      </c>
      <c r="BL73" s="74">
        <v>0</v>
      </c>
      <c r="BM73" s="74">
        <f t="shared" si="20"/>
        <v>89</v>
      </c>
      <c r="BO73" s="74">
        <v>1423448</v>
      </c>
      <c r="BP73" s="74" t="s">
        <v>270</v>
      </c>
      <c r="BQ73" s="74" t="s">
        <v>264</v>
      </c>
      <c r="BR73" s="74"/>
      <c r="BS73" s="74">
        <v>15</v>
      </c>
      <c r="BT73" s="74">
        <v>25</v>
      </c>
      <c r="BU73" s="74">
        <v>21</v>
      </c>
      <c r="BV73" s="74">
        <v>21</v>
      </c>
      <c r="BW73" s="74">
        <v>14</v>
      </c>
      <c r="BX73" s="74">
        <v>5</v>
      </c>
      <c r="BY73" s="74">
        <v>0</v>
      </c>
      <c r="BZ73" s="74">
        <f t="shared" si="21"/>
        <v>101</v>
      </c>
      <c r="CB73" s="74">
        <v>1423448</v>
      </c>
      <c r="CC73" s="74" t="s">
        <v>270</v>
      </c>
      <c r="CD73" s="74" t="s">
        <v>264</v>
      </c>
      <c r="CE73" s="74"/>
      <c r="CF73" s="74">
        <v>15</v>
      </c>
      <c r="CG73" s="74">
        <v>25</v>
      </c>
      <c r="CH73" s="74">
        <v>21</v>
      </c>
      <c r="CI73" s="74">
        <v>21</v>
      </c>
      <c r="CJ73" s="74">
        <v>14</v>
      </c>
      <c r="CK73" s="74">
        <v>5</v>
      </c>
      <c r="CL73" s="74">
        <v>0</v>
      </c>
      <c r="CM73" s="74">
        <f t="shared" si="17"/>
        <v>101</v>
      </c>
      <c r="CO73" s="74">
        <v>1423448</v>
      </c>
      <c r="CP73" s="74" t="s">
        <v>270</v>
      </c>
      <c r="CQ73" s="74" t="s">
        <v>264</v>
      </c>
      <c r="CR73" s="74"/>
      <c r="CS73" s="74">
        <v>15</v>
      </c>
      <c r="CT73" s="74">
        <v>25</v>
      </c>
      <c r="CU73" s="74">
        <v>21</v>
      </c>
      <c r="CV73" s="74">
        <v>21</v>
      </c>
      <c r="CW73" s="74">
        <v>14</v>
      </c>
      <c r="CX73" s="74">
        <v>5</v>
      </c>
      <c r="CY73" s="74">
        <v>0</v>
      </c>
      <c r="CZ73" s="74">
        <v>101</v>
      </c>
      <c r="DB73" s="74">
        <v>1423448</v>
      </c>
      <c r="DC73" s="74" t="s">
        <v>270</v>
      </c>
      <c r="DD73" s="74" t="s">
        <v>264</v>
      </c>
      <c r="DE73" s="74"/>
      <c r="DF73" s="74">
        <v>14</v>
      </c>
      <c r="DG73" s="74">
        <v>21</v>
      </c>
      <c r="DH73" s="74">
        <v>17</v>
      </c>
      <c r="DI73" s="74">
        <v>15</v>
      </c>
      <c r="DJ73" s="74">
        <v>10</v>
      </c>
      <c r="DK73" s="74">
        <v>3</v>
      </c>
      <c r="DL73" s="74">
        <v>0</v>
      </c>
      <c r="DM73" s="74">
        <v>80</v>
      </c>
      <c r="DO73" s="74">
        <v>1423448</v>
      </c>
      <c r="DP73" s="74" t="s">
        <v>270</v>
      </c>
      <c r="DQ73" s="74" t="s">
        <v>264</v>
      </c>
      <c r="DR73" s="74"/>
      <c r="DS73" s="74">
        <v>11</v>
      </c>
      <c r="DT73" s="74">
        <v>17</v>
      </c>
      <c r="DU73" s="74">
        <v>13</v>
      </c>
      <c r="DV73" s="74">
        <v>12</v>
      </c>
      <c r="DW73" s="74">
        <v>8</v>
      </c>
      <c r="DX73" s="74">
        <v>3</v>
      </c>
      <c r="DY73" s="74">
        <v>0</v>
      </c>
      <c r="DZ73" s="74">
        <v>64</v>
      </c>
      <c r="EA73" s="74"/>
      <c r="EB73" s="74">
        <v>1423500</v>
      </c>
      <c r="EC73" s="74" t="s">
        <v>263</v>
      </c>
      <c r="ED73" s="74" t="s">
        <v>264</v>
      </c>
      <c r="EE73" s="74"/>
      <c r="EF73" s="74">
        <v>52</v>
      </c>
      <c r="EG73" s="74">
        <v>93</v>
      </c>
      <c r="EH73" s="74">
        <v>91</v>
      </c>
      <c r="EI73" s="74">
        <v>89</v>
      </c>
      <c r="EJ73" s="74">
        <v>63</v>
      </c>
      <c r="EK73" s="74">
        <v>49</v>
      </c>
      <c r="EL73" s="74">
        <v>0</v>
      </c>
      <c r="EM73" s="74">
        <v>437</v>
      </c>
      <c r="EN73" s="74"/>
      <c r="EO73" s="74">
        <v>1423501</v>
      </c>
      <c r="EP73" s="74" t="s">
        <v>263</v>
      </c>
      <c r="EQ73" s="74" t="s">
        <v>264</v>
      </c>
      <c r="ER73" s="74"/>
      <c r="ES73" s="74">
        <v>24</v>
      </c>
      <c r="ET73" s="74">
        <v>38</v>
      </c>
      <c r="EU73" s="74">
        <v>43</v>
      </c>
      <c r="EV73" s="74">
        <v>42</v>
      </c>
      <c r="EW73" s="74">
        <v>32</v>
      </c>
      <c r="EX73" s="74">
        <v>24</v>
      </c>
      <c r="EY73" s="74">
        <v>0</v>
      </c>
      <c r="EZ73" s="74">
        <v>203</v>
      </c>
      <c r="FB73" s="74">
        <v>1423800</v>
      </c>
      <c r="FC73" s="74" t="s">
        <v>263</v>
      </c>
      <c r="FD73" s="74" t="s">
        <v>264</v>
      </c>
      <c r="FE73" s="74"/>
      <c r="FF73" s="74">
        <v>7</v>
      </c>
      <c r="FG73" s="74">
        <v>16</v>
      </c>
      <c r="FH73" s="74">
        <v>16</v>
      </c>
      <c r="FI73" s="74">
        <v>16</v>
      </c>
      <c r="FJ73" s="74">
        <v>11</v>
      </c>
      <c r="FK73" s="74">
        <v>9</v>
      </c>
      <c r="FL73" s="74">
        <v>0</v>
      </c>
      <c r="FM73" s="74">
        <v>75</v>
      </c>
      <c r="FO73" s="74">
        <v>1423900</v>
      </c>
      <c r="FP73" s="74" t="s">
        <v>270</v>
      </c>
      <c r="FQ73" s="74" t="s">
        <v>264</v>
      </c>
      <c r="FR73" s="74"/>
      <c r="FS73" s="74">
        <v>38</v>
      </c>
      <c r="FT73" s="74">
        <v>83</v>
      </c>
      <c r="FU73" s="74">
        <v>83</v>
      </c>
      <c r="FV73" s="74">
        <v>78</v>
      </c>
      <c r="FW73" s="74">
        <v>52</v>
      </c>
      <c r="FX73" s="74">
        <v>46</v>
      </c>
      <c r="FY73" s="74">
        <v>0</v>
      </c>
      <c r="FZ73" s="74">
        <v>380</v>
      </c>
      <c r="GB73" s="74">
        <v>1423900</v>
      </c>
      <c r="GC73" s="74" t="s">
        <v>270</v>
      </c>
      <c r="GD73" s="74" t="s">
        <v>264</v>
      </c>
      <c r="GE73" s="74"/>
      <c r="GF73" s="74">
        <v>12</v>
      </c>
      <c r="GG73" s="74">
        <v>16</v>
      </c>
      <c r="GH73" s="74">
        <v>13</v>
      </c>
      <c r="GI73" s="74">
        <v>12</v>
      </c>
      <c r="GJ73" s="74">
        <v>8</v>
      </c>
      <c r="GK73" s="74">
        <v>6</v>
      </c>
      <c r="GL73" s="74">
        <v>0</v>
      </c>
      <c r="GM73" s="74">
        <v>67</v>
      </c>
      <c r="GO73" s="74">
        <v>1423900</v>
      </c>
      <c r="GP73" s="74" t="s">
        <v>270</v>
      </c>
      <c r="GQ73" s="74" t="s">
        <v>264</v>
      </c>
      <c r="GR73" s="74"/>
      <c r="GS73" s="74">
        <v>10</v>
      </c>
      <c r="GT73" s="74">
        <v>14</v>
      </c>
      <c r="GU73" s="74">
        <v>10</v>
      </c>
      <c r="GV73" s="74">
        <v>9</v>
      </c>
      <c r="GW73" s="74">
        <v>6</v>
      </c>
      <c r="GX73" s="74">
        <v>4</v>
      </c>
      <c r="GY73" s="74">
        <v>0</v>
      </c>
      <c r="GZ73" s="74">
        <f t="shared" si="15"/>
        <v>53</v>
      </c>
    </row>
    <row r="74" spans="1:208">
      <c r="A74" s="478">
        <v>1423500</v>
      </c>
      <c r="B74" s="478" t="s">
        <v>11</v>
      </c>
      <c r="C74" s="478">
        <v>68</v>
      </c>
      <c r="D74" s="478">
        <v>123</v>
      </c>
      <c r="E74" s="478">
        <v>126</v>
      </c>
      <c r="F74" s="478">
        <v>121</v>
      </c>
      <c r="G74" s="478">
        <v>80</v>
      </c>
      <c r="H74" s="478">
        <v>57</v>
      </c>
      <c r="I74" s="478"/>
      <c r="J74" s="479">
        <f t="shared" ref="J74:J88" si="23">SUM(C74:H74)</f>
        <v>575</v>
      </c>
      <c r="K74" s="480">
        <f>'CORTE 4200'!$O$646</f>
        <v>-268</v>
      </c>
      <c r="L74" s="480">
        <v>50</v>
      </c>
      <c r="M74" s="481"/>
      <c r="N74" s="500"/>
      <c r="O74">
        <v>1423500</v>
      </c>
      <c r="P74" t="s">
        <v>263</v>
      </c>
      <c r="Q74" t="s">
        <v>264</v>
      </c>
      <c r="R74"/>
      <c r="S74">
        <v>68</v>
      </c>
      <c r="T74">
        <v>123</v>
      </c>
      <c r="U74">
        <v>126</v>
      </c>
      <c r="V74">
        <v>121</v>
      </c>
      <c r="W74">
        <v>80</v>
      </c>
      <c r="X74">
        <v>57</v>
      </c>
      <c r="Y74">
        <v>0</v>
      </c>
      <c r="Z74">
        <f t="shared" si="18"/>
        <v>575</v>
      </c>
      <c r="AA74" s="500"/>
      <c r="AB74" s="74">
        <v>1423500</v>
      </c>
      <c r="AC74" s="74" t="s">
        <v>263</v>
      </c>
      <c r="AD74" s="74" t="s">
        <v>264</v>
      </c>
      <c r="AE74"/>
      <c r="AF74" s="74">
        <v>71</v>
      </c>
      <c r="AG74" s="74">
        <v>129</v>
      </c>
      <c r="AH74" s="74">
        <v>131</v>
      </c>
      <c r="AI74" s="74">
        <v>124</v>
      </c>
      <c r="AJ74" s="74">
        <v>81</v>
      </c>
      <c r="AK74" s="74">
        <v>57</v>
      </c>
      <c r="AL74" s="74">
        <v>0</v>
      </c>
      <c r="AM74" s="74">
        <f t="shared" si="16"/>
        <v>593</v>
      </c>
      <c r="AO74" s="74">
        <v>1423500</v>
      </c>
      <c r="AP74" s="74" t="s">
        <v>263</v>
      </c>
      <c r="AQ74" s="74" t="s">
        <v>264</v>
      </c>
      <c r="AR74" s="74"/>
      <c r="AS74" s="74">
        <v>71</v>
      </c>
      <c r="AT74" s="74">
        <v>129</v>
      </c>
      <c r="AU74" s="74">
        <v>131</v>
      </c>
      <c r="AV74" s="74">
        <v>124</v>
      </c>
      <c r="AW74" s="74">
        <v>81</v>
      </c>
      <c r="AX74" s="74">
        <v>57</v>
      </c>
      <c r="AY74" s="74">
        <v>0</v>
      </c>
      <c r="AZ74" s="74">
        <f t="shared" si="19"/>
        <v>593</v>
      </c>
      <c r="BB74" s="74">
        <v>1423500</v>
      </c>
      <c r="BC74" s="74" t="s">
        <v>263</v>
      </c>
      <c r="BD74" s="74" t="s">
        <v>264</v>
      </c>
      <c r="BE74" s="74"/>
      <c r="BF74" s="74">
        <v>63</v>
      </c>
      <c r="BG74" s="74">
        <v>117</v>
      </c>
      <c r="BH74" s="74">
        <v>119</v>
      </c>
      <c r="BI74" s="74">
        <v>112</v>
      </c>
      <c r="BJ74" s="74">
        <v>78</v>
      </c>
      <c r="BK74" s="74">
        <v>54</v>
      </c>
      <c r="BL74" s="74">
        <v>0</v>
      </c>
      <c r="BM74" s="74">
        <f t="shared" si="20"/>
        <v>543</v>
      </c>
      <c r="BO74" s="74">
        <v>1423500</v>
      </c>
      <c r="BP74" s="74" t="s">
        <v>263</v>
      </c>
      <c r="BQ74" s="74" t="s">
        <v>264</v>
      </c>
      <c r="BR74" s="74"/>
      <c r="BS74" s="74">
        <v>63</v>
      </c>
      <c r="BT74" s="74">
        <v>117</v>
      </c>
      <c r="BU74" s="74">
        <v>117</v>
      </c>
      <c r="BV74" s="74">
        <v>112</v>
      </c>
      <c r="BW74" s="74">
        <v>79</v>
      </c>
      <c r="BX74" s="74">
        <v>55</v>
      </c>
      <c r="BY74" s="74">
        <v>0</v>
      </c>
      <c r="BZ74" s="74">
        <f t="shared" si="21"/>
        <v>543</v>
      </c>
      <c r="CB74" s="74">
        <v>1423500</v>
      </c>
      <c r="CC74" s="74" t="s">
        <v>263</v>
      </c>
      <c r="CD74" s="74" t="s">
        <v>264</v>
      </c>
      <c r="CE74" s="74"/>
      <c r="CF74" s="74">
        <v>63</v>
      </c>
      <c r="CG74" s="74">
        <v>117</v>
      </c>
      <c r="CH74" s="74">
        <v>117</v>
      </c>
      <c r="CI74" s="74">
        <v>112</v>
      </c>
      <c r="CJ74" s="74">
        <v>79</v>
      </c>
      <c r="CK74" s="74">
        <v>55</v>
      </c>
      <c r="CL74" s="74">
        <v>0</v>
      </c>
      <c r="CM74" s="74">
        <f t="shared" si="17"/>
        <v>543</v>
      </c>
      <c r="CO74" s="74">
        <v>1423500</v>
      </c>
      <c r="CP74" s="74" t="s">
        <v>263</v>
      </c>
      <c r="CQ74" s="74" t="s">
        <v>264</v>
      </c>
      <c r="CR74" s="74"/>
      <c r="CS74" s="74">
        <v>63</v>
      </c>
      <c r="CT74" s="74">
        <v>116</v>
      </c>
      <c r="CU74" s="74">
        <v>116</v>
      </c>
      <c r="CV74" s="74">
        <v>111</v>
      </c>
      <c r="CW74" s="74">
        <v>78</v>
      </c>
      <c r="CX74" s="74">
        <v>55</v>
      </c>
      <c r="CY74" s="74">
        <v>0</v>
      </c>
      <c r="CZ74" s="74">
        <v>539</v>
      </c>
      <c r="DB74" s="74">
        <v>1423500</v>
      </c>
      <c r="DC74" s="74" t="s">
        <v>263</v>
      </c>
      <c r="DD74" s="74" t="s">
        <v>264</v>
      </c>
      <c r="DE74" s="74"/>
      <c r="DF74" s="74">
        <v>60</v>
      </c>
      <c r="DG74" s="74">
        <v>111</v>
      </c>
      <c r="DH74" s="74">
        <v>111</v>
      </c>
      <c r="DI74" s="74">
        <v>106</v>
      </c>
      <c r="DJ74" s="74">
        <v>74</v>
      </c>
      <c r="DK74" s="74">
        <v>55</v>
      </c>
      <c r="DL74" s="74">
        <v>0</v>
      </c>
      <c r="DM74" s="74">
        <v>517</v>
      </c>
      <c r="DO74" s="74">
        <v>1423500</v>
      </c>
      <c r="DP74" s="74" t="s">
        <v>263</v>
      </c>
      <c r="DQ74" s="74" t="s">
        <v>264</v>
      </c>
      <c r="DR74" s="74"/>
      <c r="DS74" s="74">
        <v>58</v>
      </c>
      <c r="DT74" s="74">
        <v>105</v>
      </c>
      <c r="DU74" s="74">
        <v>101</v>
      </c>
      <c r="DV74" s="74">
        <v>97</v>
      </c>
      <c r="DW74" s="74">
        <v>68</v>
      </c>
      <c r="DX74" s="74">
        <v>52</v>
      </c>
      <c r="DY74" s="74">
        <v>0</v>
      </c>
      <c r="DZ74" s="74">
        <v>481</v>
      </c>
      <c r="EA74" s="74"/>
      <c r="EB74" s="74">
        <v>1423501</v>
      </c>
      <c r="EC74" s="74" t="s">
        <v>263</v>
      </c>
      <c r="ED74" s="74" t="s">
        <v>264</v>
      </c>
      <c r="EE74" s="74"/>
      <c r="EF74" s="74">
        <v>24</v>
      </c>
      <c r="EG74" s="74">
        <v>38</v>
      </c>
      <c r="EH74" s="74">
        <v>43</v>
      </c>
      <c r="EI74" s="74">
        <v>42</v>
      </c>
      <c r="EJ74" s="74">
        <v>32</v>
      </c>
      <c r="EK74" s="74">
        <v>24</v>
      </c>
      <c r="EL74" s="74">
        <v>0</v>
      </c>
      <c r="EM74" s="74">
        <v>203</v>
      </c>
      <c r="EN74" s="74"/>
      <c r="EO74" s="74">
        <v>1423600</v>
      </c>
      <c r="EP74" s="74" t="s">
        <v>263</v>
      </c>
      <c r="EQ74" s="74" t="s">
        <v>264</v>
      </c>
      <c r="ER74" s="74"/>
      <c r="ES74" s="74">
        <v>22</v>
      </c>
      <c r="ET74" s="74">
        <v>49</v>
      </c>
      <c r="EU74" s="74">
        <v>51</v>
      </c>
      <c r="EV74" s="74">
        <v>48</v>
      </c>
      <c r="EW74" s="74">
        <v>33</v>
      </c>
      <c r="EX74" s="74">
        <v>28</v>
      </c>
      <c r="EY74" s="74">
        <v>0</v>
      </c>
      <c r="EZ74" s="74">
        <v>231</v>
      </c>
      <c r="FB74" s="74">
        <v>1423900</v>
      </c>
      <c r="FC74" s="74" t="s">
        <v>270</v>
      </c>
      <c r="FD74" s="74" t="s">
        <v>264</v>
      </c>
      <c r="FE74" s="74"/>
      <c r="FF74" s="74">
        <v>40</v>
      </c>
      <c r="FG74" s="74">
        <v>89</v>
      </c>
      <c r="FH74" s="74">
        <v>89</v>
      </c>
      <c r="FI74" s="74">
        <v>84</v>
      </c>
      <c r="FJ74" s="74">
        <v>56</v>
      </c>
      <c r="FK74" s="74">
        <v>50</v>
      </c>
      <c r="FL74" s="74">
        <v>0</v>
      </c>
      <c r="FM74" s="74">
        <v>408</v>
      </c>
      <c r="FO74" s="74">
        <v>1424000</v>
      </c>
      <c r="FP74" s="74" t="s">
        <v>263</v>
      </c>
      <c r="FQ74" s="74" t="s">
        <v>264</v>
      </c>
      <c r="FR74" s="74"/>
      <c r="FS74" s="74">
        <v>33</v>
      </c>
      <c r="FT74" s="74">
        <v>80</v>
      </c>
      <c r="FU74" s="74">
        <v>81</v>
      </c>
      <c r="FV74" s="74">
        <v>80</v>
      </c>
      <c r="FW74" s="74">
        <v>55</v>
      </c>
      <c r="FX74" s="74">
        <v>54</v>
      </c>
      <c r="FY74" s="74">
        <v>0</v>
      </c>
      <c r="FZ74" s="74">
        <v>383</v>
      </c>
      <c r="GB74" s="74">
        <v>1424000</v>
      </c>
      <c r="GC74" s="74" t="s">
        <v>263</v>
      </c>
      <c r="GD74" s="74" t="s">
        <v>264</v>
      </c>
      <c r="GE74" s="74"/>
      <c r="GF74" s="74">
        <v>6</v>
      </c>
      <c r="GG74" s="74">
        <v>8</v>
      </c>
      <c r="GH74" s="74">
        <v>9</v>
      </c>
      <c r="GI74" s="74">
        <v>8</v>
      </c>
      <c r="GJ74" s="74">
        <v>6</v>
      </c>
      <c r="GK74" s="74">
        <v>6</v>
      </c>
      <c r="GL74" s="74">
        <v>0</v>
      </c>
      <c r="GM74" s="74">
        <v>43</v>
      </c>
      <c r="GO74" s="74">
        <v>1424000</v>
      </c>
      <c r="GP74" s="74" t="s">
        <v>263</v>
      </c>
      <c r="GQ74" s="74" t="s">
        <v>264</v>
      </c>
      <c r="GR74" s="74"/>
      <c r="GS74" s="74">
        <v>4</v>
      </c>
      <c r="GT74" s="74">
        <v>6</v>
      </c>
      <c r="GU74" s="74">
        <v>6</v>
      </c>
      <c r="GV74" s="74">
        <v>5</v>
      </c>
      <c r="GW74" s="74">
        <v>4</v>
      </c>
      <c r="GX74" s="74">
        <v>4</v>
      </c>
      <c r="GY74" s="74">
        <v>0</v>
      </c>
      <c r="GZ74" s="74">
        <f t="shared" si="15"/>
        <v>29</v>
      </c>
    </row>
    <row r="75" spans="1:208">
      <c r="A75" s="478">
        <v>1423501</v>
      </c>
      <c r="B75" s="478" t="s">
        <v>11</v>
      </c>
      <c r="C75" s="478">
        <v>27</v>
      </c>
      <c r="D75" s="478">
        <v>46</v>
      </c>
      <c r="E75" s="478">
        <v>51</v>
      </c>
      <c r="F75" s="478">
        <v>49</v>
      </c>
      <c r="G75" s="478">
        <v>37</v>
      </c>
      <c r="H75" s="478">
        <v>27</v>
      </c>
      <c r="I75" s="478"/>
      <c r="J75" s="479">
        <f t="shared" si="23"/>
        <v>237</v>
      </c>
      <c r="K75" s="480">
        <f>'CORTE 4200'!$O$655</f>
        <v>-22</v>
      </c>
      <c r="L75" s="480"/>
      <c r="M75" s="481"/>
      <c r="N75" s="500"/>
      <c r="O75">
        <v>1423501</v>
      </c>
      <c r="P75" t="s">
        <v>263</v>
      </c>
      <c r="Q75" t="s">
        <v>264</v>
      </c>
      <c r="R75"/>
      <c r="S75">
        <v>27</v>
      </c>
      <c r="T75">
        <v>46</v>
      </c>
      <c r="U75">
        <v>51</v>
      </c>
      <c r="V75">
        <v>49</v>
      </c>
      <c r="W75">
        <v>37</v>
      </c>
      <c r="X75">
        <v>27</v>
      </c>
      <c r="Y75">
        <v>0</v>
      </c>
      <c r="Z75">
        <f t="shared" si="18"/>
        <v>237</v>
      </c>
      <c r="AA75" s="500"/>
      <c r="AB75" s="74">
        <v>1423501</v>
      </c>
      <c r="AC75" s="74" t="s">
        <v>263</v>
      </c>
      <c r="AD75" s="74" t="s">
        <v>264</v>
      </c>
      <c r="AE75"/>
      <c r="AF75" s="74">
        <v>27</v>
      </c>
      <c r="AG75" s="74">
        <v>44</v>
      </c>
      <c r="AH75" s="74">
        <v>49</v>
      </c>
      <c r="AI75" s="74">
        <v>48</v>
      </c>
      <c r="AJ75" s="74">
        <v>36</v>
      </c>
      <c r="AK75" s="74">
        <v>26</v>
      </c>
      <c r="AL75" s="74">
        <v>0</v>
      </c>
      <c r="AM75" s="74">
        <f t="shared" si="16"/>
        <v>230</v>
      </c>
      <c r="AO75" s="74">
        <v>1423501</v>
      </c>
      <c r="AP75" s="74" t="s">
        <v>263</v>
      </c>
      <c r="AQ75" s="74" t="s">
        <v>264</v>
      </c>
      <c r="AR75" s="74"/>
      <c r="AS75" s="74">
        <v>27</v>
      </c>
      <c r="AT75" s="74">
        <v>44</v>
      </c>
      <c r="AU75" s="74">
        <v>49</v>
      </c>
      <c r="AV75" s="74">
        <v>48</v>
      </c>
      <c r="AW75" s="74">
        <v>36</v>
      </c>
      <c r="AX75" s="74">
        <v>26</v>
      </c>
      <c r="AY75" s="74">
        <v>0</v>
      </c>
      <c r="AZ75" s="74">
        <f t="shared" si="19"/>
        <v>230</v>
      </c>
      <c r="BB75" s="74">
        <v>1423501</v>
      </c>
      <c r="BC75" s="74" t="s">
        <v>263</v>
      </c>
      <c r="BD75" s="74" t="s">
        <v>264</v>
      </c>
      <c r="BE75" s="74"/>
      <c r="BF75" s="74">
        <v>27</v>
      </c>
      <c r="BG75" s="74">
        <v>44</v>
      </c>
      <c r="BH75" s="74">
        <v>49</v>
      </c>
      <c r="BI75" s="74">
        <v>48</v>
      </c>
      <c r="BJ75" s="74">
        <v>36</v>
      </c>
      <c r="BK75" s="74">
        <v>26</v>
      </c>
      <c r="BL75" s="74">
        <v>0</v>
      </c>
      <c r="BM75" s="74">
        <f t="shared" si="20"/>
        <v>230</v>
      </c>
      <c r="BO75" s="74">
        <v>1423501</v>
      </c>
      <c r="BP75" s="74" t="s">
        <v>263</v>
      </c>
      <c r="BQ75" s="74" t="s">
        <v>264</v>
      </c>
      <c r="BR75" s="74"/>
      <c r="BS75" s="74">
        <v>27</v>
      </c>
      <c r="BT75" s="74">
        <v>44</v>
      </c>
      <c r="BU75" s="74">
        <v>49</v>
      </c>
      <c r="BV75" s="74">
        <v>48</v>
      </c>
      <c r="BW75" s="74">
        <v>36</v>
      </c>
      <c r="BX75" s="74">
        <v>26</v>
      </c>
      <c r="BY75" s="74">
        <v>0</v>
      </c>
      <c r="BZ75" s="74">
        <f t="shared" si="21"/>
        <v>230</v>
      </c>
      <c r="CB75" s="74">
        <v>1423501</v>
      </c>
      <c r="CC75" s="74" t="s">
        <v>263</v>
      </c>
      <c r="CD75" s="74" t="s">
        <v>264</v>
      </c>
      <c r="CE75" s="74"/>
      <c r="CF75" s="74">
        <v>27</v>
      </c>
      <c r="CG75" s="74">
        <v>44</v>
      </c>
      <c r="CH75" s="74">
        <v>49</v>
      </c>
      <c r="CI75" s="74">
        <v>48</v>
      </c>
      <c r="CJ75" s="74">
        <v>36</v>
      </c>
      <c r="CK75" s="74">
        <v>26</v>
      </c>
      <c r="CL75" s="74">
        <v>0</v>
      </c>
      <c r="CM75" s="74">
        <f t="shared" si="17"/>
        <v>230</v>
      </c>
      <c r="CO75" s="74">
        <v>1423501</v>
      </c>
      <c r="CP75" s="74" t="s">
        <v>263</v>
      </c>
      <c r="CQ75" s="74" t="s">
        <v>264</v>
      </c>
      <c r="CR75" s="74"/>
      <c r="CS75" s="74">
        <v>26</v>
      </c>
      <c r="CT75" s="74">
        <v>41</v>
      </c>
      <c r="CU75" s="74">
        <v>46</v>
      </c>
      <c r="CV75" s="74">
        <v>45</v>
      </c>
      <c r="CW75" s="74">
        <v>34</v>
      </c>
      <c r="CX75" s="74">
        <v>25</v>
      </c>
      <c r="CY75" s="74">
        <v>0</v>
      </c>
      <c r="CZ75" s="74">
        <v>217</v>
      </c>
      <c r="DB75" s="74">
        <v>1423501</v>
      </c>
      <c r="DC75" s="74" t="s">
        <v>263</v>
      </c>
      <c r="DD75" s="74" t="s">
        <v>264</v>
      </c>
      <c r="DE75" s="74"/>
      <c r="DF75" s="74">
        <v>26</v>
      </c>
      <c r="DG75" s="74">
        <v>41</v>
      </c>
      <c r="DH75" s="74">
        <v>46</v>
      </c>
      <c r="DI75" s="74">
        <v>45</v>
      </c>
      <c r="DJ75" s="74">
        <v>34</v>
      </c>
      <c r="DK75" s="74">
        <v>25</v>
      </c>
      <c r="DL75" s="74">
        <v>0</v>
      </c>
      <c r="DM75" s="74">
        <v>217</v>
      </c>
      <c r="DO75" s="74">
        <v>1423501</v>
      </c>
      <c r="DP75" s="74" t="s">
        <v>263</v>
      </c>
      <c r="DQ75" s="74" t="s">
        <v>264</v>
      </c>
      <c r="DR75" s="74"/>
      <c r="DS75" s="74">
        <v>26</v>
      </c>
      <c r="DT75" s="74">
        <v>41</v>
      </c>
      <c r="DU75" s="74">
        <v>46</v>
      </c>
      <c r="DV75" s="74">
        <v>45</v>
      </c>
      <c r="DW75" s="74">
        <v>34</v>
      </c>
      <c r="DX75" s="74">
        <v>25</v>
      </c>
      <c r="DY75" s="74">
        <v>0</v>
      </c>
      <c r="DZ75" s="74">
        <v>217</v>
      </c>
      <c r="EA75" s="74"/>
      <c r="EB75" s="74">
        <v>1423600</v>
      </c>
      <c r="EC75" s="74" t="s">
        <v>263</v>
      </c>
      <c r="ED75" s="74" t="s">
        <v>264</v>
      </c>
      <c r="EE75" s="74"/>
      <c r="EF75" s="74">
        <v>22</v>
      </c>
      <c r="EG75" s="74">
        <v>49</v>
      </c>
      <c r="EH75" s="74">
        <v>51</v>
      </c>
      <c r="EI75" s="74">
        <v>48</v>
      </c>
      <c r="EJ75" s="74">
        <v>33</v>
      </c>
      <c r="EK75" s="74">
        <v>28</v>
      </c>
      <c r="EL75" s="74">
        <v>0</v>
      </c>
      <c r="EM75" s="74">
        <v>231</v>
      </c>
      <c r="EN75" s="74"/>
      <c r="EO75" s="74">
        <v>1423800</v>
      </c>
      <c r="EP75" s="74" t="s">
        <v>263</v>
      </c>
      <c r="EQ75" s="74" t="s">
        <v>264</v>
      </c>
      <c r="ER75" s="74"/>
      <c r="ES75" s="74">
        <v>7</v>
      </c>
      <c r="ET75" s="74">
        <v>18</v>
      </c>
      <c r="EU75" s="74">
        <v>18</v>
      </c>
      <c r="EV75" s="74">
        <v>17</v>
      </c>
      <c r="EW75" s="74">
        <v>11</v>
      </c>
      <c r="EX75" s="74">
        <v>9</v>
      </c>
      <c r="EY75" s="74">
        <v>0</v>
      </c>
      <c r="EZ75" s="74">
        <v>80</v>
      </c>
      <c r="FB75" s="74">
        <v>1424000</v>
      </c>
      <c r="FC75" s="74" t="s">
        <v>263</v>
      </c>
      <c r="FD75" s="74" t="s">
        <v>264</v>
      </c>
      <c r="FE75" s="74"/>
      <c r="FF75" s="74">
        <v>35</v>
      </c>
      <c r="FG75" s="74">
        <v>86</v>
      </c>
      <c r="FH75" s="74">
        <v>87</v>
      </c>
      <c r="FI75" s="74">
        <v>86</v>
      </c>
      <c r="FJ75" s="74">
        <v>59</v>
      </c>
      <c r="FK75" s="74">
        <v>58</v>
      </c>
      <c r="FL75" s="74">
        <v>0</v>
      </c>
      <c r="FM75" s="74">
        <v>411</v>
      </c>
      <c r="FO75" s="74">
        <v>1424200</v>
      </c>
      <c r="FP75" s="74" t="s">
        <v>263</v>
      </c>
      <c r="FQ75" s="74" t="s">
        <v>264</v>
      </c>
      <c r="FR75" s="74"/>
      <c r="FS75" s="74">
        <v>5</v>
      </c>
      <c r="FT75" s="74">
        <v>14</v>
      </c>
      <c r="FU75" s="74">
        <v>18</v>
      </c>
      <c r="FV75" s="74">
        <v>16</v>
      </c>
      <c r="FW75" s="74">
        <v>13</v>
      </c>
      <c r="FX75" s="74">
        <v>7</v>
      </c>
      <c r="FY75" s="74">
        <v>0</v>
      </c>
      <c r="FZ75" s="74">
        <v>73</v>
      </c>
      <c r="GB75" s="74">
        <v>1424200</v>
      </c>
      <c r="GC75" s="74" t="s">
        <v>263</v>
      </c>
      <c r="GD75" s="74" t="s">
        <v>264</v>
      </c>
      <c r="GE75" s="74"/>
      <c r="GF75" s="74">
        <v>5</v>
      </c>
      <c r="GG75" s="74">
        <v>11</v>
      </c>
      <c r="GH75" s="74">
        <v>15</v>
      </c>
      <c r="GI75" s="74">
        <v>14</v>
      </c>
      <c r="GJ75" s="74">
        <v>11</v>
      </c>
      <c r="GK75" s="74">
        <v>6</v>
      </c>
      <c r="GL75" s="74">
        <v>0</v>
      </c>
      <c r="GM75" s="74">
        <v>62</v>
      </c>
      <c r="GO75" s="74">
        <v>1424200</v>
      </c>
      <c r="GP75" s="74" t="s">
        <v>263</v>
      </c>
      <c r="GQ75" s="74" t="s">
        <v>264</v>
      </c>
      <c r="GR75" s="74"/>
      <c r="GS75" s="74">
        <v>3</v>
      </c>
      <c r="GT75" s="74">
        <v>9</v>
      </c>
      <c r="GU75" s="74">
        <v>13</v>
      </c>
      <c r="GV75" s="74">
        <v>12</v>
      </c>
      <c r="GW75" s="74">
        <v>9</v>
      </c>
      <c r="GX75" s="74">
        <v>6</v>
      </c>
      <c r="GY75" s="74">
        <v>0</v>
      </c>
      <c r="GZ75" s="74">
        <f t="shared" si="15"/>
        <v>52</v>
      </c>
    </row>
    <row r="76" spans="1:208">
      <c r="A76" s="478">
        <v>1423600</v>
      </c>
      <c r="B76" s="478" t="s">
        <v>85</v>
      </c>
      <c r="C76" s="478">
        <v>39</v>
      </c>
      <c r="D76" s="478">
        <v>79</v>
      </c>
      <c r="E76" s="478">
        <v>82</v>
      </c>
      <c r="F76" s="478">
        <v>74</v>
      </c>
      <c r="G76" s="478">
        <v>51</v>
      </c>
      <c r="H76" s="478">
        <v>36</v>
      </c>
      <c r="I76" s="478"/>
      <c r="J76" s="479">
        <f t="shared" si="23"/>
        <v>361</v>
      </c>
      <c r="K76" s="480">
        <f>'CORTE 4200'!$O$664</f>
        <v>-137</v>
      </c>
      <c r="L76" s="480"/>
      <c r="M76" s="481"/>
      <c r="N76" s="500"/>
      <c r="O76">
        <v>1423600</v>
      </c>
      <c r="P76" t="s">
        <v>263</v>
      </c>
      <c r="Q76" t="s">
        <v>264</v>
      </c>
      <c r="R76"/>
      <c r="S76">
        <v>39</v>
      </c>
      <c r="T76">
        <v>79</v>
      </c>
      <c r="U76">
        <v>82</v>
      </c>
      <c r="V76">
        <v>74</v>
      </c>
      <c r="W76">
        <v>51</v>
      </c>
      <c r="X76">
        <v>36</v>
      </c>
      <c r="Y76">
        <v>0</v>
      </c>
      <c r="Z76">
        <f t="shared" si="18"/>
        <v>361</v>
      </c>
      <c r="AA76" s="500"/>
      <c r="AB76" s="74">
        <v>1423600</v>
      </c>
      <c r="AC76" s="74" t="s">
        <v>263</v>
      </c>
      <c r="AD76" s="74" t="s">
        <v>264</v>
      </c>
      <c r="AE76"/>
      <c r="AF76" s="74">
        <v>42</v>
      </c>
      <c r="AG76" s="74">
        <v>85</v>
      </c>
      <c r="AH76" s="74">
        <v>87</v>
      </c>
      <c r="AI76" s="74">
        <v>77</v>
      </c>
      <c r="AJ76" s="74">
        <v>52</v>
      </c>
      <c r="AK76" s="74">
        <v>36</v>
      </c>
      <c r="AL76" s="74">
        <v>0</v>
      </c>
      <c r="AM76" s="74">
        <f t="shared" si="16"/>
        <v>379</v>
      </c>
      <c r="AO76" s="74">
        <v>1423600</v>
      </c>
      <c r="AP76" s="74" t="s">
        <v>263</v>
      </c>
      <c r="AQ76" s="74" t="s">
        <v>264</v>
      </c>
      <c r="AR76" s="74"/>
      <c r="AS76" s="74">
        <v>40</v>
      </c>
      <c r="AT76" s="74">
        <v>81</v>
      </c>
      <c r="AU76" s="74">
        <v>83</v>
      </c>
      <c r="AV76" s="74">
        <v>73</v>
      </c>
      <c r="AW76" s="74">
        <v>48</v>
      </c>
      <c r="AX76" s="74">
        <v>32</v>
      </c>
      <c r="AY76" s="74">
        <v>0</v>
      </c>
      <c r="AZ76" s="74">
        <f t="shared" si="19"/>
        <v>357</v>
      </c>
      <c r="BB76" s="74">
        <v>1423600</v>
      </c>
      <c r="BC76" s="74" t="s">
        <v>263</v>
      </c>
      <c r="BD76" s="74" t="s">
        <v>264</v>
      </c>
      <c r="BE76" s="74"/>
      <c r="BF76" s="74">
        <v>40</v>
      </c>
      <c r="BG76" s="74">
        <v>81</v>
      </c>
      <c r="BH76" s="74">
        <v>83</v>
      </c>
      <c r="BI76" s="74">
        <v>73</v>
      </c>
      <c r="BJ76" s="74">
        <v>48</v>
      </c>
      <c r="BK76" s="74">
        <v>32</v>
      </c>
      <c r="BL76" s="74">
        <v>0</v>
      </c>
      <c r="BM76" s="74">
        <f t="shared" si="20"/>
        <v>357</v>
      </c>
      <c r="BO76" s="74">
        <v>1423600</v>
      </c>
      <c r="BP76" s="74" t="s">
        <v>263</v>
      </c>
      <c r="BQ76" s="74" t="s">
        <v>264</v>
      </c>
      <c r="BR76" s="74"/>
      <c r="BS76" s="74">
        <v>40</v>
      </c>
      <c r="BT76" s="74">
        <v>81</v>
      </c>
      <c r="BU76" s="74">
        <v>83</v>
      </c>
      <c r="BV76" s="74">
        <v>73</v>
      </c>
      <c r="BW76" s="74">
        <v>48</v>
      </c>
      <c r="BX76" s="74">
        <v>32</v>
      </c>
      <c r="BY76" s="74">
        <v>0</v>
      </c>
      <c r="BZ76" s="74">
        <f t="shared" si="21"/>
        <v>357</v>
      </c>
      <c r="CB76" s="74">
        <v>1423600</v>
      </c>
      <c r="CC76" s="74" t="s">
        <v>263</v>
      </c>
      <c r="CD76" s="74" t="s">
        <v>264</v>
      </c>
      <c r="CE76" s="74"/>
      <c r="CF76" s="74">
        <v>40</v>
      </c>
      <c r="CG76" s="74">
        <v>81</v>
      </c>
      <c r="CH76" s="74">
        <v>83</v>
      </c>
      <c r="CI76" s="74">
        <v>73</v>
      </c>
      <c r="CJ76" s="74">
        <v>48</v>
      </c>
      <c r="CK76" s="74">
        <v>32</v>
      </c>
      <c r="CL76" s="74">
        <v>0</v>
      </c>
      <c r="CM76" s="74">
        <f t="shared" si="17"/>
        <v>357</v>
      </c>
      <c r="CO76" s="74">
        <v>1423600</v>
      </c>
      <c r="CP76" s="74" t="s">
        <v>263</v>
      </c>
      <c r="CQ76" s="74" t="s">
        <v>264</v>
      </c>
      <c r="CR76" s="74"/>
      <c r="CS76" s="74">
        <v>39</v>
      </c>
      <c r="CT76" s="74">
        <v>78</v>
      </c>
      <c r="CU76" s="74">
        <v>79</v>
      </c>
      <c r="CV76" s="74">
        <v>70</v>
      </c>
      <c r="CW76" s="74">
        <v>45</v>
      </c>
      <c r="CX76" s="74">
        <v>32</v>
      </c>
      <c r="CY76" s="74">
        <v>0</v>
      </c>
      <c r="CZ76" s="74">
        <v>343</v>
      </c>
      <c r="DB76" s="74">
        <v>1423600</v>
      </c>
      <c r="DC76" s="74" t="s">
        <v>263</v>
      </c>
      <c r="DD76" s="74" t="s">
        <v>264</v>
      </c>
      <c r="DE76" s="74"/>
      <c r="DF76" s="74">
        <v>33</v>
      </c>
      <c r="DG76" s="74">
        <v>67</v>
      </c>
      <c r="DH76" s="74">
        <v>68</v>
      </c>
      <c r="DI76" s="74">
        <v>59</v>
      </c>
      <c r="DJ76" s="74">
        <v>37</v>
      </c>
      <c r="DK76" s="74">
        <v>28</v>
      </c>
      <c r="DL76" s="74">
        <v>0</v>
      </c>
      <c r="DM76" s="74">
        <v>292</v>
      </c>
      <c r="DO76" s="74">
        <v>1423600</v>
      </c>
      <c r="DP76" s="74" t="s">
        <v>263</v>
      </c>
      <c r="DQ76" s="74" t="s">
        <v>264</v>
      </c>
      <c r="DR76" s="74"/>
      <c r="DS76" s="74">
        <v>25</v>
      </c>
      <c r="DT76" s="74">
        <v>55</v>
      </c>
      <c r="DU76" s="74">
        <v>56</v>
      </c>
      <c r="DV76" s="74">
        <v>51</v>
      </c>
      <c r="DW76" s="74">
        <v>34</v>
      </c>
      <c r="DX76" s="74">
        <v>28</v>
      </c>
      <c r="DY76" s="74">
        <v>0</v>
      </c>
      <c r="DZ76" s="74">
        <v>249</v>
      </c>
      <c r="EA76" s="74"/>
      <c r="EB76" s="74">
        <v>1423800</v>
      </c>
      <c r="EC76" s="74" t="s">
        <v>263</v>
      </c>
      <c r="ED76" s="74" t="s">
        <v>264</v>
      </c>
      <c r="EE76" s="74"/>
      <c r="EF76" s="74">
        <v>9</v>
      </c>
      <c r="EG76" s="74">
        <v>21</v>
      </c>
      <c r="EH76" s="74">
        <v>21</v>
      </c>
      <c r="EI76" s="74">
        <v>20</v>
      </c>
      <c r="EJ76" s="74">
        <v>13</v>
      </c>
      <c r="EK76" s="74">
        <v>10</v>
      </c>
      <c r="EL76" s="74">
        <v>0</v>
      </c>
      <c r="EM76" s="74">
        <v>94</v>
      </c>
      <c r="EN76" s="74"/>
      <c r="EO76" s="74">
        <v>1423900</v>
      </c>
      <c r="EP76" s="74" t="s">
        <v>270</v>
      </c>
      <c r="EQ76" s="74" t="s">
        <v>264</v>
      </c>
      <c r="ER76" s="74"/>
      <c r="ES76" s="74">
        <v>44</v>
      </c>
      <c r="ET76" s="74">
        <v>96</v>
      </c>
      <c r="EU76" s="74">
        <v>96</v>
      </c>
      <c r="EV76" s="74">
        <v>91</v>
      </c>
      <c r="EW76" s="74">
        <v>62</v>
      </c>
      <c r="EX76" s="74">
        <v>54</v>
      </c>
      <c r="EY76" s="74">
        <v>0</v>
      </c>
      <c r="EZ76" s="74">
        <v>443</v>
      </c>
      <c r="FB76" s="74">
        <v>1424200</v>
      </c>
      <c r="FC76" s="74" t="s">
        <v>263</v>
      </c>
      <c r="FD76" s="74" t="s">
        <v>264</v>
      </c>
      <c r="FE76" s="74"/>
      <c r="FF76" s="74">
        <v>5</v>
      </c>
      <c r="FG76" s="74">
        <v>14</v>
      </c>
      <c r="FH76" s="74">
        <v>18</v>
      </c>
      <c r="FI76" s="74">
        <v>16</v>
      </c>
      <c r="FJ76" s="74">
        <v>13</v>
      </c>
      <c r="FK76" s="74">
        <v>7</v>
      </c>
      <c r="FL76" s="74">
        <v>0</v>
      </c>
      <c r="FM76" s="74">
        <v>73</v>
      </c>
      <c r="FO76" s="74">
        <v>1424300</v>
      </c>
      <c r="FP76" s="74" t="s">
        <v>263</v>
      </c>
      <c r="FQ76" s="74" t="s">
        <v>264</v>
      </c>
      <c r="FR76" s="74"/>
      <c r="FS76" s="74">
        <v>26</v>
      </c>
      <c r="FT76" s="74">
        <v>47</v>
      </c>
      <c r="FU76" s="74">
        <v>51</v>
      </c>
      <c r="FV76" s="74">
        <v>51</v>
      </c>
      <c r="FW76" s="74">
        <v>38</v>
      </c>
      <c r="FX76" s="74">
        <v>31</v>
      </c>
      <c r="FY76" s="74">
        <v>0</v>
      </c>
      <c r="FZ76" s="74">
        <v>244</v>
      </c>
      <c r="GB76" s="74">
        <v>1424300</v>
      </c>
      <c r="GC76" s="74" t="s">
        <v>263</v>
      </c>
      <c r="GD76" s="74" t="s">
        <v>264</v>
      </c>
      <c r="GE76" s="74"/>
      <c r="GF76" s="74">
        <v>16</v>
      </c>
      <c r="GG76" s="74">
        <v>20</v>
      </c>
      <c r="GH76" s="74">
        <v>23</v>
      </c>
      <c r="GI76" s="74">
        <v>23</v>
      </c>
      <c r="GJ76" s="74">
        <v>18</v>
      </c>
      <c r="GK76" s="74">
        <v>13</v>
      </c>
      <c r="GL76" s="74">
        <v>0</v>
      </c>
      <c r="GM76" s="74">
        <v>113</v>
      </c>
      <c r="GO76" s="74">
        <v>1424300</v>
      </c>
      <c r="GP76" s="74" t="s">
        <v>263</v>
      </c>
      <c r="GQ76" s="74" t="s">
        <v>264</v>
      </c>
      <c r="GR76" s="74"/>
      <c r="GS76" s="74">
        <v>16</v>
      </c>
      <c r="GT76" s="74">
        <v>20</v>
      </c>
      <c r="GU76" s="74">
        <v>23</v>
      </c>
      <c r="GV76" s="74">
        <v>23</v>
      </c>
      <c r="GW76" s="74">
        <v>18</v>
      </c>
      <c r="GX76" s="74">
        <v>13</v>
      </c>
      <c r="GY76" s="74">
        <v>0</v>
      </c>
      <c r="GZ76" s="74">
        <f t="shared" si="15"/>
        <v>113</v>
      </c>
    </row>
    <row r="77" spans="1:208">
      <c r="A77" s="478">
        <v>1423800</v>
      </c>
      <c r="B77" s="478" t="s">
        <v>184</v>
      </c>
      <c r="C77" s="478">
        <v>13</v>
      </c>
      <c r="D77" s="478">
        <v>32</v>
      </c>
      <c r="E77" s="478">
        <v>36</v>
      </c>
      <c r="F77" s="478">
        <v>30</v>
      </c>
      <c r="G77" s="478">
        <v>21</v>
      </c>
      <c r="H77" s="478">
        <v>16</v>
      </c>
      <c r="I77" s="478"/>
      <c r="J77" s="479">
        <f t="shared" ref="J77:J82" si="24">SUM(C77:H77)</f>
        <v>148</v>
      </c>
      <c r="K77" s="480">
        <f>'CORTE 4200'!$O$673</f>
        <v>-10</v>
      </c>
      <c r="L77" s="480"/>
      <c r="M77" s="481" t="s">
        <v>242</v>
      </c>
      <c r="N77" s="500"/>
      <c r="O77">
        <v>1423800</v>
      </c>
      <c r="P77" t="s">
        <v>263</v>
      </c>
      <c r="Q77" t="s">
        <v>264</v>
      </c>
      <c r="R77"/>
      <c r="S77">
        <v>13</v>
      </c>
      <c r="T77">
        <v>32</v>
      </c>
      <c r="U77">
        <v>36</v>
      </c>
      <c r="V77">
        <v>30</v>
      </c>
      <c r="W77">
        <v>21</v>
      </c>
      <c r="X77">
        <v>16</v>
      </c>
      <c r="Y77">
        <v>0</v>
      </c>
      <c r="Z77">
        <f t="shared" si="18"/>
        <v>148</v>
      </c>
      <c r="AA77" s="500"/>
      <c r="AB77" s="74">
        <v>1423800</v>
      </c>
      <c r="AC77" s="74" t="s">
        <v>263</v>
      </c>
      <c r="AD77" s="74" t="s">
        <v>264</v>
      </c>
      <c r="AE77"/>
      <c r="AF77" s="74">
        <v>13</v>
      </c>
      <c r="AG77" s="74">
        <v>31</v>
      </c>
      <c r="AH77" s="74">
        <v>35</v>
      </c>
      <c r="AI77" s="74">
        <v>30</v>
      </c>
      <c r="AJ77" s="74">
        <v>21</v>
      </c>
      <c r="AK77" s="74">
        <v>16</v>
      </c>
      <c r="AL77" s="74">
        <v>0</v>
      </c>
      <c r="AM77" s="74">
        <f t="shared" si="16"/>
        <v>146</v>
      </c>
      <c r="AO77" s="74">
        <v>1423800</v>
      </c>
      <c r="AP77" s="74" t="s">
        <v>263</v>
      </c>
      <c r="AQ77" s="74" t="s">
        <v>264</v>
      </c>
      <c r="AR77" s="74"/>
      <c r="AS77" s="74">
        <v>13</v>
      </c>
      <c r="AT77" s="74">
        <v>29</v>
      </c>
      <c r="AU77" s="74">
        <v>33</v>
      </c>
      <c r="AV77" s="74">
        <v>28</v>
      </c>
      <c r="AW77" s="74">
        <v>19</v>
      </c>
      <c r="AX77" s="74">
        <v>14</v>
      </c>
      <c r="AY77" s="74">
        <v>0</v>
      </c>
      <c r="AZ77" s="74">
        <f t="shared" si="19"/>
        <v>136</v>
      </c>
      <c r="BB77" s="74">
        <v>1423800</v>
      </c>
      <c r="BC77" s="74" t="s">
        <v>263</v>
      </c>
      <c r="BD77" s="74" t="s">
        <v>264</v>
      </c>
      <c r="BE77" s="74"/>
      <c r="BF77" s="74">
        <v>13</v>
      </c>
      <c r="BG77" s="74">
        <v>29</v>
      </c>
      <c r="BH77" s="74">
        <v>33</v>
      </c>
      <c r="BI77" s="74">
        <v>28</v>
      </c>
      <c r="BJ77" s="74">
        <v>19</v>
      </c>
      <c r="BK77" s="74">
        <v>14</v>
      </c>
      <c r="BL77" s="74">
        <v>0</v>
      </c>
      <c r="BM77" s="74">
        <f t="shared" si="20"/>
        <v>136</v>
      </c>
      <c r="BO77" s="74">
        <v>1423800</v>
      </c>
      <c r="BP77" s="74" t="s">
        <v>263</v>
      </c>
      <c r="BQ77" s="74" t="s">
        <v>264</v>
      </c>
      <c r="BR77" s="74"/>
      <c r="BS77" s="74">
        <v>13</v>
      </c>
      <c r="BT77" s="74">
        <v>29</v>
      </c>
      <c r="BU77" s="74">
        <v>33</v>
      </c>
      <c r="BV77" s="74">
        <v>28</v>
      </c>
      <c r="BW77" s="74">
        <v>19</v>
      </c>
      <c r="BX77" s="74">
        <v>14</v>
      </c>
      <c r="BY77" s="74">
        <v>0</v>
      </c>
      <c r="BZ77" s="74">
        <f t="shared" si="21"/>
        <v>136</v>
      </c>
      <c r="CB77" s="74">
        <v>1423800</v>
      </c>
      <c r="CC77" s="74" t="s">
        <v>263</v>
      </c>
      <c r="CD77" s="74" t="s">
        <v>264</v>
      </c>
      <c r="CE77" s="74"/>
      <c r="CF77" s="74">
        <v>13</v>
      </c>
      <c r="CG77" s="74">
        <v>29</v>
      </c>
      <c r="CH77" s="74">
        <v>33</v>
      </c>
      <c r="CI77" s="74">
        <v>28</v>
      </c>
      <c r="CJ77" s="74">
        <v>19</v>
      </c>
      <c r="CK77" s="74">
        <v>14</v>
      </c>
      <c r="CL77" s="74">
        <v>0</v>
      </c>
      <c r="CM77" s="74">
        <f t="shared" si="17"/>
        <v>136</v>
      </c>
      <c r="CO77" s="74">
        <v>1423800</v>
      </c>
      <c r="CP77" s="74" t="s">
        <v>263</v>
      </c>
      <c r="CQ77" s="74" t="s">
        <v>264</v>
      </c>
      <c r="CR77" s="74"/>
      <c r="CS77" s="74">
        <v>13</v>
      </c>
      <c r="CT77" s="74">
        <v>29</v>
      </c>
      <c r="CU77" s="74">
        <v>33</v>
      </c>
      <c r="CV77" s="74">
        <v>28</v>
      </c>
      <c r="CW77" s="74">
        <v>19</v>
      </c>
      <c r="CX77" s="74">
        <v>14</v>
      </c>
      <c r="CY77" s="74">
        <v>0</v>
      </c>
      <c r="CZ77" s="74">
        <v>136</v>
      </c>
      <c r="DB77" s="74">
        <v>1423800</v>
      </c>
      <c r="DC77" s="74" t="s">
        <v>263</v>
      </c>
      <c r="DD77" s="74" t="s">
        <v>264</v>
      </c>
      <c r="DE77" s="74"/>
      <c r="DF77" s="74">
        <v>13</v>
      </c>
      <c r="DG77" s="74">
        <v>29</v>
      </c>
      <c r="DH77" s="74">
        <v>33</v>
      </c>
      <c r="DI77" s="74">
        <v>28</v>
      </c>
      <c r="DJ77" s="74">
        <v>19</v>
      </c>
      <c r="DK77" s="74">
        <v>14</v>
      </c>
      <c r="DL77" s="74">
        <v>0</v>
      </c>
      <c r="DM77" s="74">
        <v>136</v>
      </c>
      <c r="DO77" s="74">
        <v>1423800</v>
      </c>
      <c r="DP77" s="74" t="s">
        <v>263</v>
      </c>
      <c r="DQ77" s="74" t="s">
        <v>264</v>
      </c>
      <c r="DR77" s="74"/>
      <c r="DS77" s="74">
        <v>9</v>
      </c>
      <c r="DT77" s="74">
        <v>21</v>
      </c>
      <c r="DU77" s="74">
        <v>21</v>
      </c>
      <c r="DV77" s="74">
        <v>20</v>
      </c>
      <c r="DW77" s="74">
        <v>13</v>
      </c>
      <c r="DX77" s="74">
        <v>10</v>
      </c>
      <c r="DY77" s="74">
        <v>0</v>
      </c>
      <c r="DZ77" s="74">
        <v>94</v>
      </c>
      <c r="EA77" s="74"/>
      <c r="EB77" s="74">
        <v>1423900</v>
      </c>
      <c r="EC77" s="74" t="s">
        <v>270</v>
      </c>
      <c r="ED77" s="74" t="s">
        <v>264</v>
      </c>
      <c r="EE77" s="74"/>
      <c r="EF77" s="74">
        <v>44</v>
      </c>
      <c r="EG77" s="74">
        <v>96</v>
      </c>
      <c r="EH77" s="74">
        <v>96</v>
      </c>
      <c r="EI77" s="74">
        <v>91</v>
      </c>
      <c r="EJ77" s="74">
        <v>62</v>
      </c>
      <c r="EK77" s="74">
        <v>54</v>
      </c>
      <c r="EL77" s="74">
        <v>0</v>
      </c>
      <c r="EM77" s="74">
        <v>443</v>
      </c>
      <c r="EN77" s="74"/>
      <c r="EO77" s="74">
        <v>1424000</v>
      </c>
      <c r="EP77" s="74" t="s">
        <v>263</v>
      </c>
      <c r="EQ77" s="74" t="s">
        <v>264</v>
      </c>
      <c r="ER77" s="74"/>
      <c r="ES77" s="74">
        <v>39</v>
      </c>
      <c r="ET77" s="74">
        <v>92</v>
      </c>
      <c r="EU77" s="74">
        <v>93</v>
      </c>
      <c r="EV77" s="74">
        <v>92</v>
      </c>
      <c r="EW77" s="74">
        <v>61</v>
      </c>
      <c r="EX77" s="74">
        <v>60</v>
      </c>
      <c r="EY77" s="74">
        <v>0</v>
      </c>
      <c r="EZ77" s="74">
        <v>437</v>
      </c>
      <c r="FB77" s="74">
        <v>1424300</v>
      </c>
      <c r="FC77" s="74" t="s">
        <v>263</v>
      </c>
      <c r="FD77" s="74" t="s">
        <v>264</v>
      </c>
      <c r="FE77" s="74"/>
      <c r="FF77" s="74">
        <v>26</v>
      </c>
      <c r="FG77" s="74">
        <v>47</v>
      </c>
      <c r="FH77" s="74">
        <v>51</v>
      </c>
      <c r="FI77" s="74">
        <v>51</v>
      </c>
      <c r="FJ77" s="74">
        <v>38</v>
      </c>
      <c r="FK77" s="74">
        <v>31</v>
      </c>
      <c r="FL77" s="74">
        <v>0</v>
      </c>
      <c r="FM77" s="74">
        <v>244</v>
      </c>
      <c r="FO77" s="74">
        <v>1424400</v>
      </c>
      <c r="FP77" s="74" t="s">
        <v>263</v>
      </c>
      <c r="FQ77" s="74" t="s">
        <v>264</v>
      </c>
      <c r="FR77" s="74"/>
      <c r="FS77" s="74">
        <v>6</v>
      </c>
      <c r="FT77" s="74">
        <v>8</v>
      </c>
      <c r="FU77" s="74">
        <v>9</v>
      </c>
      <c r="FV77" s="74">
        <v>9</v>
      </c>
      <c r="FW77" s="74">
        <v>8</v>
      </c>
      <c r="FX77" s="74">
        <v>6</v>
      </c>
      <c r="FY77" s="74">
        <v>0</v>
      </c>
      <c r="FZ77" s="74">
        <v>46</v>
      </c>
      <c r="GB77" s="74">
        <v>1424400</v>
      </c>
      <c r="GC77" s="74" t="s">
        <v>263</v>
      </c>
      <c r="GD77" s="74" t="s">
        <v>264</v>
      </c>
      <c r="GE77" s="74"/>
      <c r="GF77" s="74">
        <v>6</v>
      </c>
      <c r="GG77" s="74">
        <v>8</v>
      </c>
      <c r="GH77" s="74">
        <v>9</v>
      </c>
      <c r="GI77" s="74">
        <v>9</v>
      </c>
      <c r="GJ77" s="74">
        <v>8</v>
      </c>
      <c r="GK77" s="74">
        <v>6</v>
      </c>
      <c r="GL77" s="74">
        <v>0</v>
      </c>
      <c r="GM77" s="74">
        <v>46</v>
      </c>
      <c r="GO77" s="74">
        <v>1424400</v>
      </c>
      <c r="GP77" s="74" t="s">
        <v>263</v>
      </c>
      <c r="GQ77" s="74" t="s">
        <v>264</v>
      </c>
      <c r="GR77" s="74"/>
      <c r="GS77" s="74">
        <v>4</v>
      </c>
      <c r="GT77" s="74">
        <v>6</v>
      </c>
      <c r="GU77" s="74">
        <v>6</v>
      </c>
      <c r="GV77" s="74">
        <v>6</v>
      </c>
      <c r="GW77" s="74">
        <v>6</v>
      </c>
      <c r="GX77" s="74">
        <v>4</v>
      </c>
      <c r="GY77" s="74">
        <v>0</v>
      </c>
      <c r="GZ77" s="74">
        <f t="shared" si="15"/>
        <v>32</v>
      </c>
    </row>
    <row r="78" spans="1:208">
      <c r="A78" s="478">
        <v>1423900</v>
      </c>
      <c r="B78" s="478" t="s">
        <v>36</v>
      </c>
      <c r="C78" s="478">
        <v>55</v>
      </c>
      <c r="D78" s="478">
        <v>115</v>
      </c>
      <c r="E78" s="478">
        <v>117</v>
      </c>
      <c r="F78" s="478">
        <v>113</v>
      </c>
      <c r="G78" s="478">
        <v>74</v>
      </c>
      <c r="H78" s="478">
        <v>63</v>
      </c>
      <c r="I78" s="478"/>
      <c r="J78" s="479">
        <f t="shared" si="24"/>
        <v>537</v>
      </c>
      <c r="K78" s="480">
        <f>'CORTE 4200'!$O$682</f>
        <v>-107</v>
      </c>
      <c r="L78" s="480">
        <v>50</v>
      </c>
      <c r="M78" s="481"/>
      <c r="N78" s="500"/>
      <c r="O78">
        <v>1423900</v>
      </c>
      <c r="P78" t="s">
        <v>270</v>
      </c>
      <c r="Q78" t="s">
        <v>264</v>
      </c>
      <c r="R78"/>
      <c r="S78">
        <v>55</v>
      </c>
      <c r="T78">
        <v>115</v>
      </c>
      <c r="U78">
        <v>117</v>
      </c>
      <c r="V78">
        <v>113</v>
      </c>
      <c r="W78">
        <v>74</v>
      </c>
      <c r="X78">
        <v>63</v>
      </c>
      <c r="Y78">
        <v>0</v>
      </c>
      <c r="Z78">
        <f t="shared" si="18"/>
        <v>537</v>
      </c>
      <c r="AA78" s="500"/>
      <c r="AB78" s="74">
        <v>1423900</v>
      </c>
      <c r="AC78" s="74" t="s">
        <v>270</v>
      </c>
      <c r="AD78" s="74" t="s">
        <v>264</v>
      </c>
      <c r="AE78"/>
      <c r="AF78" s="74">
        <v>57</v>
      </c>
      <c r="AG78" s="74">
        <v>120</v>
      </c>
      <c r="AH78" s="74">
        <v>122</v>
      </c>
      <c r="AI78" s="74">
        <v>116</v>
      </c>
      <c r="AJ78" s="74">
        <v>76</v>
      </c>
      <c r="AK78" s="74">
        <v>64</v>
      </c>
      <c r="AL78" s="74">
        <v>0</v>
      </c>
      <c r="AM78" s="74">
        <f t="shared" si="16"/>
        <v>555</v>
      </c>
      <c r="AO78" s="74">
        <v>1423900</v>
      </c>
      <c r="AP78" s="74" t="s">
        <v>270</v>
      </c>
      <c r="AQ78" s="74" t="s">
        <v>264</v>
      </c>
      <c r="AR78" s="74"/>
      <c r="AS78" s="74">
        <v>57</v>
      </c>
      <c r="AT78" s="74">
        <v>120</v>
      </c>
      <c r="AU78" s="74">
        <v>122</v>
      </c>
      <c r="AV78" s="74">
        <v>116</v>
      </c>
      <c r="AW78" s="74">
        <v>76</v>
      </c>
      <c r="AX78" s="74">
        <v>64</v>
      </c>
      <c r="AY78" s="74">
        <v>0</v>
      </c>
      <c r="AZ78" s="74">
        <f t="shared" si="19"/>
        <v>555</v>
      </c>
      <c r="BB78" s="74">
        <v>1423900</v>
      </c>
      <c r="BC78" s="74" t="s">
        <v>270</v>
      </c>
      <c r="BD78" s="74" t="s">
        <v>264</v>
      </c>
      <c r="BE78" s="74"/>
      <c r="BF78" s="74">
        <v>49</v>
      </c>
      <c r="BG78" s="74">
        <v>108</v>
      </c>
      <c r="BH78" s="74">
        <v>110</v>
      </c>
      <c r="BI78" s="74">
        <v>104</v>
      </c>
      <c r="BJ78" s="74">
        <v>73</v>
      </c>
      <c r="BK78" s="74">
        <v>61</v>
      </c>
      <c r="BL78" s="74">
        <v>0</v>
      </c>
      <c r="BM78" s="74">
        <f t="shared" si="20"/>
        <v>505</v>
      </c>
      <c r="BO78" s="74">
        <v>1423900</v>
      </c>
      <c r="BP78" s="74" t="s">
        <v>270</v>
      </c>
      <c r="BQ78" s="74" t="s">
        <v>264</v>
      </c>
      <c r="BR78" s="74"/>
      <c r="BS78" s="74">
        <v>49</v>
      </c>
      <c r="BT78" s="74">
        <v>108</v>
      </c>
      <c r="BU78" s="74">
        <v>110</v>
      </c>
      <c r="BV78" s="74">
        <v>104</v>
      </c>
      <c r="BW78" s="74">
        <v>73</v>
      </c>
      <c r="BX78" s="74">
        <v>61</v>
      </c>
      <c r="BY78" s="74">
        <v>0</v>
      </c>
      <c r="BZ78" s="74">
        <f t="shared" si="21"/>
        <v>505</v>
      </c>
      <c r="CB78" s="74">
        <v>1423900</v>
      </c>
      <c r="CC78" s="74" t="s">
        <v>270</v>
      </c>
      <c r="CD78" s="74" t="s">
        <v>264</v>
      </c>
      <c r="CE78" s="74"/>
      <c r="CF78" s="74">
        <v>49</v>
      </c>
      <c r="CG78" s="74">
        <v>108</v>
      </c>
      <c r="CH78" s="74">
        <v>110</v>
      </c>
      <c r="CI78" s="74">
        <v>104</v>
      </c>
      <c r="CJ78" s="74">
        <v>73</v>
      </c>
      <c r="CK78" s="74">
        <v>61</v>
      </c>
      <c r="CL78" s="74">
        <v>0</v>
      </c>
      <c r="CM78" s="74">
        <f t="shared" si="17"/>
        <v>505</v>
      </c>
      <c r="CO78" s="74">
        <v>1423900</v>
      </c>
      <c r="CP78" s="74" t="s">
        <v>270</v>
      </c>
      <c r="CQ78" s="74" t="s">
        <v>264</v>
      </c>
      <c r="CR78" s="74"/>
      <c r="CS78" s="74">
        <v>49</v>
      </c>
      <c r="CT78" s="74">
        <v>106</v>
      </c>
      <c r="CU78" s="74">
        <v>108</v>
      </c>
      <c r="CV78" s="74">
        <v>101</v>
      </c>
      <c r="CW78" s="74">
        <v>70</v>
      </c>
      <c r="CX78" s="74">
        <v>59</v>
      </c>
      <c r="CY78" s="74">
        <v>0</v>
      </c>
      <c r="CZ78" s="74">
        <v>493</v>
      </c>
      <c r="DB78" s="74">
        <v>1423900</v>
      </c>
      <c r="DC78" s="74" t="s">
        <v>270</v>
      </c>
      <c r="DD78" s="74" t="s">
        <v>264</v>
      </c>
      <c r="DE78" s="74"/>
      <c r="DF78" s="74">
        <v>48</v>
      </c>
      <c r="DG78" s="74">
        <v>105</v>
      </c>
      <c r="DH78" s="74">
        <v>106</v>
      </c>
      <c r="DI78" s="74">
        <v>99</v>
      </c>
      <c r="DJ78" s="74">
        <v>68</v>
      </c>
      <c r="DK78" s="74">
        <v>58</v>
      </c>
      <c r="DL78" s="74">
        <v>0</v>
      </c>
      <c r="DM78" s="74">
        <v>484</v>
      </c>
      <c r="DO78" s="74">
        <v>1423900</v>
      </c>
      <c r="DP78" s="74" t="s">
        <v>270</v>
      </c>
      <c r="DQ78" s="74" t="s">
        <v>264</v>
      </c>
      <c r="DR78" s="74"/>
      <c r="DS78" s="74">
        <v>48</v>
      </c>
      <c r="DT78" s="74">
        <v>103</v>
      </c>
      <c r="DU78" s="74">
        <v>103</v>
      </c>
      <c r="DV78" s="74">
        <v>96</v>
      </c>
      <c r="DW78" s="74">
        <v>65</v>
      </c>
      <c r="DX78" s="74">
        <v>56</v>
      </c>
      <c r="DY78" s="74">
        <v>0</v>
      </c>
      <c r="DZ78" s="74">
        <v>471</v>
      </c>
      <c r="EA78" s="74"/>
      <c r="EB78" s="74">
        <v>1424000</v>
      </c>
      <c r="EC78" s="74" t="s">
        <v>263</v>
      </c>
      <c r="ED78" s="74" t="s">
        <v>264</v>
      </c>
      <c r="EE78" s="74"/>
      <c r="EF78" s="74">
        <v>43</v>
      </c>
      <c r="EG78" s="74">
        <v>96</v>
      </c>
      <c r="EH78" s="74">
        <v>97</v>
      </c>
      <c r="EI78" s="74">
        <v>95</v>
      </c>
      <c r="EJ78" s="74">
        <v>63</v>
      </c>
      <c r="EK78" s="74">
        <v>62</v>
      </c>
      <c r="EL78" s="74">
        <v>0</v>
      </c>
      <c r="EM78" s="74">
        <v>456</v>
      </c>
      <c r="EN78" s="74"/>
      <c r="EO78" s="74">
        <v>1424200</v>
      </c>
      <c r="EP78" s="74" t="s">
        <v>263</v>
      </c>
      <c r="EQ78" s="74" t="s">
        <v>264</v>
      </c>
      <c r="ER78" s="74"/>
      <c r="ES78" s="74">
        <v>8</v>
      </c>
      <c r="ET78" s="74">
        <v>18</v>
      </c>
      <c r="EU78" s="74">
        <v>23</v>
      </c>
      <c r="EV78" s="74">
        <v>19</v>
      </c>
      <c r="EW78" s="74">
        <v>15</v>
      </c>
      <c r="EX78" s="74">
        <v>9</v>
      </c>
      <c r="EY78" s="74">
        <v>0</v>
      </c>
      <c r="EZ78" s="74">
        <v>92</v>
      </c>
      <c r="FB78" s="74">
        <v>1424400</v>
      </c>
      <c r="FC78" s="74" t="s">
        <v>263</v>
      </c>
      <c r="FD78" s="74" t="s">
        <v>264</v>
      </c>
      <c r="FE78" s="74"/>
      <c r="FF78" s="74">
        <v>6</v>
      </c>
      <c r="FG78" s="74">
        <v>8</v>
      </c>
      <c r="FH78" s="74">
        <v>9</v>
      </c>
      <c r="FI78" s="74">
        <v>9</v>
      </c>
      <c r="FJ78" s="74">
        <v>8</v>
      </c>
      <c r="FK78" s="74">
        <v>6</v>
      </c>
      <c r="FL78" s="74">
        <v>0</v>
      </c>
      <c r="FM78" s="74">
        <v>46</v>
      </c>
      <c r="FO78" s="74">
        <v>1424500</v>
      </c>
      <c r="FP78" s="74" t="s">
        <v>263</v>
      </c>
      <c r="FQ78" s="74" t="s">
        <v>264</v>
      </c>
      <c r="FR78" s="74"/>
      <c r="FS78" s="74">
        <v>8</v>
      </c>
      <c r="FT78" s="74">
        <v>19</v>
      </c>
      <c r="FU78" s="74">
        <v>17</v>
      </c>
      <c r="FV78" s="74">
        <v>17</v>
      </c>
      <c r="FW78" s="74">
        <v>11</v>
      </c>
      <c r="FX78" s="74">
        <v>10</v>
      </c>
      <c r="FY78" s="74">
        <v>0</v>
      </c>
      <c r="FZ78" s="74">
        <v>82</v>
      </c>
      <c r="GB78" s="74">
        <v>1424500</v>
      </c>
      <c r="GC78" s="74" t="s">
        <v>263</v>
      </c>
      <c r="GD78" s="74" t="s">
        <v>264</v>
      </c>
      <c r="GE78" s="74"/>
      <c r="GF78" s="74">
        <v>3</v>
      </c>
      <c r="GG78" s="74">
        <v>4</v>
      </c>
      <c r="GH78" s="74">
        <v>2</v>
      </c>
      <c r="GI78" s="74">
        <v>2</v>
      </c>
      <c r="GJ78" s="74">
        <v>1</v>
      </c>
      <c r="GK78" s="74">
        <v>0</v>
      </c>
      <c r="GL78" s="74">
        <v>0</v>
      </c>
      <c r="GM78" s="74">
        <v>12</v>
      </c>
      <c r="GO78" s="74">
        <v>1424500</v>
      </c>
      <c r="GP78" s="74" t="s">
        <v>263</v>
      </c>
      <c r="GQ78" s="74" t="s">
        <v>264</v>
      </c>
      <c r="GR78" s="74"/>
      <c r="GS78" s="74">
        <v>3</v>
      </c>
      <c r="GT78" s="74">
        <v>4</v>
      </c>
      <c r="GU78" s="74">
        <v>2</v>
      </c>
      <c r="GV78" s="74">
        <v>2</v>
      </c>
      <c r="GW78" s="74">
        <v>1</v>
      </c>
      <c r="GX78" s="74">
        <v>0</v>
      </c>
      <c r="GY78" s="74">
        <v>0</v>
      </c>
      <c r="GZ78" s="74">
        <f t="shared" si="15"/>
        <v>12</v>
      </c>
    </row>
    <row r="79" spans="1:208">
      <c r="A79" s="478">
        <v>1424000</v>
      </c>
      <c r="B79" s="478" t="s">
        <v>36</v>
      </c>
      <c r="C79" s="478">
        <v>48</v>
      </c>
      <c r="D79" s="478">
        <v>110</v>
      </c>
      <c r="E79" s="478">
        <v>112</v>
      </c>
      <c r="F79" s="478">
        <v>110</v>
      </c>
      <c r="G79" s="478">
        <v>75</v>
      </c>
      <c r="H79" s="478">
        <v>68</v>
      </c>
      <c r="I79" s="478"/>
      <c r="J79" s="479">
        <f t="shared" si="24"/>
        <v>523</v>
      </c>
      <c r="K79" s="480">
        <f>'CORTE 4200'!$O$691</f>
        <v>-54</v>
      </c>
      <c r="L79" s="480"/>
      <c r="M79" s="481"/>
      <c r="N79" s="500"/>
      <c r="O79">
        <v>1424000</v>
      </c>
      <c r="P79" t="s">
        <v>263</v>
      </c>
      <c r="Q79" t="s">
        <v>264</v>
      </c>
      <c r="R79"/>
      <c r="S79">
        <v>48</v>
      </c>
      <c r="T79">
        <v>110</v>
      </c>
      <c r="U79">
        <v>112</v>
      </c>
      <c r="V79">
        <v>110</v>
      </c>
      <c r="W79">
        <v>75</v>
      </c>
      <c r="X79">
        <v>68</v>
      </c>
      <c r="Y79">
        <v>0</v>
      </c>
      <c r="Z79">
        <f t="shared" si="18"/>
        <v>523</v>
      </c>
      <c r="AA79" s="500"/>
      <c r="AB79" s="74">
        <v>1424000</v>
      </c>
      <c r="AC79" s="74" t="s">
        <v>263</v>
      </c>
      <c r="AD79" s="74" t="s">
        <v>264</v>
      </c>
      <c r="AE79"/>
      <c r="AF79" s="74">
        <v>48</v>
      </c>
      <c r="AG79" s="74">
        <v>110</v>
      </c>
      <c r="AH79" s="74">
        <v>112</v>
      </c>
      <c r="AI79" s="74">
        <v>110</v>
      </c>
      <c r="AJ79" s="74">
        <v>75</v>
      </c>
      <c r="AK79" s="74">
        <v>68</v>
      </c>
      <c r="AL79" s="74">
        <v>0</v>
      </c>
      <c r="AM79" s="74">
        <f t="shared" si="16"/>
        <v>523</v>
      </c>
      <c r="AO79" s="74">
        <v>1424000</v>
      </c>
      <c r="AP79" s="74" t="s">
        <v>263</v>
      </c>
      <c r="AQ79" s="74" t="s">
        <v>264</v>
      </c>
      <c r="AR79" s="74"/>
      <c r="AS79" s="74">
        <v>47</v>
      </c>
      <c r="AT79" s="74">
        <v>108</v>
      </c>
      <c r="AU79" s="74">
        <v>110</v>
      </c>
      <c r="AV79" s="74">
        <v>108</v>
      </c>
      <c r="AW79" s="74">
        <v>74</v>
      </c>
      <c r="AX79" s="74">
        <v>68</v>
      </c>
      <c r="AY79" s="74">
        <v>0</v>
      </c>
      <c r="AZ79" s="74">
        <f t="shared" si="19"/>
        <v>515</v>
      </c>
      <c r="BB79" s="74">
        <v>1424000</v>
      </c>
      <c r="BC79" s="74" t="s">
        <v>263</v>
      </c>
      <c r="BD79" s="74" t="s">
        <v>264</v>
      </c>
      <c r="BE79" s="74"/>
      <c r="BF79" s="74">
        <v>46</v>
      </c>
      <c r="BG79" s="74">
        <v>105</v>
      </c>
      <c r="BH79" s="74">
        <v>107</v>
      </c>
      <c r="BI79" s="74">
        <v>106</v>
      </c>
      <c r="BJ79" s="74">
        <v>73</v>
      </c>
      <c r="BK79" s="74">
        <v>68</v>
      </c>
      <c r="BL79" s="74">
        <v>0</v>
      </c>
      <c r="BM79" s="74">
        <f t="shared" si="20"/>
        <v>505</v>
      </c>
      <c r="BO79" s="74">
        <v>1424000</v>
      </c>
      <c r="BP79" s="74" t="s">
        <v>263</v>
      </c>
      <c r="BQ79" s="74" t="s">
        <v>264</v>
      </c>
      <c r="BR79" s="74"/>
      <c r="BS79" s="74">
        <v>46</v>
      </c>
      <c r="BT79" s="74">
        <v>105</v>
      </c>
      <c r="BU79" s="74">
        <v>107</v>
      </c>
      <c r="BV79" s="74">
        <v>106</v>
      </c>
      <c r="BW79" s="74">
        <v>73</v>
      </c>
      <c r="BX79" s="74">
        <v>68</v>
      </c>
      <c r="BY79" s="74">
        <v>0</v>
      </c>
      <c r="BZ79" s="74">
        <f t="shared" si="21"/>
        <v>505</v>
      </c>
      <c r="CB79" s="74">
        <v>1424000</v>
      </c>
      <c r="CC79" s="74" t="s">
        <v>263</v>
      </c>
      <c r="CD79" s="74" t="s">
        <v>264</v>
      </c>
      <c r="CE79" s="74"/>
      <c r="CF79" s="74">
        <v>46</v>
      </c>
      <c r="CG79" s="74">
        <v>105</v>
      </c>
      <c r="CH79" s="74">
        <v>107</v>
      </c>
      <c r="CI79" s="74">
        <v>106</v>
      </c>
      <c r="CJ79" s="74">
        <v>73</v>
      </c>
      <c r="CK79" s="74">
        <v>68</v>
      </c>
      <c r="CL79" s="74">
        <v>0</v>
      </c>
      <c r="CM79" s="74">
        <f t="shared" si="17"/>
        <v>505</v>
      </c>
      <c r="CO79" s="74">
        <v>1424000</v>
      </c>
      <c r="CP79" s="74" t="s">
        <v>263</v>
      </c>
      <c r="CQ79" s="74" t="s">
        <v>264</v>
      </c>
      <c r="CR79" s="74"/>
      <c r="CS79" s="74">
        <v>46</v>
      </c>
      <c r="CT79" s="74">
        <v>103</v>
      </c>
      <c r="CU79" s="74">
        <v>105</v>
      </c>
      <c r="CV79" s="74">
        <v>103</v>
      </c>
      <c r="CW79" s="74">
        <v>70</v>
      </c>
      <c r="CX79" s="74">
        <v>66</v>
      </c>
      <c r="CY79" s="74">
        <v>0</v>
      </c>
      <c r="CZ79" s="74">
        <v>493</v>
      </c>
      <c r="DB79" s="74">
        <v>1424000</v>
      </c>
      <c r="DC79" s="74" t="s">
        <v>263</v>
      </c>
      <c r="DD79" s="74" t="s">
        <v>264</v>
      </c>
      <c r="DE79" s="74"/>
      <c r="DF79" s="74">
        <v>45</v>
      </c>
      <c r="DG79" s="74">
        <v>101</v>
      </c>
      <c r="DH79" s="74">
        <v>103</v>
      </c>
      <c r="DI79" s="74">
        <v>101</v>
      </c>
      <c r="DJ79" s="74">
        <v>68</v>
      </c>
      <c r="DK79" s="74">
        <v>65</v>
      </c>
      <c r="DL79" s="74">
        <v>0</v>
      </c>
      <c r="DM79" s="74">
        <v>483</v>
      </c>
      <c r="DO79" s="74">
        <v>1424000</v>
      </c>
      <c r="DP79" s="74" t="s">
        <v>263</v>
      </c>
      <c r="DQ79" s="74" t="s">
        <v>264</v>
      </c>
      <c r="DR79" s="74"/>
      <c r="DS79" s="74">
        <v>45</v>
      </c>
      <c r="DT79" s="74">
        <v>99</v>
      </c>
      <c r="DU79" s="74">
        <v>100</v>
      </c>
      <c r="DV79" s="74">
        <v>98</v>
      </c>
      <c r="DW79" s="74">
        <v>65</v>
      </c>
      <c r="DX79" s="74">
        <v>63</v>
      </c>
      <c r="DY79" s="74">
        <v>0</v>
      </c>
      <c r="DZ79" s="74">
        <v>470</v>
      </c>
      <c r="EA79" s="74"/>
      <c r="EB79" s="74">
        <v>1424200</v>
      </c>
      <c r="EC79" s="74" t="s">
        <v>263</v>
      </c>
      <c r="ED79" s="74" t="s">
        <v>264</v>
      </c>
      <c r="EE79" s="74"/>
      <c r="EF79" s="74">
        <v>8</v>
      </c>
      <c r="EG79" s="74">
        <v>18</v>
      </c>
      <c r="EH79" s="74">
        <v>23</v>
      </c>
      <c r="EI79" s="74">
        <v>19</v>
      </c>
      <c r="EJ79" s="74">
        <v>15</v>
      </c>
      <c r="EK79" s="74">
        <v>9</v>
      </c>
      <c r="EL79" s="74">
        <v>0</v>
      </c>
      <c r="EM79" s="74">
        <v>92</v>
      </c>
      <c r="EN79" s="74"/>
      <c r="EO79" s="74">
        <v>1424300</v>
      </c>
      <c r="EP79" s="74" t="s">
        <v>263</v>
      </c>
      <c r="EQ79" s="74" t="s">
        <v>264</v>
      </c>
      <c r="ER79" s="74"/>
      <c r="ES79" s="74">
        <v>30</v>
      </c>
      <c r="ET79" s="74">
        <v>54</v>
      </c>
      <c r="EU79" s="74">
        <v>58</v>
      </c>
      <c r="EV79" s="74">
        <v>57</v>
      </c>
      <c r="EW79" s="74">
        <v>42</v>
      </c>
      <c r="EX79" s="74">
        <v>34</v>
      </c>
      <c r="EY79" s="74">
        <v>0</v>
      </c>
      <c r="EZ79" s="74">
        <v>275</v>
      </c>
      <c r="FB79" s="74">
        <v>1424500</v>
      </c>
      <c r="FC79" s="74" t="s">
        <v>263</v>
      </c>
      <c r="FD79" s="74" t="s">
        <v>264</v>
      </c>
      <c r="FE79" s="74"/>
      <c r="FF79" s="74">
        <v>8</v>
      </c>
      <c r="FG79" s="74">
        <v>19</v>
      </c>
      <c r="FH79" s="74">
        <v>17</v>
      </c>
      <c r="FI79" s="74">
        <v>17</v>
      </c>
      <c r="FJ79" s="74">
        <v>11</v>
      </c>
      <c r="FK79" s="74">
        <v>10</v>
      </c>
      <c r="FL79" s="74">
        <v>0</v>
      </c>
      <c r="FM79" s="74">
        <v>82</v>
      </c>
      <c r="FO79" s="74">
        <v>1424600</v>
      </c>
      <c r="FP79" s="74" t="s">
        <v>274</v>
      </c>
      <c r="FQ79" s="74" t="s">
        <v>264</v>
      </c>
      <c r="FR79" s="74"/>
      <c r="FS79" s="74">
        <v>8</v>
      </c>
      <c r="FT79" s="74">
        <v>18</v>
      </c>
      <c r="FU79" s="74">
        <v>19</v>
      </c>
      <c r="FV79" s="74">
        <v>18</v>
      </c>
      <c r="FW79" s="74">
        <v>12</v>
      </c>
      <c r="FX79" s="74">
        <v>9</v>
      </c>
      <c r="FY79" s="74">
        <v>0</v>
      </c>
      <c r="FZ79" s="74">
        <v>84</v>
      </c>
      <c r="GB79" s="74">
        <v>1424600</v>
      </c>
      <c r="GC79" s="74" t="s">
        <v>274</v>
      </c>
      <c r="GD79" s="74" t="s">
        <v>264</v>
      </c>
      <c r="GE79" s="74"/>
      <c r="GF79" s="74">
        <v>1</v>
      </c>
      <c r="GG79" s="74">
        <v>3</v>
      </c>
      <c r="GH79" s="74">
        <v>4</v>
      </c>
      <c r="GI79" s="74">
        <v>3</v>
      </c>
      <c r="GJ79" s="74">
        <v>2</v>
      </c>
      <c r="GK79" s="74">
        <v>1</v>
      </c>
      <c r="GL79" s="74">
        <v>0</v>
      </c>
      <c r="GM79" s="74">
        <v>14</v>
      </c>
      <c r="GO79" s="74">
        <v>1424600</v>
      </c>
      <c r="GP79" s="74"/>
      <c r="GQ79" s="74"/>
      <c r="GR79" s="74"/>
      <c r="GS79" s="74"/>
      <c r="GT79" s="74"/>
      <c r="GU79" s="74"/>
      <c r="GV79" s="74"/>
      <c r="GW79" s="74"/>
      <c r="GX79" s="74"/>
      <c r="GY79" s="74"/>
      <c r="GZ79" s="74"/>
    </row>
    <row r="80" spans="1:208">
      <c r="A80" s="478">
        <v>1424200</v>
      </c>
      <c r="B80" s="478" t="s">
        <v>184</v>
      </c>
      <c r="C80" s="478">
        <v>15</v>
      </c>
      <c r="D80" s="478">
        <v>31</v>
      </c>
      <c r="E80" s="478">
        <v>36</v>
      </c>
      <c r="F80" s="478">
        <v>29</v>
      </c>
      <c r="G80" s="478">
        <v>21</v>
      </c>
      <c r="H80" s="478">
        <v>14</v>
      </c>
      <c r="I80" s="478"/>
      <c r="J80" s="479">
        <f t="shared" si="24"/>
        <v>146</v>
      </c>
      <c r="K80" s="480">
        <f>'CORTE 4200'!$O$700</f>
        <v>-30</v>
      </c>
      <c r="L80" s="480"/>
      <c r="M80" s="481" t="s">
        <v>242</v>
      </c>
      <c r="N80" s="500"/>
      <c r="O80">
        <v>1424200</v>
      </c>
      <c r="P80" t="s">
        <v>263</v>
      </c>
      <c r="Q80" t="s">
        <v>264</v>
      </c>
      <c r="R80"/>
      <c r="S80">
        <v>15</v>
      </c>
      <c r="T80">
        <v>31</v>
      </c>
      <c r="U80">
        <v>36</v>
      </c>
      <c r="V80">
        <v>29</v>
      </c>
      <c r="W80">
        <v>21</v>
      </c>
      <c r="X80">
        <v>14</v>
      </c>
      <c r="Y80">
        <v>0</v>
      </c>
      <c r="Z80">
        <f t="shared" si="18"/>
        <v>146</v>
      </c>
      <c r="AA80" s="500"/>
      <c r="AB80" s="74">
        <v>1424200</v>
      </c>
      <c r="AC80" s="74" t="s">
        <v>263</v>
      </c>
      <c r="AD80" s="74" t="s">
        <v>264</v>
      </c>
      <c r="AE80"/>
      <c r="AF80" s="74">
        <v>17</v>
      </c>
      <c r="AG80" s="74">
        <v>34</v>
      </c>
      <c r="AH80" s="74">
        <v>38</v>
      </c>
      <c r="AI80" s="74">
        <v>30</v>
      </c>
      <c r="AJ80" s="74">
        <v>22</v>
      </c>
      <c r="AK80" s="74">
        <v>14</v>
      </c>
      <c r="AL80" s="74">
        <v>0</v>
      </c>
      <c r="AM80" s="74">
        <f t="shared" si="16"/>
        <v>155</v>
      </c>
      <c r="AO80" s="74">
        <v>1424200</v>
      </c>
      <c r="AP80" s="74" t="s">
        <v>263</v>
      </c>
      <c r="AQ80" s="74" t="s">
        <v>264</v>
      </c>
      <c r="AR80" s="74"/>
      <c r="AS80" s="74">
        <v>15</v>
      </c>
      <c r="AT80" s="74">
        <v>29</v>
      </c>
      <c r="AU80" s="74">
        <v>34</v>
      </c>
      <c r="AV80" s="74">
        <v>26</v>
      </c>
      <c r="AW80" s="74">
        <v>18</v>
      </c>
      <c r="AX80" s="74">
        <v>10</v>
      </c>
      <c r="AY80" s="74">
        <v>0</v>
      </c>
      <c r="AZ80" s="74">
        <f t="shared" si="19"/>
        <v>132</v>
      </c>
      <c r="BB80" s="74">
        <v>1424200</v>
      </c>
      <c r="BC80" s="74" t="s">
        <v>263</v>
      </c>
      <c r="BD80" s="74" t="s">
        <v>264</v>
      </c>
      <c r="BE80" s="74"/>
      <c r="BF80" s="74">
        <v>15</v>
      </c>
      <c r="BG80" s="74">
        <v>29</v>
      </c>
      <c r="BH80" s="74">
        <v>34</v>
      </c>
      <c r="BI80" s="74">
        <v>26</v>
      </c>
      <c r="BJ80" s="74">
        <v>18</v>
      </c>
      <c r="BK80" s="74">
        <v>10</v>
      </c>
      <c r="BL80" s="74">
        <v>0</v>
      </c>
      <c r="BM80" s="74">
        <f t="shared" si="20"/>
        <v>132</v>
      </c>
      <c r="BO80" s="74">
        <v>1424200</v>
      </c>
      <c r="BP80" s="74" t="s">
        <v>263</v>
      </c>
      <c r="BQ80" s="74" t="s">
        <v>264</v>
      </c>
      <c r="BR80" s="74"/>
      <c r="BS80" s="74">
        <v>15</v>
      </c>
      <c r="BT80" s="74">
        <v>29</v>
      </c>
      <c r="BU80" s="74">
        <v>34</v>
      </c>
      <c r="BV80" s="74">
        <v>26</v>
      </c>
      <c r="BW80" s="74">
        <v>18</v>
      </c>
      <c r="BX80" s="74">
        <v>10</v>
      </c>
      <c r="BY80" s="74">
        <v>0</v>
      </c>
      <c r="BZ80" s="74">
        <f t="shared" si="21"/>
        <v>132</v>
      </c>
      <c r="CB80" s="74">
        <v>1424200</v>
      </c>
      <c r="CC80" s="74" t="s">
        <v>263</v>
      </c>
      <c r="CD80" s="74" t="s">
        <v>264</v>
      </c>
      <c r="CE80" s="74"/>
      <c r="CF80" s="74">
        <v>15</v>
      </c>
      <c r="CG80" s="74">
        <v>29</v>
      </c>
      <c r="CH80" s="74">
        <v>34</v>
      </c>
      <c r="CI80" s="74">
        <v>26</v>
      </c>
      <c r="CJ80" s="74">
        <v>18</v>
      </c>
      <c r="CK80" s="74">
        <v>10</v>
      </c>
      <c r="CL80" s="74">
        <v>0</v>
      </c>
      <c r="CM80" s="74">
        <f t="shared" si="17"/>
        <v>132</v>
      </c>
      <c r="CO80" s="74">
        <v>1424200</v>
      </c>
      <c r="CP80" s="74" t="s">
        <v>263</v>
      </c>
      <c r="CQ80" s="74" t="s">
        <v>264</v>
      </c>
      <c r="CR80" s="74"/>
      <c r="CS80" s="74">
        <v>15</v>
      </c>
      <c r="CT80" s="74">
        <v>29</v>
      </c>
      <c r="CU80" s="74">
        <v>34</v>
      </c>
      <c r="CV80" s="74">
        <v>26</v>
      </c>
      <c r="CW80" s="74">
        <v>18</v>
      </c>
      <c r="CX80" s="74">
        <v>10</v>
      </c>
      <c r="CY80" s="74">
        <v>0</v>
      </c>
      <c r="CZ80" s="74">
        <v>132</v>
      </c>
      <c r="DB80" s="74">
        <v>1424200</v>
      </c>
      <c r="DC80" s="74" t="s">
        <v>263</v>
      </c>
      <c r="DD80" s="74" t="s">
        <v>264</v>
      </c>
      <c r="DE80" s="74"/>
      <c r="DF80" s="74">
        <v>15</v>
      </c>
      <c r="DG80" s="74">
        <v>29</v>
      </c>
      <c r="DH80" s="74">
        <v>34</v>
      </c>
      <c r="DI80" s="74">
        <v>26</v>
      </c>
      <c r="DJ80" s="74">
        <v>18</v>
      </c>
      <c r="DK80" s="74">
        <v>10</v>
      </c>
      <c r="DL80" s="74">
        <v>0</v>
      </c>
      <c r="DM80" s="74">
        <v>132</v>
      </c>
      <c r="DO80" s="74">
        <v>1424200</v>
      </c>
      <c r="DP80" s="74" t="s">
        <v>263</v>
      </c>
      <c r="DQ80" s="74" t="s">
        <v>264</v>
      </c>
      <c r="DR80" s="74"/>
      <c r="DS80" s="74">
        <v>12</v>
      </c>
      <c r="DT80" s="74">
        <v>24</v>
      </c>
      <c r="DU80" s="74">
        <v>28</v>
      </c>
      <c r="DV80" s="74">
        <v>23</v>
      </c>
      <c r="DW80" s="74">
        <v>18</v>
      </c>
      <c r="DX80" s="74">
        <v>10</v>
      </c>
      <c r="DY80" s="74">
        <v>0</v>
      </c>
      <c r="DZ80" s="74">
        <v>115</v>
      </c>
      <c r="EA80" s="74"/>
      <c r="EB80" s="74">
        <v>1424300</v>
      </c>
      <c r="EC80" s="74" t="s">
        <v>263</v>
      </c>
      <c r="ED80" s="74" t="s">
        <v>264</v>
      </c>
      <c r="EE80" s="74"/>
      <c r="EF80" s="74">
        <v>33</v>
      </c>
      <c r="EG80" s="74">
        <v>58</v>
      </c>
      <c r="EH80" s="74">
        <v>62</v>
      </c>
      <c r="EI80" s="74">
        <v>61</v>
      </c>
      <c r="EJ80" s="74">
        <v>44</v>
      </c>
      <c r="EK80" s="74">
        <v>36</v>
      </c>
      <c r="EL80" s="74">
        <v>0</v>
      </c>
      <c r="EM80" s="74">
        <v>294</v>
      </c>
      <c r="EN80" s="74"/>
      <c r="EO80" s="74">
        <v>1424400</v>
      </c>
      <c r="EP80" s="74" t="s">
        <v>263</v>
      </c>
      <c r="EQ80" s="74" t="s">
        <v>264</v>
      </c>
      <c r="ER80" s="74"/>
      <c r="ES80" s="74">
        <v>9</v>
      </c>
      <c r="ET80" s="74">
        <v>16</v>
      </c>
      <c r="EU80" s="74">
        <v>17</v>
      </c>
      <c r="EV80" s="74">
        <v>16</v>
      </c>
      <c r="EW80" s="74">
        <v>13</v>
      </c>
      <c r="EX80" s="74">
        <v>7</v>
      </c>
      <c r="EY80" s="74">
        <v>0</v>
      </c>
      <c r="EZ80" s="74">
        <v>78</v>
      </c>
      <c r="FB80" s="74">
        <v>1424600</v>
      </c>
      <c r="FC80" s="74" t="s">
        <v>274</v>
      </c>
      <c r="FD80" s="74" t="s">
        <v>264</v>
      </c>
      <c r="FE80" s="74"/>
      <c r="FF80" s="74">
        <v>8</v>
      </c>
      <c r="FG80" s="74">
        <v>18</v>
      </c>
      <c r="FH80" s="74">
        <v>19</v>
      </c>
      <c r="FI80" s="74">
        <v>18</v>
      </c>
      <c r="FJ80" s="74">
        <v>12</v>
      </c>
      <c r="FK80" s="74">
        <v>9</v>
      </c>
      <c r="FL80" s="74">
        <v>0</v>
      </c>
      <c r="FM80" s="74">
        <v>84</v>
      </c>
      <c r="FO80" s="74">
        <v>1424700</v>
      </c>
      <c r="FP80" s="74" t="s">
        <v>265</v>
      </c>
      <c r="FQ80" s="74" t="s">
        <v>264</v>
      </c>
      <c r="FR80" s="74"/>
      <c r="FS80" s="74">
        <v>29</v>
      </c>
      <c r="FT80" s="74">
        <v>75</v>
      </c>
      <c r="FU80" s="74">
        <v>84</v>
      </c>
      <c r="FV80" s="74">
        <v>84</v>
      </c>
      <c r="FW80" s="74">
        <v>60</v>
      </c>
      <c r="FX80" s="74">
        <v>55</v>
      </c>
      <c r="FY80" s="74">
        <v>0</v>
      </c>
      <c r="FZ80" s="74">
        <v>387</v>
      </c>
      <c r="GB80" s="74">
        <v>1424700</v>
      </c>
      <c r="GC80" s="74" t="s">
        <v>265</v>
      </c>
      <c r="GD80" s="74" t="s">
        <v>264</v>
      </c>
      <c r="GE80" s="74"/>
      <c r="GF80" s="74">
        <v>9</v>
      </c>
      <c r="GG80" s="74">
        <v>17</v>
      </c>
      <c r="GH80" s="74">
        <v>25</v>
      </c>
      <c r="GI80" s="74">
        <v>24</v>
      </c>
      <c r="GJ80" s="74">
        <v>19</v>
      </c>
      <c r="GK80" s="74">
        <v>14</v>
      </c>
      <c r="GL80" s="74">
        <v>0</v>
      </c>
      <c r="GM80" s="74">
        <v>108</v>
      </c>
      <c r="GO80" s="74">
        <v>1424700</v>
      </c>
      <c r="GP80" s="74" t="s">
        <v>265</v>
      </c>
      <c r="GQ80" s="74" t="s">
        <v>264</v>
      </c>
      <c r="GR80" s="74"/>
      <c r="GS80" s="74">
        <v>6</v>
      </c>
      <c r="GT80" s="74">
        <v>12</v>
      </c>
      <c r="GU80" s="74">
        <v>18</v>
      </c>
      <c r="GV80" s="74">
        <v>18</v>
      </c>
      <c r="GW80" s="74">
        <v>15</v>
      </c>
      <c r="GX80" s="74">
        <v>11</v>
      </c>
      <c r="GY80" s="74">
        <v>0</v>
      </c>
      <c r="GZ80" s="74">
        <f t="shared" ref="GZ80:GZ89" si="25">SUM(GS80:GY80)</f>
        <v>80</v>
      </c>
    </row>
    <row r="81" spans="1:208">
      <c r="A81" s="478">
        <v>1424300</v>
      </c>
      <c r="B81" s="478" t="s">
        <v>95</v>
      </c>
      <c r="C81" s="478">
        <v>39</v>
      </c>
      <c r="D81" s="478">
        <v>68</v>
      </c>
      <c r="E81" s="478">
        <v>73</v>
      </c>
      <c r="F81" s="478">
        <v>72</v>
      </c>
      <c r="G81" s="478">
        <v>52</v>
      </c>
      <c r="H81" s="478">
        <v>40</v>
      </c>
      <c r="I81" s="478"/>
      <c r="J81" s="479">
        <f t="shared" si="24"/>
        <v>344</v>
      </c>
      <c r="K81" s="480">
        <f>'CORTE 4200'!$O$709</f>
        <v>-42</v>
      </c>
      <c r="L81" s="480"/>
      <c r="M81" s="481" t="s">
        <v>242</v>
      </c>
      <c r="N81" s="500"/>
      <c r="O81">
        <v>1424300</v>
      </c>
      <c r="P81" t="s">
        <v>263</v>
      </c>
      <c r="Q81" t="s">
        <v>264</v>
      </c>
      <c r="R81"/>
      <c r="S81">
        <v>39</v>
      </c>
      <c r="T81">
        <v>68</v>
      </c>
      <c r="U81">
        <v>73</v>
      </c>
      <c r="V81">
        <v>72</v>
      </c>
      <c r="W81">
        <v>52</v>
      </c>
      <c r="X81">
        <v>40</v>
      </c>
      <c r="Y81">
        <v>0</v>
      </c>
      <c r="Z81">
        <f t="shared" si="18"/>
        <v>344</v>
      </c>
      <c r="AA81" s="500"/>
      <c r="AB81" s="74">
        <v>1424300</v>
      </c>
      <c r="AC81" s="74" t="s">
        <v>263</v>
      </c>
      <c r="AD81" s="74" t="s">
        <v>264</v>
      </c>
      <c r="AE81"/>
      <c r="AF81" s="74">
        <v>41</v>
      </c>
      <c r="AG81" s="74">
        <v>74</v>
      </c>
      <c r="AH81" s="74">
        <v>78</v>
      </c>
      <c r="AI81" s="74">
        <v>75</v>
      </c>
      <c r="AJ81" s="74">
        <v>54</v>
      </c>
      <c r="AK81" s="74">
        <v>41</v>
      </c>
      <c r="AL81" s="74">
        <v>0</v>
      </c>
      <c r="AM81" s="74">
        <f t="shared" si="16"/>
        <v>363</v>
      </c>
      <c r="AO81" s="74">
        <v>1424300</v>
      </c>
      <c r="AP81" s="74" t="s">
        <v>263</v>
      </c>
      <c r="AQ81" s="74" t="s">
        <v>264</v>
      </c>
      <c r="AR81" s="74"/>
      <c r="AS81" s="74">
        <v>41</v>
      </c>
      <c r="AT81" s="74">
        <v>74</v>
      </c>
      <c r="AU81" s="74">
        <v>78</v>
      </c>
      <c r="AV81" s="74">
        <v>75</v>
      </c>
      <c r="AW81" s="74">
        <v>54</v>
      </c>
      <c r="AX81" s="74">
        <v>41</v>
      </c>
      <c r="AY81" s="74">
        <v>0</v>
      </c>
      <c r="AZ81" s="74">
        <f t="shared" si="19"/>
        <v>363</v>
      </c>
      <c r="BB81" s="74">
        <v>1424300</v>
      </c>
      <c r="BC81" s="74" t="s">
        <v>263</v>
      </c>
      <c r="BD81" s="74" t="s">
        <v>264</v>
      </c>
      <c r="BE81" s="74"/>
      <c r="BF81" s="74">
        <v>41</v>
      </c>
      <c r="BG81" s="74">
        <v>74</v>
      </c>
      <c r="BH81" s="74">
        <v>78</v>
      </c>
      <c r="BI81" s="74">
        <v>75</v>
      </c>
      <c r="BJ81" s="74">
        <v>54</v>
      </c>
      <c r="BK81" s="74">
        <v>41</v>
      </c>
      <c r="BL81" s="74">
        <v>0</v>
      </c>
      <c r="BM81" s="74">
        <f t="shared" si="20"/>
        <v>363</v>
      </c>
      <c r="BO81" s="74">
        <v>1424300</v>
      </c>
      <c r="BP81" s="74" t="s">
        <v>263</v>
      </c>
      <c r="BQ81" s="74" t="s">
        <v>264</v>
      </c>
      <c r="BR81" s="74"/>
      <c r="BS81" s="74">
        <v>41</v>
      </c>
      <c r="BT81" s="74">
        <v>74</v>
      </c>
      <c r="BU81" s="74">
        <v>78</v>
      </c>
      <c r="BV81" s="74">
        <v>75</v>
      </c>
      <c r="BW81" s="74">
        <v>54</v>
      </c>
      <c r="BX81" s="74">
        <v>41</v>
      </c>
      <c r="BY81" s="74">
        <v>0</v>
      </c>
      <c r="BZ81" s="74">
        <f t="shared" si="21"/>
        <v>363</v>
      </c>
      <c r="CB81" s="74">
        <v>1424300</v>
      </c>
      <c r="CC81" s="74" t="s">
        <v>263</v>
      </c>
      <c r="CD81" s="74" t="s">
        <v>264</v>
      </c>
      <c r="CE81" s="74"/>
      <c r="CF81" s="74">
        <v>39</v>
      </c>
      <c r="CG81" s="74">
        <v>72</v>
      </c>
      <c r="CH81" s="74">
        <v>76</v>
      </c>
      <c r="CI81" s="74">
        <v>72</v>
      </c>
      <c r="CJ81" s="74">
        <v>52</v>
      </c>
      <c r="CK81" s="74">
        <v>41</v>
      </c>
      <c r="CL81" s="74">
        <v>0</v>
      </c>
      <c r="CM81" s="74">
        <f t="shared" si="17"/>
        <v>352</v>
      </c>
      <c r="CO81" s="74">
        <v>1424300</v>
      </c>
      <c r="CP81" s="74" t="s">
        <v>263</v>
      </c>
      <c r="CQ81" s="74" t="s">
        <v>264</v>
      </c>
      <c r="CR81" s="74"/>
      <c r="CS81" s="74">
        <v>39</v>
      </c>
      <c r="CT81" s="74">
        <v>72</v>
      </c>
      <c r="CU81" s="74">
        <v>76</v>
      </c>
      <c r="CV81" s="74">
        <v>72</v>
      </c>
      <c r="CW81" s="74">
        <v>52</v>
      </c>
      <c r="CX81" s="74">
        <v>41</v>
      </c>
      <c r="CY81" s="74">
        <v>0</v>
      </c>
      <c r="CZ81" s="74">
        <v>352</v>
      </c>
      <c r="DB81" s="74">
        <v>1424300</v>
      </c>
      <c r="DC81" s="74" t="s">
        <v>263</v>
      </c>
      <c r="DD81" s="74" t="s">
        <v>264</v>
      </c>
      <c r="DE81" s="74"/>
      <c r="DF81" s="74">
        <v>38</v>
      </c>
      <c r="DG81" s="74">
        <v>70</v>
      </c>
      <c r="DH81" s="74">
        <v>72</v>
      </c>
      <c r="DI81" s="74">
        <v>68</v>
      </c>
      <c r="DJ81" s="74">
        <v>49</v>
      </c>
      <c r="DK81" s="74">
        <v>39</v>
      </c>
      <c r="DL81" s="74">
        <v>0</v>
      </c>
      <c r="DM81" s="74">
        <v>336</v>
      </c>
      <c r="DO81" s="74">
        <v>1424300</v>
      </c>
      <c r="DP81" s="74" t="s">
        <v>263</v>
      </c>
      <c r="DQ81" s="74" t="s">
        <v>264</v>
      </c>
      <c r="DR81" s="74"/>
      <c r="DS81" s="74">
        <v>36</v>
      </c>
      <c r="DT81" s="74">
        <v>68</v>
      </c>
      <c r="DU81" s="74">
        <v>70</v>
      </c>
      <c r="DV81" s="74">
        <v>67</v>
      </c>
      <c r="DW81" s="74">
        <v>48</v>
      </c>
      <c r="DX81" s="74">
        <v>39</v>
      </c>
      <c r="DY81" s="74">
        <v>0</v>
      </c>
      <c r="DZ81" s="74">
        <v>328</v>
      </c>
      <c r="EA81" s="74"/>
      <c r="EB81" s="74">
        <v>1424400</v>
      </c>
      <c r="EC81" s="74" t="s">
        <v>263</v>
      </c>
      <c r="ED81" s="74" t="s">
        <v>264</v>
      </c>
      <c r="EE81" s="74"/>
      <c r="EF81" s="74">
        <v>9</v>
      </c>
      <c r="EG81" s="74">
        <v>16</v>
      </c>
      <c r="EH81" s="74">
        <v>17</v>
      </c>
      <c r="EI81" s="74">
        <v>16</v>
      </c>
      <c r="EJ81" s="74">
        <v>13</v>
      </c>
      <c r="EK81" s="74">
        <v>7</v>
      </c>
      <c r="EL81" s="74">
        <v>0</v>
      </c>
      <c r="EM81" s="74">
        <v>78</v>
      </c>
      <c r="EN81" s="74"/>
      <c r="EO81" s="74">
        <v>1424500</v>
      </c>
      <c r="EP81" s="74" t="s">
        <v>263</v>
      </c>
      <c r="EQ81" s="74" t="s">
        <v>264</v>
      </c>
      <c r="ER81" s="74"/>
      <c r="ES81" s="74">
        <v>8</v>
      </c>
      <c r="ET81" s="74">
        <v>21</v>
      </c>
      <c r="EU81" s="74">
        <v>19</v>
      </c>
      <c r="EV81" s="74">
        <v>19</v>
      </c>
      <c r="EW81" s="74">
        <v>12</v>
      </c>
      <c r="EX81" s="74">
        <v>11</v>
      </c>
      <c r="EY81" s="74">
        <v>0</v>
      </c>
      <c r="EZ81" s="74">
        <v>90</v>
      </c>
      <c r="FB81" s="74">
        <v>1424700</v>
      </c>
      <c r="FC81" s="74" t="s">
        <v>265</v>
      </c>
      <c r="FD81" s="74" t="s">
        <v>264</v>
      </c>
      <c r="FE81" s="74"/>
      <c r="FF81" s="74">
        <v>31</v>
      </c>
      <c r="FG81" s="74">
        <v>81</v>
      </c>
      <c r="FH81" s="74">
        <v>90</v>
      </c>
      <c r="FI81" s="74">
        <v>90</v>
      </c>
      <c r="FJ81" s="74">
        <v>64</v>
      </c>
      <c r="FK81" s="74">
        <v>59</v>
      </c>
      <c r="FL81" s="74">
        <v>0</v>
      </c>
      <c r="FM81" s="74">
        <v>415</v>
      </c>
      <c r="FO81" s="74">
        <v>1424800</v>
      </c>
      <c r="FP81" s="74" t="s">
        <v>265</v>
      </c>
      <c r="FQ81" s="74" t="s">
        <v>264</v>
      </c>
      <c r="FR81" s="74"/>
      <c r="FS81" s="74">
        <v>27</v>
      </c>
      <c r="FT81" s="74">
        <v>59</v>
      </c>
      <c r="FU81" s="74">
        <v>60</v>
      </c>
      <c r="FV81" s="74">
        <v>59</v>
      </c>
      <c r="FW81" s="74">
        <v>42</v>
      </c>
      <c r="FX81" s="74">
        <v>37</v>
      </c>
      <c r="FY81" s="74">
        <v>0</v>
      </c>
      <c r="FZ81" s="74">
        <v>284</v>
      </c>
      <c r="GB81" s="74">
        <v>1424800</v>
      </c>
      <c r="GC81" s="74" t="s">
        <v>265</v>
      </c>
      <c r="GD81" s="74" t="s">
        <v>264</v>
      </c>
      <c r="GE81" s="74"/>
      <c r="GF81" s="74">
        <v>14</v>
      </c>
      <c r="GG81" s="74">
        <v>19</v>
      </c>
      <c r="GH81" s="74">
        <v>19</v>
      </c>
      <c r="GI81" s="74">
        <v>18</v>
      </c>
      <c r="GJ81" s="74">
        <v>14</v>
      </c>
      <c r="GK81" s="74">
        <v>9</v>
      </c>
      <c r="GL81" s="74">
        <v>0</v>
      </c>
      <c r="GM81" s="74">
        <v>93</v>
      </c>
      <c r="GO81" s="447">
        <v>1424800</v>
      </c>
      <c r="GP81" s="74" t="s">
        <v>265</v>
      </c>
      <c r="GQ81" s="74" t="s">
        <v>264</v>
      </c>
      <c r="GR81" s="74"/>
      <c r="GS81" s="74">
        <v>11</v>
      </c>
      <c r="GT81" s="74">
        <v>14</v>
      </c>
      <c r="GU81" s="74">
        <v>12</v>
      </c>
      <c r="GV81" s="74">
        <v>12</v>
      </c>
      <c r="GW81" s="74">
        <v>10</v>
      </c>
      <c r="GX81" s="74">
        <v>6</v>
      </c>
      <c r="GY81" s="74">
        <v>0</v>
      </c>
      <c r="GZ81" s="74">
        <f t="shared" si="25"/>
        <v>65</v>
      </c>
    </row>
    <row r="82" spans="1:208">
      <c r="A82" s="478">
        <v>1424400</v>
      </c>
      <c r="B82" s="478" t="s">
        <v>11</v>
      </c>
      <c r="C82" s="478">
        <v>10</v>
      </c>
      <c r="D82" s="478">
        <v>18</v>
      </c>
      <c r="E82" s="478">
        <v>23</v>
      </c>
      <c r="F82" s="478">
        <v>22</v>
      </c>
      <c r="G82" s="478">
        <v>17</v>
      </c>
      <c r="H82" s="478">
        <v>9</v>
      </c>
      <c r="I82" s="478"/>
      <c r="J82" s="479">
        <f t="shared" si="24"/>
        <v>99</v>
      </c>
      <c r="K82" s="480">
        <f>'CORTE 4200'!$O$718</f>
        <v>-151</v>
      </c>
      <c r="L82" s="480"/>
      <c r="M82" s="481"/>
      <c r="N82" s="500"/>
      <c r="O82">
        <v>1424400</v>
      </c>
      <c r="P82" t="s">
        <v>263</v>
      </c>
      <c r="Q82" t="s">
        <v>264</v>
      </c>
      <c r="R82"/>
      <c r="S82">
        <v>10</v>
      </c>
      <c r="T82">
        <v>18</v>
      </c>
      <c r="U82">
        <v>23</v>
      </c>
      <c r="V82">
        <v>22</v>
      </c>
      <c r="W82">
        <v>17</v>
      </c>
      <c r="X82">
        <v>9</v>
      </c>
      <c r="Y82">
        <v>0</v>
      </c>
      <c r="Z82">
        <f t="shared" si="18"/>
        <v>99</v>
      </c>
      <c r="AA82" s="500"/>
      <c r="AB82" s="74">
        <v>1424400</v>
      </c>
      <c r="AC82" s="74" t="s">
        <v>263</v>
      </c>
      <c r="AD82" s="74" t="s">
        <v>264</v>
      </c>
      <c r="AE82"/>
      <c r="AF82" s="74">
        <v>12</v>
      </c>
      <c r="AG82" s="74">
        <v>22</v>
      </c>
      <c r="AH82" s="74">
        <v>27</v>
      </c>
      <c r="AI82" s="74">
        <v>24</v>
      </c>
      <c r="AJ82" s="74">
        <v>18</v>
      </c>
      <c r="AK82" s="74">
        <v>10</v>
      </c>
      <c r="AL82" s="74">
        <v>0</v>
      </c>
      <c r="AM82" s="74">
        <f t="shared" si="16"/>
        <v>113</v>
      </c>
      <c r="AO82" s="74">
        <v>1424400</v>
      </c>
      <c r="AP82" s="74" t="s">
        <v>263</v>
      </c>
      <c r="AQ82" s="74" t="s">
        <v>264</v>
      </c>
      <c r="AR82" s="74"/>
      <c r="AS82" s="74">
        <v>12</v>
      </c>
      <c r="AT82" s="74">
        <v>22</v>
      </c>
      <c r="AU82" s="74">
        <v>27</v>
      </c>
      <c r="AV82" s="74">
        <v>24</v>
      </c>
      <c r="AW82" s="74">
        <v>18</v>
      </c>
      <c r="AX82" s="74">
        <v>10</v>
      </c>
      <c r="AY82" s="74">
        <v>0</v>
      </c>
      <c r="AZ82" s="74">
        <f t="shared" si="19"/>
        <v>113</v>
      </c>
      <c r="BB82" s="74">
        <v>1424400</v>
      </c>
      <c r="BC82" s="74" t="s">
        <v>263</v>
      </c>
      <c r="BD82" s="74" t="s">
        <v>264</v>
      </c>
      <c r="BE82" s="74"/>
      <c r="BF82" s="74">
        <v>12</v>
      </c>
      <c r="BG82" s="74">
        <v>22</v>
      </c>
      <c r="BH82" s="74">
        <v>27</v>
      </c>
      <c r="BI82" s="74">
        <v>24</v>
      </c>
      <c r="BJ82" s="74">
        <v>18</v>
      </c>
      <c r="BK82" s="74">
        <v>10</v>
      </c>
      <c r="BL82" s="74">
        <v>0</v>
      </c>
      <c r="BM82" s="74">
        <f t="shared" si="20"/>
        <v>113</v>
      </c>
      <c r="BO82" s="74">
        <v>1424400</v>
      </c>
      <c r="BP82" s="74" t="s">
        <v>263</v>
      </c>
      <c r="BQ82" s="74" t="s">
        <v>264</v>
      </c>
      <c r="BR82" s="74"/>
      <c r="BS82" s="74">
        <v>12</v>
      </c>
      <c r="BT82" s="74">
        <v>22</v>
      </c>
      <c r="BU82" s="74">
        <v>27</v>
      </c>
      <c r="BV82" s="74">
        <v>24</v>
      </c>
      <c r="BW82" s="74">
        <v>18</v>
      </c>
      <c r="BX82" s="74">
        <v>10</v>
      </c>
      <c r="BY82" s="74">
        <v>0</v>
      </c>
      <c r="BZ82" s="74">
        <f t="shared" si="21"/>
        <v>113</v>
      </c>
      <c r="CB82" s="74">
        <v>1424400</v>
      </c>
      <c r="CC82" s="74" t="s">
        <v>263</v>
      </c>
      <c r="CD82" s="74" t="s">
        <v>264</v>
      </c>
      <c r="CE82" s="74"/>
      <c r="CF82" s="74">
        <v>12</v>
      </c>
      <c r="CG82" s="74">
        <v>22</v>
      </c>
      <c r="CH82" s="74">
        <v>27</v>
      </c>
      <c r="CI82" s="74">
        <v>24</v>
      </c>
      <c r="CJ82" s="74">
        <v>18</v>
      </c>
      <c r="CK82" s="74">
        <v>10</v>
      </c>
      <c r="CL82" s="74">
        <v>0</v>
      </c>
      <c r="CM82" s="74">
        <f t="shared" si="17"/>
        <v>113</v>
      </c>
      <c r="CO82" s="74">
        <v>1424400</v>
      </c>
      <c r="CP82" s="74" t="s">
        <v>263</v>
      </c>
      <c r="CQ82" s="74" t="s">
        <v>264</v>
      </c>
      <c r="CR82" s="74"/>
      <c r="CS82" s="74">
        <v>12</v>
      </c>
      <c r="CT82" s="74">
        <v>22</v>
      </c>
      <c r="CU82" s="74">
        <v>27</v>
      </c>
      <c r="CV82" s="74">
        <v>24</v>
      </c>
      <c r="CW82" s="74">
        <v>18</v>
      </c>
      <c r="CX82" s="74">
        <v>10</v>
      </c>
      <c r="CY82" s="74">
        <v>0</v>
      </c>
      <c r="CZ82" s="74">
        <v>113</v>
      </c>
      <c r="DB82" s="74">
        <v>1424400</v>
      </c>
      <c r="DC82" s="74" t="s">
        <v>263</v>
      </c>
      <c r="DD82" s="74" t="s">
        <v>264</v>
      </c>
      <c r="DE82" s="74"/>
      <c r="DF82" s="74">
        <v>11</v>
      </c>
      <c r="DG82" s="74">
        <v>21</v>
      </c>
      <c r="DH82" s="74">
        <v>25</v>
      </c>
      <c r="DI82" s="74">
        <v>22</v>
      </c>
      <c r="DJ82" s="74">
        <v>16</v>
      </c>
      <c r="DK82" s="74">
        <v>9</v>
      </c>
      <c r="DL82" s="74">
        <v>0</v>
      </c>
      <c r="DM82" s="74">
        <v>104</v>
      </c>
      <c r="DO82" s="74">
        <v>1424400</v>
      </c>
      <c r="DP82" s="74" t="s">
        <v>263</v>
      </c>
      <c r="DQ82" s="74" t="s">
        <v>264</v>
      </c>
      <c r="DR82" s="74"/>
      <c r="DS82" s="74">
        <v>11</v>
      </c>
      <c r="DT82" s="74">
        <v>20</v>
      </c>
      <c r="DU82" s="74">
        <v>21</v>
      </c>
      <c r="DV82" s="74">
        <v>18</v>
      </c>
      <c r="DW82" s="74">
        <v>14</v>
      </c>
      <c r="DX82" s="74">
        <v>8</v>
      </c>
      <c r="DY82" s="74">
        <v>0</v>
      </c>
      <c r="DZ82" s="74">
        <v>92</v>
      </c>
      <c r="EA82" s="74"/>
      <c r="EB82" s="74">
        <v>1424500</v>
      </c>
      <c r="EC82" s="74" t="s">
        <v>263</v>
      </c>
      <c r="ED82" s="74" t="s">
        <v>264</v>
      </c>
      <c r="EE82" s="74"/>
      <c r="EF82" s="74">
        <v>8</v>
      </c>
      <c r="EG82" s="74">
        <v>21</v>
      </c>
      <c r="EH82" s="74">
        <v>19</v>
      </c>
      <c r="EI82" s="74">
        <v>19</v>
      </c>
      <c r="EJ82" s="74">
        <v>12</v>
      </c>
      <c r="EK82" s="74">
        <v>11</v>
      </c>
      <c r="EL82" s="74">
        <v>0</v>
      </c>
      <c r="EM82" s="74">
        <v>90</v>
      </c>
      <c r="EN82" s="74"/>
      <c r="EO82" s="74">
        <v>1424600</v>
      </c>
      <c r="EP82" s="74" t="s">
        <v>274</v>
      </c>
      <c r="EQ82" s="74" t="s">
        <v>264</v>
      </c>
      <c r="ER82" s="74"/>
      <c r="ES82" s="74">
        <v>8</v>
      </c>
      <c r="ET82" s="74">
        <v>18</v>
      </c>
      <c r="EU82" s="74">
        <v>19</v>
      </c>
      <c r="EV82" s="74">
        <v>18</v>
      </c>
      <c r="EW82" s="74">
        <v>12</v>
      </c>
      <c r="EX82" s="74">
        <v>9</v>
      </c>
      <c r="EY82" s="74">
        <v>0</v>
      </c>
      <c r="EZ82" s="74">
        <v>84</v>
      </c>
      <c r="FB82" s="74">
        <v>1424800</v>
      </c>
      <c r="FC82" s="74" t="s">
        <v>265</v>
      </c>
      <c r="FD82" s="74" t="s">
        <v>264</v>
      </c>
      <c r="FE82" s="74"/>
      <c r="FF82" s="74">
        <v>27</v>
      </c>
      <c r="FG82" s="74">
        <v>59</v>
      </c>
      <c r="FH82" s="74">
        <v>60</v>
      </c>
      <c r="FI82" s="74">
        <v>59</v>
      </c>
      <c r="FJ82" s="74">
        <v>42</v>
      </c>
      <c r="FK82" s="74">
        <v>37</v>
      </c>
      <c r="FL82" s="74">
        <v>0</v>
      </c>
      <c r="FM82" s="74">
        <v>284</v>
      </c>
      <c r="FO82" s="74">
        <v>1424801</v>
      </c>
      <c r="FP82" s="74" t="s">
        <v>265</v>
      </c>
      <c r="FQ82" s="74" t="s">
        <v>264</v>
      </c>
      <c r="FR82" s="74"/>
      <c r="FS82" s="74">
        <v>16</v>
      </c>
      <c r="FT82" s="74">
        <v>40</v>
      </c>
      <c r="FU82" s="74">
        <v>47</v>
      </c>
      <c r="FV82" s="74">
        <v>44</v>
      </c>
      <c r="FW82" s="74">
        <v>31</v>
      </c>
      <c r="FX82" s="74">
        <v>25</v>
      </c>
      <c r="FY82" s="74">
        <v>0</v>
      </c>
      <c r="FZ82" s="74">
        <v>203</v>
      </c>
      <c r="GB82" s="74">
        <v>1424801</v>
      </c>
      <c r="GC82" s="74" t="s">
        <v>265</v>
      </c>
      <c r="GD82" s="74" t="s">
        <v>264</v>
      </c>
      <c r="GE82" s="74"/>
      <c r="GF82" s="74">
        <v>10</v>
      </c>
      <c r="GG82" s="74">
        <v>21</v>
      </c>
      <c r="GH82" s="74">
        <v>25</v>
      </c>
      <c r="GI82" s="74">
        <v>22</v>
      </c>
      <c r="GJ82" s="74">
        <v>15</v>
      </c>
      <c r="GK82" s="74">
        <v>9</v>
      </c>
      <c r="GL82" s="74">
        <v>0</v>
      </c>
      <c r="GM82" s="74">
        <v>102</v>
      </c>
      <c r="GO82" s="447">
        <v>1424801</v>
      </c>
      <c r="GP82" s="74" t="s">
        <v>265</v>
      </c>
      <c r="GQ82" s="74" t="s">
        <v>264</v>
      </c>
      <c r="GR82" s="74"/>
      <c r="GS82" s="74">
        <v>7</v>
      </c>
      <c r="GT82" s="74">
        <v>16</v>
      </c>
      <c r="GU82" s="74">
        <v>18</v>
      </c>
      <c r="GV82" s="74">
        <v>16</v>
      </c>
      <c r="GW82" s="74">
        <v>11</v>
      </c>
      <c r="GX82" s="74">
        <v>6</v>
      </c>
      <c r="GY82" s="74">
        <v>0</v>
      </c>
      <c r="GZ82" s="74">
        <f t="shared" si="25"/>
        <v>74</v>
      </c>
    </row>
    <row r="83" spans="1:208">
      <c r="A83" s="478">
        <v>1424500</v>
      </c>
      <c r="B83" s="478" t="s">
        <v>36</v>
      </c>
      <c r="C83" s="478">
        <v>11</v>
      </c>
      <c r="D83" s="478">
        <v>27</v>
      </c>
      <c r="E83" s="478">
        <v>25</v>
      </c>
      <c r="F83" s="478">
        <v>24</v>
      </c>
      <c r="G83" s="478">
        <v>15</v>
      </c>
      <c r="H83" s="478">
        <v>13</v>
      </c>
      <c r="I83" s="478"/>
      <c r="J83" s="479">
        <f t="shared" si="23"/>
        <v>115</v>
      </c>
      <c r="K83" s="480">
        <f>'CORTE 4200'!$O$727</f>
        <v>-22</v>
      </c>
      <c r="L83" s="480"/>
      <c r="M83" s="481"/>
      <c r="N83" s="500"/>
      <c r="O83">
        <v>1424500</v>
      </c>
      <c r="P83" t="s">
        <v>263</v>
      </c>
      <c r="Q83" t="s">
        <v>264</v>
      </c>
      <c r="R83"/>
      <c r="S83">
        <v>11</v>
      </c>
      <c r="T83">
        <v>27</v>
      </c>
      <c r="U83">
        <v>25</v>
      </c>
      <c r="V83">
        <v>24</v>
      </c>
      <c r="W83">
        <v>15</v>
      </c>
      <c r="X83">
        <v>13</v>
      </c>
      <c r="Y83">
        <v>0</v>
      </c>
      <c r="Z83">
        <f t="shared" si="18"/>
        <v>115</v>
      </c>
      <c r="AA83" s="500"/>
      <c r="AB83" s="74">
        <v>1424500</v>
      </c>
      <c r="AC83" s="74" t="s">
        <v>263</v>
      </c>
      <c r="AD83" s="74" t="s">
        <v>264</v>
      </c>
      <c r="AE83"/>
      <c r="AF83" s="74">
        <v>10</v>
      </c>
      <c r="AG83" s="74">
        <v>25</v>
      </c>
      <c r="AH83" s="74">
        <v>23</v>
      </c>
      <c r="AI83" s="74">
        <v>22</v>
      </c>
      <c r="AJ83" s="74">
        <v>14</v>
      </c>
      <c r="AK83" s="74">
        <v>12</v>
      </c>
      <c r="AL83" s="74">
        <v>0</v>
      </c>
      <c r="AM83" s="74">
        <f t="shared" si="16"/>
        <v>106</v>
      </c>
      <c r="AO83" s="74">
        <v>1424500</v>
      </c>
      <c r="AP83" s="74" t="s">
        <v>263</v>
      </c>
      <c r="AQ83" s="74" t="s">
        <v>264</v>
      </c>
      <c r="AR83" s="74"/>
      <c r="AS83" s="74">
        <v>10</v>
      </c>
      <c r="AT83" s="74">
        <v>25</v>
      </c>
      <c r="AU83" s="74">
        <v>23</v>
      </c>
      <c r="AV83" s="74">
        <v>22</v>
      </c>
      <c r="AW83" s="74">
        <v>14</v>
      </c>
      <c r="AX83" s="74">
        <v>12</v>
      </c>
      <c r="AY83" s="74">
        <v>0</v>
      </c>
      <c r="AZ83" s="74">
        <f t="shared" si="19"/>
        <v>106</v>
      </c>
      <c r="BB83" s="74">
        <v>1424500</v>
      </c>
      <c r="BC83" s="74" t="s">
        <v>263</v>
      </c>
      <c r="BD83" s="74" t="s">
        <v>264</v>
      </c>
      <c r="BE83" s="74"/>
      <c r="BF83" s="74">
        <v>10</v>
      </c>
      <c r="BG83" s="74">
        <v>25</v>
      </c>
      <c r="BH83" s="74">
        <v>23</v>
      </c>
      <c r="BI83" s="74">
        <v>22</v>
      </c>
      <c r="BJ83" s="74">
        <v>14</v>
      </c>
      <c r="BK83" s="74">
        <v>12</v>
      </c>
      <c r="BL83" s="74">
        <v>0</v>
      </c>
      <c r="BM83" s="74">
        <f t="shared" si="20"/>
        <v>106</v>
      </c>
      <c r="BO83" s="74">
        <v>1424500</v>
      </c>
      <c r="BP83" s="74" t="s">
        <v>263</v>
      </c>
      <c r="BQ83" s="74" t="s">
        <v>264</v>
      </c>
      <c r="BR83" s="74"/>
      <c r="BS83" s="74">
        <v>8</v>
      </c>
      <c r="BT83" s="74">
        <v>21</v>
      </c>
      <c r="BU83" s="74">
        <v>19</v>
      </c>
      <c r="BV83" s="74">
        <v>19</v>
      </c>
      <c r="BW83" s="74">
        <v>12</v>
      </c>
      <c r="BX83" s="74">
        <v>11</v>
      </c>
      <c r="BY83" s="74">
        <v>0</v>
      </c>
      <c r="BZ83" s="74">
        <f t="shared" si="21"/>
        <v>90</v>
      </c>
      <c r="CB83" s="74">
        <v>1424500</v>
      </c>
      <c r="CC83" s="74" t="s">
        <v>263</v>
      </c>
      <c r="CD83" s="74" t="s">
        <v>264</v>
      </c>
      <c r="CE83" s="74"/>
      <c r="CF83" s="74">
        <v>8</v>
      </c>
      <c r="CG83" s="74">
        <v>21</v>
      </c>
      <c r="CH83" s="74">
        <v>19</v>
      </c>
      <c r="CI83" s="74">
        <v>19</v>
      </c>
      <c r="CJ83" s="74">
        <v>12</v>
      </c>
      <c r="CK83" s="74">
        <v>11</v>
      </c>
      <c r="CL83" s="74">
        <v>0</v>
      </c>
      <c r="CM83" s="74">
        <f t="shared" si="17"/>
        <v>90</v>
      </c>
      <c r="CO83" s="74">
        <v>1424500</v>
      </c>
      <c r="CP83" s="74" t="s">
        <v>263</v>
      </c>
      <c r="CQ83" s="74" t="s">
        <v>264</v>
      </c>
      <c r="CR83" s="74"/>
      <c r="CS83" s="74">
        <v>8</v>
      </c>
      <c r="CT83" s="74">
        <v>21</v>
      </c>
      <c r="CU83" s="74">
        <v>19</v>
      </c>
      <c r="CV83" s="74">
        <v>19</v>
      </c>
      <c r="CW83" s="74">
        <v>12</v>
      </c>
      <c r="CX83" s="74">
        <v>11</v>
      </c>
      <c r="CY83" s="74">
        <v>0</v>
      </c>
      <c r="CZ83" s="74">
        <v>90</v>
      </c>
      <c r="DB83" s="74">
        <v>1424500</v>
      </c>
      <c r="DC83" s="74" t="s">
        <v>263</v>
      </c>
      <c r="DD83" s="74" t="s">
        <v>264</v>
      </c>
      <c r="DE83" s="74"/>
      <c r="DF83" s="74">
        <v>8</v>
      </c>
      <c r="DG83" s="74">
        <v>21</v>
      </c>
      <c r="DH83" s="74">
        <v>19</v>
      </c>
      <c r="DI83" s="74">
        <v>19</v>
      </c>
      <c r="DJ83" s="74">
        <v>12</v>
      </c>
      <c r="DK83" s="74">
        <v>11</v>
      </c>
      <c r="DL83" s="74">
        <v>0</v>
      </c>
      <c r="DM83" s="74">
        <v>90</v>
      </c>
      <c r="DO83" s="74">
        <v>1424500</v>
      </c>
      <c r="DP83" s="74" t="s">
        <v>263</v>
      </c>
      <c r="DQ83" s="74" t="s">
        <v>264</v>
      </c>
      <c r="DR83" s="74"/>
      <c r="DS83" s="74">
        <v>8</v>
      </c>
      <c r="DT83" s="74">
        <v>21</v>
      </c>
      <c r="DU83" s="74">
        <v>19</v>
      </c>
      <c r="DV83" s="74">
        <v>19</v>
      </c>
      <c r="DW83" s="74">
        <v>12</v>
      </c>
      <c r="DX83" s="74">
        <v>11</v>
      </c>
      <c r="DY83" s="74">
        <v>0</v>
      </c>
      <c r="DZ83" s="74">
        <v>90</v>
      </c>
      <c r="EA83" s="74"/>
      <c r="EB83" s="74">
        <v>1424600</v>
      </c>
      <c r="EC83" s="74" t="s">
        <v>274</v>
      </c>
      <c r="ED83" s="74" t="s">
        <v>264</v>
      </c>
      <c r="EE83" s="74"/>
      <c r="EF83" s="74">
        <v>8</v>
      </c>
      <c r="EG83" s="74">
        <v>18</v>
      </c>
      <c r="EH83" s="74">
        <v>19</v>
      </c>
      <c r="EI83" s="74">
        <v>18</v>
      </c>
      <c r="EJ83" s="74">
        <v>12</v>
      </c>
      <c r="EK83" s="74">
        <v>9</v>
      </c>
      <c r="EL83" s="74">
        <v>0</v>
      </c>
      <c r="EM83" s="74">
        <v>84</v>
      </c>
      <c r="EN83" s="74"/>
      <c r="EO83" s="74">
        <v>1424700</v>
      </c>
      <c r="EP83" s="74" t="s">
        <v>265</v>
      </c>
      <c r="EQ83" s="74" t="s">
        <v>264</v>
      </c>
      <c r="ER83" s="74"/>
      <c r="ES83" s="74">
        <v>37</v>
      </c>
      <c r="ET83" s="74">
        <v>89</v>
      </c>
      <c r="EU83" s="74">
        <v>98</v>
      </c>
      <c r="EV83" s="74">
        <v>97</v>
      </c>
      <c r="EW83" s="74">
        <v>71</v>
      </c>
      <c r="EX83" s="74">
        <v>64</v>
      </c>
      <c r="EY83" s="74">
        <v>0</v>
      </c>
      <c r="EZ83" s="74">
        <v>456</v>
      </c>
      <c r="FB83" s="74">
        <v>1424801</v>
      </c>
      <c r="FC83" s="74" t="s">
        <v>265</v>
      </c>
      <c r="FD83" s="74" t="s">
        <v>264</v>
      </c>
      <c r="FE83" s="74"/>
      <c r="FF83" s="74">
        <v>16</v>
      </c>
      <c r="FG83" s="74">
        <v>40</v>
      </c>
      <c r="FH83" s="74">
        <v>47</v>
      </c>
      <c r="FI83" s="74">
        <v>44</v>
      </c>
      <c r="FJ83" s="74">
        <v>31</v>
      </c>
      <c r="FK83" s="74">
        <v>25</v>
      </c>
      <c r="FL83" s="74">
        <v>0</v>
      </c>
      <c r="FM83" s="74">
        <v>203</v>
      </c>
      <c r="FO83" s="74">
        <v>1424900</v>
      </c>
      <c r="FP83" s="74" t="s">
        <v>263</v>
      </c>
      <c r="FQ83" s="74" t="s">
        <v>264</v>
      </c>
      <c r="FR83" s="74"/>
      <c r="FS83" s="74">
        <v>35</v>
      </c>
      <c r="FT83" s="74">
        <v>73</v>
      </c>
      <c r="FU83" s="74">
        <v>85</v>
      </c>
      <c r="FV83" s="74">
        <v>81</v>
      </c>
      <c r="FW83" s="74">
        <v>61</v>
      </c>
      <c r="FX83" s="74">
        <v>51</v>
      </c>
      <c r="FY83" s="74">
        <v>0</v>
      </c>
      <c r="FZ83" s="74">
        <v>386</v>
      </c>
      <c r="GB83" s="74">
        <v>1424900</v>
      </c>
      <c r="GC83" s="74" t="s">
        <v>263</v>
      </c>
      <c r="GD83" s="74" t="s">
        <v>264</v>
      </c>
      <c r="GE83" s="74"/>
      <c r="GF83" s="74">
        <v>21</v>
      </c>
      <c r="GG83" s="74">
        <v>33</v>
      </c>
      <c r="GH83" s="74">
        <v>40</v>
      </c>
      <c r="GI83" s="74">
        <v>36</v>
      </c>
      <c r="GJ83" s="74">
        <v>29</v>
      </c>
      <c r="GK83" s="74">
        <v>22</v>
      </c>
      <c r="GL83" s="74">
        <v>0</v>
      </c>
      <c r="GM83" s="74">
        <v>181</v>
      </c>
      <c r="GO83" s="448">
        <v>1424900</v>
      </c>
      <c r="GP83" s="74" t="s">
        <v>263</v>
      </c>
      <c r="GQ83" s="74" t="s">
        <v>264</v>
      </c>
      <c r="GR83" s="74"/>
      <c r="GS83" s="74">
        <v>20</v>
      </c>
      <c r="GT83" s="74">
        <v>30</v>
      </c>
      <c r="GU83" s="74">
        <v>36</v>
      </c>
      <c r="GV83" s="74">
        <v>33</v>
      </c>
      <c r="GW83" s="74">
        <v>27</v>
      </c>
      <c r="GX83" s="74">
        <v>21</v>
      </c>
      <c r="GY83" s="74">
        <v>0</v>
      </c>
      <c r="GZ83" s="74">
        <f t="shared" si="25"/>
        <v>167</v>
      </c>
    </row>
    <row r="84" spans="1:208">
      <c r="A84" s="478">
        <v>1424600</v>
      </c>
      <c r="B84" s="478" t="s">
        <v>50</v>
      </c>
      <c r="C84" s="478">
        <v>8</v>
      </c>
      <c r="D84" s="478">
        <v>18</v>
      </c>
      <c r="E84" s="478">
        <v>19</v>
      </c>
      <c r="F84" s="478">
        <v>18</v>
      </c>
      <c r="G84" s="478">
        <v>12</v>
      </c>
      <c r="H84" s="478">
        <v>9</v>
      </c>
      <c r="I84" s="478"/>
      <c r="J84" s="479">
        <f>SUM(C84:H84)</f>
        <v>84</v>
      </c>
      <c r="K84" s="480">
        <f>'CORTE 4200'!$O$736</f>
        <v>-94</v>
      </c>
      <c r="L84" s="480"/>
      <c r="M84" s="481"/>
      <c r="N84" s="500"/>
      <c r="O84">
        <v>1424600</v>
      </c>
      <c r="P84" t="s">
        <v>274</v>
      </c>
      <c r="Q84" t="s">
        <v>264</v>
      </c>
      <c r="R84"/>
      <c r="S84">
        <v>8</v>
      </c>
      <c r="T84">
        <v>18</v>
      </c>
      <c r="U84">
        <v>19</v>
      </c>
      <c r="V84">
        <v>18</v>
      </c>
      <c r="W84">
        <v>12</v>
      </c>
      <c r="X84">
        <v>9</v>
      </c>
      <c r="Y84">
        <v>0</v>
      </c>
      <c r="Z84">
        <f t="shared" si="18"/>
        <v>84</v>
      </c>
      <c r="AA84" s="500"/>
      <c r="AB84" s="74">
        <v>1424600</v>
      </c>
      <c r="AC84" s="74" t="s">
        <v>274</v>
      </c>
      <c r="AD84" s="74" t="s">
        <v>264</v>
      </c>
      <c r="AE84"/>
      <c r="AF84" s="74">
        <v>8</v>
      </c>
      <c r="AG84" s="74">
        <v>18</v>
      </c>
      <c r="AH84" s="74">
        <v>19</v>
      </c>
      <c r="AI84" s="74">
        <v>18</v>
      </c>
      <c r="AJ84" s="74">
        <v>12</v>
      </c>
      <c r="AK84" s="74">
        <v>9</v>
      </c>
      <c r="AL84" s="74">
        <v>0</v>
      </c>
      <c r="AM84" s="74">
        <f t="shared" si="16"/>
        <v>84</v>
      </c>
      <c r="AO84" s="74">
        <v>1424600</v>
      </c>
      <c r="AP84" s="74" t="s">
        <v>274</v>
      </c>
      <c r="AQ84" s="74" t="s">
        <v>264</v>
      </c>
      <c r="AR84" s="74"/>
      <c r="AS84" s="74">
        <v>8</v>
      </c>
      <c r="AT84" s="74">
        <v>18</v>
      </c>
      <c r="AU84" s="74">
        <v>19</v>
      </c>
      <c r="AV84" s="74">
        <v>18</v>
      </c>
      <c r="AW84" s="74">
        <v>12</v>
      </c>
      <c r="AX84" s="74">
        <v>9</v>
      </c>
      <c r="AY84" s="74">
        <v>0</v>
      </c>
      <c r="AZ84" s="74">
        <f t="shared" si="19"/>
        <v>84</v>
      </c>
      <c r="BB84" s="74">
        <v>1424600</v>
      </c>
      <c r="BC84" s="74" t="s">
        <v>274</v>
      </c>
      <c r="BD84" s="74" t="s">
        <v>264</v>
      </c>
      <c r="BE84" s="74"/>
      <c r="BF84" s="74">
        <v>8</v>
      </c>
      <c r="BG84" s="74">
        <v>18</v>
      </c>
      <c r="BH84" s="74">
        <v>19</v>
      </c>
      <c r="BI84" s="74">
        <v>18</v>
      </c>
      <c r="BJ84" s="74">
        <v>12</v>
      </c>
      <c r="BK84" s="74">
        <v>9</v>
      </c>
      <c r="BL84" s="74">
        <v>0</v>
      </c>
      <c r="BM84" s="74">
        <f t="shared" si="20"/>
        <v>84</v>
      </c>
      <c r="BO84" s="74">
        <v>1424600</v>
      </c>
      <c r="BP84" s="74" t="s">
        <v>274</v>
      </c>
      <c r="BQ84" s="74" t="s">
        <v>264</v>
      </c>
      <c r="BR84" s="74"/>
      <c r="BS84" s="74">
        <v>8</v>
      </c>
      <c r="BT84" s="74">
        <v>18</v>
      </c>
      <c r="BU84" s="74">
        <v>19</v>
      </c>
      <c r="BV84" s="74">
        <v>18</v>
      </c>
      <c r="BW84" s="74">
        <v>12</v>
      </c>
      <c r="BX84" s="74">
        <v>9</v>
      </c>
      <c r="BY84" s="74">
        <v>0</v>
      </c>
      <c r="BZ84" s="74">
        <f t="shared" si="21"/>
        <v>84</v>
      </c>
      <c r="CB84" s="74">
        <v>1424600</v>
      </c>
      <c r="CC84" s="74" t="s">
        <v>274</v>
      </c>
      <c r="CD84" s="74" t="s">
        <v>264</v>
      </c>
      <c r="CE84" s="74"/>
      <c r="CF84" s="74">
        <v>8</v>
      </c>
      <c r="CG84" s="74">
        <v>18</v>
      </c>
      <c r="CH84" s="74">
        <v>19</v>
      </c>
      <c r="CI84" s="74">
        <v>18</v>
      </c>
      <c r="CJ84" s="74">
        <v>12</v>
      </c>
      <c r="CK84" s="74">
        <v>9</v>
      </c>
      <c r="CL84" s="74">
        <v>0</v>
      </c>
      <c r="CM84" s="74">
        <f t="shared" si="17"/>
        <v>84</v>
      </c>
      <c r="CO84" s="74">
        <v>1424600</v>
      </c>
      <c r="CP84" s="74" t="s">
        <v>274</v>
      </c>
      <c r="CQ84" s="74" t="s">
        <v>264</v>
      </c>
      <c r="CR84" s="74"/>
      <c r="CS84" s="74">
        <v>8</v>
      </c>
      <c r="CT84" s="74">
        <v>18</v>
      </c>
      <c r="CU84" s="74">
        <v>19</v>
      </c>
      <c r="CV84" s="74">
        <v>18</v>
      </c>
      <c r="CW84" s="74">
        <v>12</v>
      </c>
      <c r="CX84" s="74">
        <v>9</v>
      </c>
      <c r="CY84" s="74">
        <v>0</v>
      </c>
      <c r="CZ84" s="74">
        <v>84</v>
      </c>
      <c r="DB84" s="74">
        <v>1424600</v>
      </c>
      <c r="DC84" s="74" t="s">
        <v>274</v>
      </c>
      <c r="DD84" s="74" t="s">
        <v>264</v>
      </c>
      <c r="DE84" s="74"/>
      <c r="DF84" s="74">
        <v>8</v>
      </c>
      <c r="DG84" s="74">
        <v>18</v>
      </c>
      <c r="DH84" s="74">
        <v>19</v>
      </c>
      <c r="DI84" s="74">
        <v>18</v>
      </c>
      <c r="DJ84" s="74">
        <v>12</v>
      </c>
      <c r="DK84" s="74">
        <v>9</v>
      </c>
      <c r="DL84" s="74">
        <v>0</v>
      </c>
      <c r="DM84" s="74">
        <v>84</v>
      </c>
      <c r="DO84" s="74">
        <v>1424600</v>
      </c>
      <c r="DP84" s="74" t="s">
        <v>274</v>
      </c>
      <c r="DQ84" s="74" t="s">
        <v>264</v>
      </c>
      <c r="DR84" s="74"/>
      <c r="DS84" s="74">
        <v>8</v>
      </c>
      <c r="DT84" s="74">
        <v>18</v>
      </c>
      <c r="DU84" s="74">
        <v>19</v>
      </c>
      <c r="DV84" s="74">
        <v>18</v>
      </c>
      <c r="DW84" s="74">
        <v>12</v>
      </c>
      <c r="DX84" s="74">
        <v>9</v>
      </c>
      <c r="DY84" s="74">
        <v>0</v>
      </c>
      <c r="DZ84" s="74">
        <v>84</v>
      </c>
      <c r="EA84" s="74"/>
      <c r="EB84" s="74">
        <v>1424700</v>
      </c>
      <c r="EC84" s="74" t="s">
        <v>265</v>
      </c>
      <c r="ED84" s="74" t="s">
        <v>264</v>
      </c>
      <c r="EE84" s="74"/>
      <c r="EF84" s="74">
        <v>42</v>
      </c>
      <c r="EG84" s="74">
        <v>95</v>
      </c>
      <c r="EH84" s="74">
        <v>104</v>
      </c>
      <c r="EI84" s="74">
        <v>102</v>
      </c>
      <c r="EJ84" s="74">
        <v>74</v>
      </c>
      <c r="EK84" s="74">
        <v>66</v>
      </c>
      <c r="EL84" s="74">
        <v>0</v>
      </c>
      <c r="EM84" s="74">
        <v>483</v>
      </c>
      <c r="EN84" s="74"/>
      <c r="EO84" s="74">
        <v>1424800</v>
      </c>
      <c r="EP84" s="74" t="s">
        <v>265</v>
      </c>
      <c r="EQ84" s="74" t="s">
        <v>264</v>
      </c>
      <c r="ER84" s="74"/>
      <c r="ES84" s="74">
        <v>30</v>
      </c>
      <c r="ET84" s="74">
        <v>64</v>
      </c>
      <c r="EU84" s="74">
        <v>65</v>
      </c>
      <c r="EV84" s="74">
        <v>64</v>
      </c>
      <c r="EW84" s="74">
        <v>46</v>
      </c>
      <c r="EX84" s="74">
        <v>40</v>
      </c>
      <c r="EY84" s="74">
        <v>0</v>
      </c>
      <c r="EZ84" s="74">
        <v>309</v>
      </c>
      <c r="FB84" s="74">
        <v>1424900</v>
      </c>
      <c r="FC84" s="74" t="s">
        <v>263</v>
      </c>
      <c r="FD84" s="74" t="s">
        <v>264</v>
      </c>
      <c r="FE84" s="74"/>
      <c r="FF84" s="74">
        <v>37</v>
      </c>
      <c r="FG84" s="74">
        <v>79</v>
      </c>
      <c r="FH84" s="74">
        <v>91</v>
      </c>
      <c r="FI84" s="74">
        <v>87</v>
      </c>
      <c r="FJ84" s="74">
        <v>65</v>
      </c>
      <c r="FK84" s="74">
        <v>55</v>
      </c>
      <c r="FL84" s="74">
        <v>0</v>
      </c>
      <c r="FM84" s="74">
        <v>414</v>
      </c>
      <c r="FO84" s="74">
        <v>1424960</v>
      </c>
      <c r="FP84" s="74" t="s">
        <v>263</v>
      </c>
      <c r="FQ84" s="74" t="s">
        <v>264</v>
      </c>
      <c r="FR84" s="74"/>
      <c r="FS84" s="74">
        <v>1</v>
      </c>
      <c r="FT84" s="74">
        <v>2</v>
      </c>
      <c r="FU84" s="74">
        <v>2</v>
      </c>
      <c r="FV84" s="74">
        <v>2</v>
      </c>
      <c r="FW84" s="74">
        <v>1</v>
      </c>
      <c r="FX84" s="74">
        <v>1</v>
      </c>
      <c r="FY84" s="74">
        <v>0</v>
      </c>
      <c r="FZ84" s="74">
        <v>9</v>
      </c>
      <c r="GB84" s="74">
        <v>1424960</v>
      </c>
      <c r="GC84" s="74" t="s">
        <v>263</v>
      </c>
      <c r="GD84" s="74" t="s">
        <v>264</v>
      </c>
      <c r="GE84" s="74"/>
      <c r="GF84" s="74">
        <v>1</v>
      </c>
      <c r="GG84" s="74">
        <v>2</v>
      </c>
      <c r="GH84" s="74">
        <v>2</v>
      </c>
      <c r="GI84" s="74">
        <v>2</v>
      </c>
      <c r="GJ84" s="74">
        <v>1</v>
      </c>
      <c r="GK84" s="74">
        <v>1</v>
      </c>
      <c r="GL84" s="74">
        <v>0</v>
      </c>
      <c r="GM84" s="74">
        <v>9</v>
      </c>
      <c r="GO84" s="448">
        <v>1424960</v>
      </c>
      <c r="GP84" s="74" t="s">
        <v>263</v>
      </c>
      <c r="GQ84" s="74" t="s">
        <v>264</v>
      </c>
      <c r="GR84" s="74"/>
      <c r="GS84" s="74">
        <v>1</v>
      </c>
      <c r="GT84" s="74">
        <v>2</v>
      </c>
      <c r="GU84" s="74">
        <v>2</v>
      </c>
      <c r="GV84" s="74">
        <v>2</v>
      </c>
      <c r="GW84" s="74">
        <v>1</v>
      </c>
      <c r="GX84" s="74">
        <v>1</v>
      </c>
      <c r="GY84" s="74">
        <v>0</v>
      </c>
      <c r="GZ84" s="74">
        <f t="shared" si="25"/>
        <v>9</v>
      </c>
    </row>
    <row r="85" spans="1:208">
      <c r="A85" s="478">
        <v>1424700</v>
      </c>
      <c r="B85" s="478" t="s">
        <v>11</v>
      </c>
      <c r="C85" s="478">
        <v>54</v>
      </c>
      <c r="D85" s="478">
        <v>112</v>
      </c>
      <c r="E85" s="478">
        <v>121</v>
      </c>
      <c r="F85" s="478">
        <v>119</v>
      </c>
      <c r="G85" s="478">
        <v>81</v>
      </c>
      <c r="H85" s="478">
        <v>72</v>
      </c>
      <c r="I85" s="478"/>
      <c r="J85" s="479">
        <f>SUM(C85:H85)</f>
        <v>559</v>
      </c>
      <c r="K85" s="480">
        <f>'CORTE 4200'!$O$745</f>
        <v>-301</v>
      </c>
      <c r="L85" s="480">
        <v>50</v>
      </c>
      <c r="M85" s="481"/>
      <c r="N85" s="500"/>
      <c r="O85">
        <v>1424700</v>
      </c>
      <c r="P85" t="s">
        <v>265</v>
      </c>
      <c r="Q85" t="s">
        <v>264</v>
      </c>
      <c r="R85"/>
      <c r="S85">
        <v>54</v>
      </c>
      <c r="T85">
        <v>112</v>
      </c>
      <c r="U85">
        <v>121</v>
      </c>
      <c r="V85">
        <v>119</v>
      </c>
      <c r="W85">
        <v>81</v>
      </c>
      <c r="X85">
        <v>72</v>
      </c>
      <c r="Y85">
        <v>0</v>
      </c>
      <c r="Z85">
        <f t="shared" si="18"/>
        <v>559</v>
      </c>
      <c r="AA85" s="500"/>
      <c r="AB85" s="74">
        <v>1424700</v>
      </c>
      <c r="AC85" s="74" t="s">
        <v>265</v>
      </c>
      <c r="AD85" s="74" t="s">
        <v>264</v>
      </c>
      <c r="AE85"/>
      <c r="AF85" s="74">
        <v>56</v>
      </c>
      <c r="AG85" s="74">
        <v>117</v>
      </c>
      <c r="AH85" s="74">
        <v>126</v>
      </c>
      <c r="AI85" s="74">
        <v>121</v>
      </c>
      <c r="AJ85" s="74">
        <v>82</v>
      </c>
      <c r="AK85" s="74">
        <v>73</v>
      </c>
      <c r="AL85" s="74">
        <v>0</v>
      </c>
      <c r="AM85" s="74">
        <f t="shared" si="16"/>
        <v>575</v>
      </c>
      <c r="AO85" s="74">
        <v>1424700</v>
      </c>
      <c r="AP85" s="74" t="s">
        <v>265</v>
      </c>
      <c r="AQ85" s="74" t="s">
        <v>264</v>
      </c>
      <c r="AR85" s="74"/>
      <c r="AS85" s="74">
        <v>54</v>
      </c>
      <c r="AT85" s="74">
        <v>115</v>
      </c>
      <c r="AU85" s="74">
        <v>124</v>
      </c>
      <c r="AV85" s="74">
        <v>119</v>
      </c>
      <c r="AW85" s="74">
        <v>80</v>
      </c>
      <c r="AX85" s="74">
        <v>71</v>
      </c>
      <c r="AY85" s="74">
        <v>0</v>
      </c>
      <c r="AZ85" s="74">
        <f t="shared" si="19"/>
        <v>563</v>
      </c>
      <c r="BB85" s="74">
        <v>1424700</v>
      </c>
      <c r="BC85" s="74" t="s">
        <v>265</v>
      </c>
      <c r="BD85" s="74" t="s">
        <v>264</v>
      </c>
      <c r="BE85" s="74"/>
      <c r="BF85" s="74">
        <v>46</v>
      </c>
      <c r="BG85" s="74">
        <v>103</v>
      </c>
      <c r="BH85" s="74">
        <v>112</v>
      </c>
      <c r="BI85" s="74">
        <v>107</v>
      </c>
      <c r="BJ85" s="74">
        <v>77</v>
      </c>
      <c r="BK85" s="74">
        <v>68</v>
      </c>
      <c r="BL85" s="74">
        <v>0</v>
      </c>
      <c r="BM85" s="74">
        <f t="shared" si="20"/>
        <v>513</v>
      </c>
      <c r="BO85" s="74">
        <v>1424700</v>
      </c>
      <c r="BP85" s="74" t="s">
        <v>265</v>
      </c>
      <c r="BQ85" s="74" t="s">
        <v>264</v>
      </c>
      <c r="BR85" s="74"/>
      <c r="BS85" s="74">
        <v>46</v>
      </c>
      <c r="BT85" s="74">
        <v>103</v>
      </c>
      <c r="BU85" s="74">
        <v>112</v>
      </c>
      <c r="BV85" s="74">
        <v>107</v>
      </c>
      <c r="BW85" s="74">
        <v>77</v>
      </c>
      <c r="BX85" s="74">
        <v>68</v>
      </c>
      <c r="BY85" s="74">
        <v>0</v>
      </c>
      <c r="BZ85" s="74">
        <f t="shared" si="21"/>
        <v>513</v>
      </c>
      <c r="CB85" s="74">
        <v>1424700</v>
      </c>
      <c r="CC85" s="74" t="s">
        <v>265</v>
      </c>
      <c r="CD85" s="74" t="s">
        <v>264</v>
      </c>
      <c r="CE85" s="74"/>
      <c r="CF85" s="74">
        <v>46</v>
      </c>
      <c r="CG85" s="74">
        <v>103</v>
      </c>
      <c r="CH85" s="74">
        <v>112</v>
      </c>
      <c r="CI85" s="74">
        <v>107</v>
      </c>
      <c r="CJ85" s="74">
        <v>77</v>
      </c>
      <c r="CK85" s="74">
        <v>68</v>
      </c>
      <c r="CL85" s="74">
        <v>0</v>
      </c>
      <c r="CM85" s="74">
        <f t="shared" si="17"/>
        <v>513</v>
      </c>
      <c r="CO85" s="74">
        <v>1424700</v>
      </c>
      <c r="CP85" s="74" t="s">
        <v>265</v>
      </c>
      <c r="CQ85" s="74" t="s">
        <v>264</v>
      </c>
      <c r="CR85" s="74"/>
      <c r="CS85" s="74">
        <v>46</v>
      </c>
      <c r="CT85" s="74">
        <v>103</v>
      </c>
      <c r="CU85" s="74">
        <v>112</v>
      </c>
      <c r="CV85" s="74">
        <v>107</v>
      </c>
      <c r="CW85" s="74">
        <v>77</v>
      </c>
      <c r="CX85" s="74">
        <v>68</v>
      </c>
      <c r="CY85" s="74">
        <v>0</v>
      </c>
      <c r="CZ85" s="74">
        <v>513</v>
      </c>
      <c r="DB85" s="74">
        <v>1424700</v>
      </c>
      <c r="DC85" s="74" t="s">
        <v>265</v>
      </c>
      <c r="DD85" s="74" t="s">
        <v>264</v>
      </c>
      <c r="DE85" s="74"/>
      <c r="DF85" s="74">
        <v>46</v>
      </c>
      <c r="DG85" s="74">
        <v>103</v>
      </c>
      <c r="DH85" s="74">
        <v>112</v>
      </c>
      <c r="DI85" s="74">
        <v>107</v>
      </c>
      <c r="DJ85" s="74">
        <v>77</v>
      </c>
      <c r="DK85" s="74">
        <v>68</v>
      </c>
      <c r="DL85" s="74">
        <v>0</v>
      </c>
      <c r="DM85" s="74">
        <v>513</v>
      </c>
      <c r="DO85" s="74">
        <v>1424700</v>
      </c>
      <c r="DP85" s="74" t="s">
        <v>265</v>
      </c>
      <c r="DQ85" s="74" t="s">
        <v>264</v>
      </c>
      <c r="DR85" s="74"/>
      <c r="DS85" s="74">
        <v>46</v>
      </c>
      <c r="DT85" s="74">
        <v>103</v>
      </c>
      <c r="DU85" s="74">
        <v>112</v>
      </c>
      <c r="DV85" s="74">
        <v>107</v>
      </c>
      <c r="DW85" s="74">
        <v>77</v>
      </c>
      <c r="DX85" s="74">
        <v>68</v>
      </c>
      <c r="DY85" s="74">
        <v>0</v>
      </c>
      <c r="DZ85" s="74">
        <v>513</v>
      </c>
      <c r="EA85" s="74"/>
      <c r="EB85" s="74">
        <v>1424800</v>
      </c>
      <c r="EC85" s="74" t="s">
        <v>265</v>
      </c>
      <c r="ED85" s="74" t="s">
        <v>264</v>
      </c>
      <c r="EE85" s="74"/>
      <c r="EF85" s="74">
        <v>31</v>
      </c>
      <c r="EG85" s="74">
        <v>66</v>
      </c>
      <c r="EH85" s="74">
        <v>67</v>
      </c>
      <c r="EI85" s="74">
        <v>66</v>
      </c>
      <c r="EJ85" s="74">
        <v>48</v>
      </c>
      <c r="EK85" s="74">
        <v>42</v>
      </c>
      <c r="EL85" s="74">
        <v>0</v>
      </c>
      <c r="EM85" s="74">
        <v>320</v>
      </c>
      <c r="EN85" s="74"/>
      <c r="EO85" s="74">
        <v>1424801</v>
      </c>
      <c r="EP85" s="74" t="s">
        <v>265</v>
      </c>
      <c r="EQ85" s="74" t="s">
        <v>264</v>
      </c>
      <c r="ER85" s="74"/>
      <c r="ES85" s="74">
        <v>19</v>
      </c>
      <c r="ET85" s="74">
        <v>45</v>
      </c>
      <c r="EU85" s="74">
        <v>52</v>
      </c>
      <c r="EV85" s="74">
        <v>49</v>
      </c>
      <c r="EW85" s="74">
        <v>36</v>
      </c>
      <c r="EX85" s="74">
        <v>27</v>
      </c>
      <c r="EY85" s="74">
        <v>0</v>
      </c>
      <c r="EZ85" s="74">
        <v>228</v>
      </c>
      <c r="FB85" s="74">
        <v>1424960</v>
      </c>
      <c r="FC85" s="74" t="s">
        <v>263</v>
      </c>
      <c r="FD85" s="74" t="s">
        <v>264</v>
      </c>
      <c r="FE85" s="74"/>
      <c r="FF85" s="74">
        <v>1</v>
      </c>
      <c r="FG85" s="74">
        <v>2</v>
      </c>
      <c r="FH85" s="74">
        <v>2</v>
      </c>
      <c r="FI85" s="74">
        <v>2</v>
      </c>
      <c r="FJ85" s="74">
        <v>1</v>
      </c>
      <c r="FK85" s="74">
        <v>1</v>
      </c>
      <c r="FL85" s="74">
        <v>0</v>
      </c>
      <c r="FM85" s="74">
        <v>9</v>
      </c>
      <c r="FO85" s="74">
        <v>1425160</v>
      </c>
      <c r="FP85" s="74" t="s">
        <v>265</v>
      </c>
      <c r="FQ85" s="74" t="s">
        <v>264</v>
      </c>
      <c r="FR85" s="74"/>
      <c r="FS85" s="74">
        <v>2</v>
      </c>
      <c r="FT85" s="74">
        <v>2</v>
      </c>
      <c r="FU85" s="74">
        <v>2</v>
      </c>
      <c r="FV85" s="74">
        <v>2</v>
      </c>
      <c r="FW85" s="74">
        <v>1</v>
      </c>
      <c r="FX85" s="74">
        <v>1</v>
      </c>
      <c r="FY85" s="74">
        <v>0</v>
      </c>
      <c r="FZ85" s="74">
        <v>10</v>
      </c>
      <c r="GB85" s="74">
        <v>1425600</v>
      </c>
      <c r="GC85" s="74" t="s">
        <v>263</v>
      </c>
      <c r="GD85" s="74" t="s">
        <v>264</v>
      </c>
      <c r="GE85" s="74"/>
      <c r="GF85" s="74">
        <v>7</v>
      </c>
      <c r="GG85" s="74">
        <v>9</v>
      </c>
      <c r="GH85" s="74">
        <v>11</v>
      </c>
      <c r="GI85" s="74">
        <v>11</v>
      </c>
      <c r="GJ85" s="74">
        <v>9</v>
      </c>
      <c r="GK85" s="74">
        <v>7</v>
      </c>
      <c r="GL85" s="74">
        <v>0</v>
      </c>
      <c r="GM85" s="74">
        <v>54</v>
      </c>
      <c r="GO85" s="74">
        <v>1425600</v>
      </c>
      <c r="GP85" s="74" t="s">
        <v>263</v>
      </c>
      <c r="GQ85" s="74" t="s">
        <v>264</v>
      </c>
      <c r="GR85" s="74"/>
      <c r="GS85" s="74">
        <v>7</v>
      </c>
      <c r="GT85" s="74">
        <v>9</v>
      </c>
      <c r="GU85" s="74">
        <v>11</v>
      </c>
      <c r="GV85" s="74">
        <v>11</v>
      </c>
      <c r="GW85" s="74">
        <v>9</v>
      </c>
      <c r="GX85" s="74">
        <v>7</v>
      </c>
      <c r="GY85" s="74">
        <v>0</v>
      </c>
      <c r="GZ85" s="74">
        <f t="shared" si="25"/>
        <v>54</v>
      </c>
    </row>
    <row r="86" spans="1:208">
      <c r="A86" s="496">
        <v>1424800</v>
      </c>
      <c r="B86" s="478" t="s">
        <v>36</v>
      </c>
      <c r="C86" s="478">
        <v>34</v>
      </c>
      <c r="D86" s="478">
        <v>76</v>
      </c>
      <c r="E86" s="478">
        <v>77</v>
      </c>
      <c r="F86" s="478">
        <v>76</v>
      </c>
      <c r="G86" s="478">
        <v>57</v>
      </c>
      <c r="H86" s="478">
        <v>45</v>
      </c>
      <c r="I86" s="478"/>
      <c r="J86" s="479">
        <f>SUM(C86:H86)</f>
        <v>365</v>
      </c>
      <c r="K86" s="480">
        <f>'CORTE 4200'!$O$754</f>
        <v>0</v>
      </c>
      <c r="L86" s="480"/>
      <c r="M86" s="481"/>
      <c r="N86" s="500"/>
      <c r="O86">
        <v>1424800</v>
      </c>
      <c r="P86" t="s">
        <v>265</v>
      </c>
      <c r="Q86" t="s">
        <v>264</v>
      </c>
      <c r="R86"/>
      <c r="S86">
        <v>34</v>
      </c>
      <c r="T86">
        <v>76</v>
      </c>
      <c r="U86">
        <v>77</v>
      </c>
      <c r="V86">
        <v>76</v>
      </c>
      <c r="W86">
        <v>57</v>
      </c>
      <c r="X86">
        <v>45</v>
      </c>
      <c r="Y86">
        <v>0</v>
      </c>
      <c r="Z86">
        <f t="shared" si="18"/>
        <v>365</v>
      </c>
      <c r="AA86" s="500"/>
      <c r="AB86" s="74">
        <v>1424800</v>
      </c>
      <c r="AC86" s="74" t="s">
        <v>265</v>
      </c>
      <c r="AD86" s="74" t="s">
        <v>264</v>
      </c>
      <c r="AE86"/>
      <c r="AF86" s="74">
        <v>34</v>
      </c>
      <c r="AG86" s="74">
        <v>76</v>
      </c>
      <c r="AH86" s="74">
        <v>77</v>
      </c>
      <c r="AI86" s="74">
        <v>76</v>
      </c>
      <c r="AJ86" s="74">
        <v>57</v>
      </c>
      <c r="AK86" s="74">
        <v>45</v>
      </c>
      <c r="AL86" s="74">
        <v>0</v>
      </c>
      <c r="AM86" s="74">
        <f t="shared" si="16"/>
        <v>365</v>
      </c>
      <c r="AO86" s="74">
        <v>1424800</v>
      </c>
      <c r="AP86" s="74" t="s">
        <v>265</v>
      </c>
      <c r="AQ86" s="74" t="s">
        <v>264</v>
      </c>
      <c r="AR86" s="74"/>
      <c r="AS86" s="74">
        <v>34</v>
      </c>
      <c r="AT86" s="74">
        <v>76</v>
      </c>
      <c r="AU86" s="74">
        <v>77</v>
      </c>
      <c r="AV86" s="74">
        <v>76</v>
      </c>
      <c r="AW86" s="74">
        <v>57</v>
      </c>
      <c r="AX86" s="74">
        <v>45</v>
      </c>
      <c r="AY86" s="74">
        <v>0</v>
      </c>
      <c r="AZ86" s="74">
        <f t="shared" si="19"/>
        <v>365</v>
      </c>
      <c r="BB86" s="74">
        <v>1424800</v>
      </c>
      <c r="BC86" s="74" t="s">
        <v>265</v>
      </c>
      <c r="BD86" s="74" t="s">
        <v>264</v>
      </c>
      <c r="BE86" s="74"/>
      <c r="BF86" s="74">
        <v>34</v>
      </c>
      <c r="BG86" s="74">
        <v>76</v>
      </c>
      <c r="BH86" s="74">
        <v>77</v>
      </c>
      <c r="BI86" s="74">
        <v>76</v>
      </c>
      <c r="BJ86" s="74">
        <v>57</v>
      </c>
      <c r="BK86" s="74">
        <v>45</v>
      </c>
      <c r="BL86" s="74">
        <v>0</v>
      </c>
      <c r="BM86" s="74">
        <f t="shared" si="20"/>
        <v>365</v>
      </c>
      <c r="BO86" s="74">
        <v>1424800</v>
      </c>
      <c r="BP86" s="74" t="s">
        <v>265</v>
      </c>
      <c r="BQ86" s="74" t="s">
        <v>264</v>
      </c>
      <c r="BR86" s="74"/>
      <c r="BS86" s="74">
        <v>34</v>
      </c>
      <c r="BT86" s="74">
        <v>76</v>
      </c>
      <c r="BU86" s="74">
        <v>77</v>
      </c>
      <c r="BV86" s="74">
        <v>76</v>
      </c>
      <c r="BW86" s="74">
        <v>57</v>
      </c>
      <c r="BX86" s="74">
        <v>45</v>
      </c>
      <c r="BY86" s="74">
        <v>0</v>
      </c>
      <c r="BZ86" s="74">
        <f t="shared" si="21"/>
        <v>365</v>
      </c>
      <c r="CB86" s="74">
        <v>1424800</v>
      </c>
      <c r="CC86" s="74" t="s">
        <v>265</v>
      </c>
      <c r="CD86" s="74" t="s">
        <v>264</v>
      </c>
      <c r="CE86" s="74"/>
      <c r="CF86" s="74">
        <v>34</v>
      </c>
      <c r="CG86" s="74">
        <v>76</v>
      </c>
      <c r="CH86" s="74">
        <v>77</v>
      </c>
      <c r="CI86" s="74">
        <v>76</v>
      </c>
      <c r="CJ86" s="74">
        <v>57</v>
      </c>
      <c r="CK86" s="74">
        <v>45</v>
      </c>
      <c r="CL86" s="74">
        <v>0</v>
      </c>
      <c r="CM86" s="74">
        <f t="shared" si="17"/>
        <v>365</v>
      </c>
      <c r="CO86" s="74">
        <v>1424800</v>
      </c>
      <c r="CP86" s="74" t="s">
        <v>265</v>
      </c>
      <c r="CQ86" s="74" t="s">
        <v>264</v>
      </c>
      <c r="CR86" s="74"/>
      <c r="CS86" s="74">
        <v>34</v>
      </c>
      <c r="CT86" s="74">
        <v>72</v>
      </c>
      <c r="CU86" s="74">
        <v>73</v>
      </c>
      <c r="CV86" s="74">
        <v>72</v>
      </c>
      <c r="CW86" s="74">
        <v>54</v>
      </c>
      <c r="CX86" s="74">
        <v>44</v>
      </c>
      <c r="CY86" s="74">
        <v>0</v>
      </c>
      <c r="CZ86" s="74">
        <v>349</v>
      </c>
      <c r="DB86" s="74">
        <v>1424800</v>
      </c>
      <c r="DC86" s="74" t="s">
        <v>265</v>
      </c>
      <c r="DD86" s="74" t="s">
        <v>264</v>
      </c>
      <c r="DE86" s="74"/>
      <c r="DF86" s="74">
        <v>31</v>
      </c>
      <c r="DG86" s="74">
        <v>66</v>
      </c>
      <c r="DH86" s="74">
        <v>67</v>
      </c>
      <c r="DI86" s="74">
        <v>66</v>
      </c>
      <c r="DJ86" s="74">
        <v>48</v>
      </c>
      <c r="DK86" s="74">
        <v>42</v>
      </c>
      <c r="DL86" s="74">
        <v>0</v>
      </c>
      <c r="DM86" s="74">
        <v>320</v>
      </c>
      <c r="DO86" s="74">
        <v>1424800</v>
      </c>
      <c r="DP86" s="74" t="s">
        <v>265</v>
      </c>
      <c r="DQ86" s="74" t="s">
        <v>264</v>
      </c>
      <c r="DR86" s="74"/>
      <c r="DS86" s="74">
        <v>31</v>
      </c>
      <c r="DT86" s="74">
        <v>66</v>
      </c>
      <c r="DU86" s="74">
        <v>67</v>
      </c>
      <c r="DV86" s="74">
        <v>66</v>
      </c>
      <c r="DW86" s="74">
        <v>48</v>
      </c>
      <c r="DX86" s="74">
        <v>42</v>
      </c>
      <c r="DY86" s="74">
        <v>0</v>
      </c>
      <c r="DZ86" s="74">
        <v>320</v>
      </c>
      <c r="EA86" s="74"/>
      <c r="EB86" s="74">
        <v>1424801</v>
      </c>
      <c r="EC86" s="74" t="s">
        <v>265</v>
      </c>
      <c r="ED86" s="74" t="s">
        <v>264</v>
      </c>
      <c r="EE86" s="74"/>
      <c r="EF86" s="74">
        <v>20</v>
      </c>
      <c r="EG86" s="74">
        <v>47</v>
      </c>
      <c r="EH86" s="74">
        <v>54</v>
      </c>
      <c r="EI86" s="74">
        <v>51</v>
      </c>
      <c r="EJ86" s="74">
        <v>38</v>
      </c>
      <c r="EK86" s="74">
        <v>29</v>
      </c>
      <c r="EL86" s="74">
        <v>0</v>
      </c>
      <c r="EM86" s="74">
        <v>239</v>
      </c>
      <c r="EN86" s="74"/>
      <c r="EO86" s="74">
        <v>1424900</v>
      </c>
      <c r="EP86" s="74" t="s">
        <v>263</v>
      </c>
      <c r="EQ86" s="74" t="s">
        <v>264</v>
      </c>
      <c r="ER86" s="74"/>
      <c r="ES86" s="74">
        <v>39</v>
      </c>
      <c r="ET86" s="74">
        <v>82</v>
      </c>
      <c r="EU86" s="74">
        <v>94</v>
      </c>
      <c r="EV86" s="74">
        <v>90</v>
      </c>
      <c r="EW86" s="74">
        <v>67</v>
      </c>
      <c r="EX86" s="74">
        <v>57</v>
      </c>
      <c r="EY86" s="74">
        <v>0</v>
      </c>
      <c r="EZ86" s="74">
        <v>429</v>
      </c>
      <c r="FB86" s="74">
        <v>1425160</v>
      </c>
      <c r="FC86" s="74" t="s">
        <v>265</v>
      </c>
      <c r="FD86" s="74" t="s">
        <v>264</v>
      </c>
      <c r="FE86" s="74"/>
      <c r="FF86" s="74">
        <v>2</v>
      </c>
      <c r="FG86" s="74">
        <v>2</v>
      </c>
      <c r="FH86" s="74">
        <v>2</v>
      </c>
      <c r="FI86" s="74">
        <v>2</v>
      </c>
      <c r="FJ86" s="74">
        <v>1</v>
      </c>
      <c r="FK86" s="74">
        <v>1</v>
      </c>
      <c r="FL86" s="74">
        <v>0</v>
      </c>
      <c r="FM86" s="74">
        <v>10</v>
      </c>
      <c r="FO86" s="74">
        <v>1425600</v>
      </c>
      <c r="FP86" s="74" t="s">
        <v>263</v>
      </c>
      <c r="FQ86" s="74" t="s">
        <v>264</v>
      </c>
      <c r="FR86" s="74"/>
      <c r="FS86" s="74">
        <v>9</v>
      </c>
      <c r="FT86" s="74">
        <v>15</v>
      </c>
      <c r="FU86" s="74">
        <v>17</v>
      </c>
      <c r="FV86" s="74">
        <v>17</v>
      </c>
      <c r="FW86" s="74">
        <v>13</v>
      </c>
      <c r="FX86" s="74">
        <v>10</v>
      </c>
      <c r="FY86" s="74">
        <v>0</v>
      </c>
      <c r="FZ86" s="74">
        <v>81</v>
      </c>
      <c r="GB86" s="74">
        <v>1425704</v>
      </c>
      <c r="GC86" s="74" t="s">
        <v>265</v>
      </c>
      <c r="GD86" s="74" t="s">
        <v>264</v>
      </c>
      <c r="GE86" s="74"/>
      <c r="GF86" s="74">
        <v>1</v>
      </c>
      <c r="GG86" s="74">
        <v>3</v>
      </c>
      <c r="GH86" s="74">
        <v>4</v>
      </c>
      <c r="GI86" s="74">
        <v>3</v>
      </c>
      <c r="GJ86" s="74">
        <v>2</v>
      </c>
      <c r="GK86" s="74">
        <v>1</v>
      </c>
      <c r="GL86" s="74">
        <v>0</v>
      </c>
      <c r="GM86" s="74">
        <v>14</v>
      </c>
      <c r="GO86" s="449">
        <v>1425708</v>
      </c>
      <c r="GP86" s="74" t="s">
        <v>265</v>
      </c>
      <c r="GQ86" s="74" t="s">
        <v>264</v>
      </c>
      <c r="GR86" s="74"/>
      <c r="GS86" s="74">
        <v>6</v>
      </c>
      <c r="GT86" s="74">
        <v>8</v>
      </c>
      <c r="GU86" s="74">
        <v>4</v>
      </c>
      <c r="GV86" s="74">
        <v>4</v>
      </c>
      <c r="GW86" s="74">
        <v>2</v>
      </c>
      <c r="GX86" s="74">
        <v>0</v>
      </c>
      <c r="GY86" s="74">
        <v>0</v>
      </c>
      <c r="GZ86" s="74">
        <f t="shared" si="25"/>
        <v>24</v>
      </c>
    </row>
    <row r="87" spans="1:208">
      <c r="A87" s="496">
        <v>1424801</v>
      </c>
      <c r="B87" s="478" t="s">
        <v>36</v>
      </c>
      <c r="C87" s="478">
        <v>25</v>
      </c>
      <c r="D87" s="478">
        <v>54</v>
      </c>
      <c r="E87" s="478">
        <v>62</v>
      </c>
      <c r="F87" s="478">
        <v>57</v>
      </c>
      <c r="G87" s="478">
        <v>41</v>
      </c>
      <c r="H87" s="478">
        <v>30</v>
      </c>
      <c r="I87" s="478"/>
      <c r="J87" s="479">
        <f>SUM(C87:H87)</f>
        <v>269</v>
      </c>
      <c r="K87" s="480">
        <f>'CORTE 4200'!$O$763</f>
        <v>-50</v>
      </c>
      <c r="L87" s="480"/>
      <c r="M87" s="481" t="s">
        <v>242</v>
      </c>
      <c r="N87" s="500"/>
      <c r="O87">
        <v>1424801</v>
      </c>
      <c r="P87" t="s">
        <v>265</v>
      </c>
      <c r="Q87" t="s">
        <v>264</v>
      </c>
      <c r="R87"/>
      <c r="S87">
        <v>25</v>
      </c>
      <c r="T87">
        <v>54</v>
      </c>
      <c r="U87">
        <v>62</v>
      </c>
      <c r="V87">
        <v>57</v>
      </c>
      <c r="W87">
        <v>41</v>
      </c>
      <c r="X87">
        <v>30</v>
      </c>
      <c r="Y87">
        <v>0</v>
      </c>
      <c r="Z87">
        <f t="shared" si="18"/>
        <v>269</v>
      </c>
      <c r="AA87" s="500"/>
      <c r="AB87" s="74">
        <v>1424801</v>
      </c>
      <c r="AC87" s="74" t="s">
        <v>265</v>
      </c>
      <c r="AD87" s="74" t="s">
        <v>264</v>
      </c>
      <c r="AE87"/>
      <c r="AF87" s="74">
        <v>23</v>
      </c>
      <c r="AG87" s="74">
        <v>51</v>
      </c>
      <c r="AH87" s="74">
        <v>58</v>
      </c>
      <c r="AI87" s="74">
        <v>54</v>
      </c>
      <c r="AJ87" s="74">
        <v>40</v>
      </c>
      <c r="AK87" s="74">
        <v>29</v>
      </c>
      <c r="AL87" s="74">
        <v>0</v>
      </c>
      <c r="AM87" s="74">
        <f t="shared" si="16"/>
        <v>255</v>
      </c>
      <c r="AO87" s="74">
        <v>1424801</v>
      </c>
      <c r="AP87" s="74" t="s">
        <v>265</v>
      </c>
      <c r="AQ87" s="74" t="s">
        <v>264</v>
      </c>
      <c r="AR87" s="74"/>
      <c r="AS87" s="74">
        <v>23</v>
      </c>
      <c r="AT87" s="74">
        <v>51</v>
      </c>
      <c r="AU87" s="74">
        <v>58</v>
      </c>
      <c r="AV87" s="74">
        <v>54</v>
      </c>
      <c r="AW87" s="74">
        <v>40</v>
      </c>
      <c r="AX87" s="74">
        <v>29</v>
      </c>
      <c r="AY87" s="74">
        <v>0</v>
      </c>
      <c r="AZ87" s="74">
        <f t="shared" si="19"/>
        <v>255</v>
      </c>
      <c r="BB87" s="74">
        <v>1424801</v>
      </c>
      <c r="BC87" s="74" t="s">
        <v>265</v>
      </c>
      <c r="BD87" s="74" t="s">
        <v>264</v>
      </c>
      <c r="BE87" s="74"/>
      <c r="BF87" s="74">
        <v>23</v>
      </c>
      <c r="BG87" s="74">
        <v>51</v>
      </c>
      <c r="BH87" s="74">
        <v>58</v>
      </c>
      <c r="BI87" s="74">
        <v>54</v>
      </c>
      <c r="BJ87" s="74">
        <v>40</v>
      </c>
      <c r="BK87" s="74">
        <v>29</v>
      </c>
      <c r="BL87" s="74">
        <v>0</v>
      </c>
      <c r="BM87" s="74">
        <f t="shared" si="20"/>
        <v>255</v>
      </c>
      <c r="BO87" s="74">
        <v>1424801</v>
      </c>
      <c r="BP87" s="74" t="s">
        <v>265</v>
      </c>
      <c r="BQ87" s="74" t="s">
        <v>264</v>
      </c>
      <c r="BR87" s="74"/>
      <c r="BS87" s="74">
        <v>23</v>
      </c>
      <c r="BT87" s="74">
        <v>51</v>
      </c>
      <c r="BU87" s="74">
        <v>58</v>
      </c>
      <c r="BV87" s="74">
        <v>54</v>
      </c>
      <c r="BW87" s="74">
        <v>40</v>
      </c>
      <c r="BX87" s="74">
        <v>29</v>
      </c>
      <c r="BY87" s="74">
        <v>0</v>
      </c>
      <c r="BZ87" s="74">
        <f t="shared" si="21"/>
        <v>255</v>
      </c>
      <c r="CB87" s="74">
        <v>1424801</v>
      </c>
      <c r="CC87" s="74" t="s">
        <v>265</v>
      </c>
      <c r="CD87" s="74" t="s">
        <v>264</v>
      </c>
      <c r="CE87" s="74"/>
      <c r="CF87" s="74">
        <v>23</v>
      </c>
      <c r="CG87" s="74">
        <v>51</v>
      </c>
      <c r="CH87" s="74">
        <v>58</v>
      </c>
      <c r="CI87" s="74">
        <v>54</v>
      </c>
      <c r="CJ87" s="74">
        <v>40</v>
      </c>
      <c r="CK87" s="74">
        <v>29</v>
      </c>
      <c r="CL87" s="74">
        <v>0</v>
      </c>
      <c r="CM87" s="74">
        <f t="shared" si="17"/>
        <v>255</v>
      </c>
      <c r="CO87" s="74">
        <v>1424801</v>
      </c>
      <c r="CP87" s="74" t="s">
        <v>265</v>
      </c>
      <c r="CQ87" s="74" t="s">
        <v>264</v>
      </c>
      <c r="CR87" s="74"/>
      <c r="CS87" s="74">
        <v>23</v>
      </c>
      <c r="CT87" s="74">
        <v>51</v>
      </c>
      <c r="CU87" s="74">
        <v>58</v>
      </c>
      <c r="CV87" s="74">
        <v>54</v>
      </c>
      <c r="CW87" s="74">
        <v>40</v>
      </c>
      <c r="CX87" s="74">
        <v>29</v>
      </c>
      <c r="CY87" s="74">
        <v>0</v>
      </c>
      <c r="CZ87" s="74">
        <v>255</v>
      </c>
      <c r="DB87" s="74">
        <v>1424801</v>
      </c>
      <c r="DC87" s="74" t="s">
        <v>265</v>
      </c>
      <c r="DD87" s="74" t="s">
        <v>264</v>
      </c>
      <c r="DE87" s="74"/>
      <c r="DF87" s="74">
        <v>23</v>
      </c>
      <c r="DG87" s="74">
        <v>51</v>
      </c>
      <c r="DH87" s="74">
        <v>58</v>
      </c>
      <c r="DI87" s="74">
        <v>54</v>
      </c>
      <c r="DJ87" s="74">
        <v>40</v>
      </c>
      <c r="DK87" s="74">
        <v>29</v>
      </c>
      <c r="DL87" s="74">
        <v>0</v>
      </c>
      <c r="DM87" s="74">
        <v>255</v>
      </c>
      <c r="DO87" s="74">
        <v>1424801</v>
      </c>
      <c r="DP87" s="74" t="s">
        <v>265</v>
      </c>
      <c r="DQ87" s="74" t="s">
        <v>264</v>
      </c>
      <c r="DR87" s="74"/>
      <c r="DS87" s="74">
        <v>20</v>
      </c>
      <c r="DT87" s="74">
        <v>47</v>
      </c>
      <c r="DU87" s="74">
        <v>54</v>
      </c>
      <c r="DV87" s="74">
        <v>51</v>
      </c>
      <c r="DW87" s="74">
        <v>38</v>
      </c>
      <c r="DX87" s="74">
        <v>29</v>
      </c>
      <c r="DY87" s="74">
        <v>0</v>
      </c>
      <c r="DZ87" s="74">
        <v>239</v>
      </c>
      <c r="EA87" s="74"/>
      <c r="EB87" s="74">
        <v>1424900</v>
      </c>
      <c r="EC87" s="74" t="s">
        <v>263</v>
      </c>
      <c r="ED87" s="74" t="s">
        <v>264</v>
      </c>
      <c r="EE87" s="74"/>
      <c r="EF87" s="74">
        <v>39</v>
      </c>
      <c r="EG87" s="74">
        <v>82</v>
      </c>
      <c r="EH87" s="74">
        <v>94</v>
      </c>
      <c r="EI87" s="74">
        <v>90</v>
      </c>
      <c r="EJ87" s="74">
        <v>67</v>
      </c>
      <c r="EK87" s="74">
        <v>57</v>
      </c>
      <c r="EL87" s="74">
        <v>0</v>
      </c>
      <c r="EM87" s="74">
        <v>429</v>
      </c>
      <c r="EN87" s="74"/>
      <c r="EO87" s="74">
        <v>1424960</v>
      </c>
      <c r="EP87" s="74" t="s">
        <v>263</v>
      </c>
      <c r="EQ87" s="74" t="s">
        <v>264</v>
      </c>
      <c r="ER87" s="74"/>
      <c r="ES87" s="74">
        <v>1</v>
      </c>
      <c r="ET87" s="74">
        <v>2</v>
      </c>
      <c r="EU87" s="74">
        <v>2</v>
      </c>
      <c r="EV87" s="74">
        <v>2</v>
      </c>
      <c r="EW87" s="74">
        <v>1</v>
      </c>
      <c r="EX87" s="74">
        <v>1</v>
      </c>
      <c r="EY87" s="74">
        <v>0</v>
      </c>
      <c r="EZ87" s="74">
        <v>9</v>
      </c>
      <c r="FB87" s="74">
        <v>1425600</v>
      </c>
      <c r="FC87" s="74" t="s">
        <v>263</v>
      </c>
      <c r="FD87" s="74" t="s">
        <v>264</v>
      </c>
      <c r="FE87" s="74"/>
      <c r="FF87" s="74">
        <v>9</v>
      </c>
      <c r="FG87" s="74">
        <v>15</v>
      </c>
      <c r="FH87" s="74">
        <v>17</v>
      </c>
      <c r="FI87" s="74">
        <v>17</v>
      </c>
      <c r="FJ87" s="74">
        <v>13</v>
      </c>
      <c r="FK87" s="74">
        <v>10</v>
      </c>
      <c r="FL87" s="74">
        <v>0</v>
      </c>
      <c r="FM87" s="74">
        <v>81</v>
      </c>
      <c r="FO87" s="74">
        <v>1425704</v>
      </c>
      <c r="FP87" s="74" t="s">
        <v>265</v>
      </c>
      <c r="FQ87" s="74" t="s">
        <v>264</v>
      </c>
      <c r="FR87" s="74"/>
      <c r="FS87" s="74">
        <v>1</v>
      </c>
      <c r="FT87" s="74">
        <v>4</v>
      </c>
      <c r="FU87" s="74">
        <v>6</v>
      </c>
      <c r="FV87" s="74">
        <v>5</v>
      </c>
      <c r="FW87" s="74">
        <v>4</v>
      </c>
      <c r="FX87" s="74">
        <v>3</v>
      </c>
      <c r="FY87" s="74">
        <v>0</v>
      </c>
      <c r="FZ87" s="74">
        <v>23</v>
      </c>
      <c r="GB87" s="74">
        <v>1425708</v>
      </c>
      <c r="GC87" s="74" t="s">
        <v>265</v>
      </c>
      <c r="GD87" s="74" t="s">
        <v>264</v>
      </c>
      <c r="GE87" s="74"/>
      <c r="GF87" s="74">
        <v>6</v>
      </c>
      <c r="GG87" s="74">
        <v>8</v>
      </c>
      <c r="GH87" s="74">
        <v>4</v>
      </c>
      <c r="GI87" s="74">
        <v>4</v>
      </c>
      <c r="GJ87" s="74">
        <v>2</v>
      </c>
      <c r="GK87" s="74">
        <v>0</v>
      </c>
      <c r="GL87" s="74">
        <v>0</v>
      </c>
      <c r="GM87" s="74">
        <v>24</v>
      </c>
      <c r="GO87" s="449">
        <v>1425709</v>
      </c>
      <c r="GP87" s="74" t="s">
        <v>265</v>
      </c>
      <c r="GQ87" s="74" t="s">
        <v>264</v>
      </c>
      <c r="GR87" s="74"/>
      <c r="GS87" s="74">
        <v>8</v>
      </c>
      <c r="GT87" s="74">
        <v>10</v>
      </c>
      <c r="GU87" s="74">
        <v>6</v>
      </c>
      <c r="GV87" s="74">
        <v>6</v>
      </c>
      <c r="GW87" s="74">
        <v>3</v>
      </c>
      <c r="GX87" s="74">
        <v>0</v>
      </c>
      <c r="GY87" s="74">
        <v>0</v>
      </c>
      <c r="GZ87" s="74">
        <f t="shared" si="25"/>
        <v>33</v>
      </c>
    </row>
    <row r="88" spans="1:208">
      <c r="A88" s="497">
        <v>1424900</v>
      </c>
      <c r="B88" s="478" t="s">
        <v>221</v>
      </c>
      <c r="C88" s="478">
        <v>43</v>
      </c>
      <c r="D88" s="478">
        <v>90</v>
      </c>
      <c r="E88" s="478">
        <v>102</v>
      </c>
      <c r="F88" s="478">
        <v>98</v>
      </c>
      <c r="G88" s="478">
        <v>73</v>
      </c>
      <c r="H88" s="478">
        <v>60</v>
      </c>
      <c r="I88" s="478"/>
      <c r="J88" s="479">
        <f t="shared" si="23"/>
        <v>466</v>
      </c>
      <c r="K88" s="480">
        <f>'CORTE 4200'!$O$772</f>
        <v>-2</v>
      </c>
      <c r="L88" s="480"/>
      <c r="M88" s="481"/>
      <c r="N88" s="500"/>
      <c r="O88">
        <v>1424900</v>
      </c>
      <c r="P88" t="s">
        <v>263</v>
      </c>
      <c r="Q88" t="s">
        <v>264</v>
      </c>
      <c r="R88"/>
      <c r="S88">
        <v>43</v>
      </c>
      <c r="T88">
        <v>90</v>
      </c>
      <c r="U88">
        <v>102</v>
      </c>
      <c r="V88">
        <v>98</v>
      </c>
      <c r="W88">
        <v>73</v>
      </c>
      <c r="X88">
        <v>60</v>
      </c>
      <c r="Y88">
        <v>0</v>
      </c>
      <c r="Z88">
        <f t="shared" si="18"/>
        <v>466</v>
      </c>
      <c r="AA88" s="500"/>
      <c r="AB88" s="74">
        <v>1424900</v>
      </c>
      <c r="AC88" s="74" t="s">
        <v>263</v>
      </c>
      <c r="AD88" s="74" t="s">
        <v>264</v>
      </c>
      <c r="AE88"/>
      <c r="AF88" s="74">
        <v>45</v>
      </c>
      <c r="AG88" s="74">
        <v>94</v>
      </c>
      <c r="AH88" s="74">
        <v>106</v>
      </c>
      <c r="AI88" s="74">
        <v>100</v>
      </c>
      <c r="AJ88" s="74">
        <v>74</v>
      </c>
      <c r="AK88" s="74">
        <v>60</v>
      </c>
      <c r="AL88" s="74">
        <v>0</v>
      </c>
      <c r="AM88" s="74">
        <f t="shared" si="16"/>
        <v>479</v>
      </c>
      <c r="AO88" s="74">
        <v>1424900</v>
      </c>
      <c r="AP88" s="74" t="s">
        <v>263</v>
      </c>
      <c r="AQ88" s="74" t="s">
        <v>264</v>
      </c>
      <c r="AR88" s="74"/>
      <c r="AS88" s="74">
        <v>45</v>
      </c>
      <c r="AT88" s="74">
        <v>94</v>
      </c>
      <c r="AU88" s="74">
        <v>106</v>
      </c>
      <c r="AV88" s="74">
        <v>100</v>
      </c>
      <c r="AW88" s="74">
        <v>74</v>
      </c>
      <c r="AX88" s="74">
        <v>60</v>
      </c>
      <c r="AY88" s="74">
        <v>0</v>
      </c>
      <c r="AZ88" s="74">
        <f t="shared" si="19"/>
        <v>479</v>
      </c>
      <c r="BB88" s="74">
        <v>1424900</v>
      </c>
      <c r="BC88" s="74" t="s">
        <v>263</v>
      </c>
      <c r="BD88" s="74" t="s">
        <v>264</v>
      </c>
      <c r="BE88" s="74"/>
      <c r="BF88" s="74">
        <v>45</v>
      </c>
      <c r="BG88" s="74">
        <v>94</v>
      </c>
      <c r="BH88" s="74">
        <v>106</v>
      </c>
      <c r="BI88" s="74">
        <v>100</v>
      </c>
      <c r="BJ88" s="74">
        <v>74</v>
      </c>
      <c r="BK88" s="74">
        <v>60</v>
      </c>
      <c r="BL88" s="74">
        <v>0</v>
      </c>
      <c r="BM88" s="74">
        <f t="shared" si="20"/>
        <v>479</v>
      </c>
      <c r="BO88" s="74">
        <v>1424900</v>
      </c>
      <c r="BP88" s="74" t="s">
        <v>263</v>
      </c>
      <c r="BQ88" s="74" t="s">
        <v>264</v>
      </c>
      <c r="BR88" s="74"/>
      <c r="BS88" s="74">
        <v>45</v>
      </c>
      <c r="BT88" s="74">
        <v>94</v>
      </c>
      <c r="BU88" s="74">
        <v>106</v>
      </c>
      <c r="BV88" s="74">
        <v>100</v>
      </c>
      <c r="BW88" s="74">
        <v>74</v>
      </c>
      <c r="BX88" s="74">
        <v>60</v>
      </c>
      <c r="BY88" s="74">
        <v>0</v>
      </c>
      <c r="BZ88" s="74">
        <f t="shared" si="21"/>
        <v>479</v>
      </c>
      <c r="CB88" s="74">
        <v>1424900</v>
      </c>
      <c r="CC88" s="74" t="s">
        <v>263</v>
      </c>
      <c r="CD88" s="74" t="s">
        <v>264</v>
      </c>
      <c r="CE88" s="74"/>
      <c r="CF88" s="74">
        <v>45</v>
      </c>
      <c r="CG88" s="74">
        <v>94</v>
      </c>
      <c r="CH88" s="74">
        <v>106</v>
      </c>
      <c r="CI88" s="74">
        <v>100</v>
      </c>
      <c r="CJ88" s="74">
        <v>74</v>
      </c>
      <c r="CK88" s="74">
        <v>60</v>
      </c>
      <c r="CL88" s="74">
        <v>0</v>
      </c>
      <c r="CM88" s="74">
        <f t="shared" si="17"/>
        <v>479</v>
      </c>
      <c r="CO88" s="74">
        <v>1424900</v>
      </c>
      <c r="CP88" s="74" t="s">
        <v>263</v>
      </c>
      <c r="CQ88" s="74" t="s">
        <v>264</v>
      </c>
      <c r="CR88" s="74"/>
      <c r="CS88" s="74">
        <v>44</v>
      </c>
      <c r="CT88" s="74">
        <v>91</v>
      </c>
      <c r="CU88" s="74">
        <v>103</v>
      </c>
      <c r="CV88" s="74">
        <v>97</v>
      </c>
      <c r="CW88" s="74">
        <v>72</v>
      </c>
      <c r="CX88" s="74">
        <v>59</v>
      </c>
      <c r="CY88" s="74">
        <v>0</v>
      </c>
      <c r="CZ88" s="74">
        <v>466</v>
      </c>
      <c r="DB88" s="74">
        <v>1424900</v>
      </c>
      <c r="DC88" s="74" t="s">
        <v>263</v>
      </c>
      <c r="DD88" s="74" t="s">
        <v>264</v>
      </c>
      <c r="DE88" s="74"/>
      <c r="DF88" s="74">
        <v>43</v>
      </c>
      <c r="DG88" s="74">
        <v>89</v>
      </c>
      <c r="DH88" s="74">
        <v>101</v>
      </c>
      <c r="DI88" s="74">
        <v>95</v>
      </c>
      <c r="DJ88" s="74">
        <v>70</v>
      </c>
      <c r="DK88" s="74">
        <v>58</v>
      </c>
      <c r="DL88" s="74">
        <v>0</v>
      </c>
      <c r="DM88" s="74">
        <v>456</v>
      </c>
      <c r="DO88" s="74">
        <v>1424900</v>
      </c>
      <c r="DP88" s="74" t="s">
        <v>263</v>
      </c>
      <c r="DQ88" s="74" t="s">
        <v>264</v>
      </c>
      <c r="DR88" s="74"/>
      <c r="DS88" s="74">
        <v>43</v>
      </c>
      <c r="DT88" s="74">
        <v>89</v>
      </c>
      <c r="DU88" s="74">
        <v>101</v>
      </c>
      <c r="DV88" s="74">
        <v>95</v>
      </c>
      <c r="DW88" s="74">
        <v>70</v>
      </c>
      <c r="DX88" s="74">
        <v>58</v>
      </c>
      <c r="DY88" s="74">
        <v>0</v>
      </c>
      <c r="DZ88" s="74">
        <v>456</v>
      </c>
      <c r="EA88" s="74"/>
      <c r="EB88" s="74">
        <v>1424960</v>
      </c>
      <c r="EC88" s="74" t="s">
        <v>263</v>
      </c>
      <c r="ED88" s="74" t="s">
        <v>264</v>
      </c>
      <c r="EE88" s="74"/>
      <c r="EF88" s="74">
        <v>1</v>
      </c>
      <c r="EG88" s="74">
        <v>2</v>
      </c>
      <c r="EH88" s="74">
        <v>2</v>
      </c>
      <c r="EI88" s="74">
        <v>2</v>
      </c>
      <c r="EJ88" s="74">
        <v>1</v>
      </c>
      <c r="EK88" s="74">
        <v>1</v>
      </c>
      <c r="EL88" s="74">
        <v>0</v>
      </c>
      <c r="EM88" s="74">
        <v>9</v>
      </c>
      <c r="EN88" s="74"/>
      <c r="EO88" s="74">
        <v>1425160</v>
      </c>
      <c r="EP88" s="74" t="s">
        <v>265</v>
      </c>
      <c r="EQ88" s="74" t="s">
        <v>264</v>
      </c>
      <c r="ER88" s="74"/>
      <c r="ES88" s="74">
        <v>2</v>
      </c>
      <c r="ET88" s="74">
        <v>2</v>
      </c>
      <c r="EU88" s="74">
        <v>2</v>
      </c>
      <c r="EV88" s="74">
        <v>2</v>
      </c>
      <c r="EW88" s="74">
        <v>1</v>
      </c>
      <c r="EX88" s="74">
        <v>1</v>
      </c>
      <c r="EY88" s="74">
        <v>0</v>
      </c>
      <c r="EZ88" s="74">
        <v>10</v>
      </c>
      <c r="FB88" s="74">
        <v>1425704</v>
      </c>
      <c r="FC88" s="74" t="s">
        <v>265</v>
      </c>
      <c r="FD88" s="74" t="s">
        <v>264</v>
      </c>
      <c r="FE88" s="74"/>
      <c r="FF88" s="74">
        <v>1</v>
      </c>
      <c r="FG88" s="74">
        <v>4</v>
      </c>
      <c r="FH88" s="74">
        <v>6</v>
      </c>
      <c r="FI88" s="74">
        <v>5</v>
      </c>
      <c r="FJ88" s="74">
        <v>4</v>
      </c>
      <c r="FK88" s="74">
        <v>3</v>
      </c>
      <c r="FL88" s="74">
        <v>0</v>
      </c>
      <c r="FM88" s="74">
        <v>23</v>
      </c>
      <c r="FO88" s="74">
        <v>1425708</v>
      </c>
      <c r="FP88" s="74" t="s">
        <v>265</v>
      </c>
      <c r="FQ88" s="74" t="s">
        <v>264</v>
      </c>
      <c r="FR88" s="74"/>
      <c r="FS88" s="74">
        <v>6</v>
      </c>
      <c r="FT88" s="74">
        <v>8</v>
      </c>
      <c r="FU88" s="74">
        <v>4</v>
      </c>
      <c r="FV88" s="74">
        <v>4</v>
      </c>
      <c r="FW88" s="74">
        <v>2</v>
      </c>
      <c r="FX88" s="74">
        <v>0</v>
      </c>
      <c r="FY88" s="74">
        <v>0</v>
      </c>
      <c r="FZ88" s="74">
        <v>24</v>
      </c>
      <c r="GB88" s="74">
        <v>1425709</v>
      </c>
      <c r="GC88" s="74" t="s">
        <v>265</v>
      </c>
      <c r="GD88" s="74" t="s">
        <v>264</v>
      </c>
      <c r="GE88" s="74"/>
      <c r="GF88" s="74">
        <v>8</v>
      </c>
      <c r="GG88" s="74">
        <v>10</v>
      </c>
      <c r="GH88" s="74">
        <v>6</v>
      </c>
      <c r="GI88" s="74">
        <v>6</v>
      </c>
      <c r="GJ88" s="74">
        <v>3</v>
      </c>
      <c r="GK88" s="74">
        <v>0</v>
      </c>
      <c r="GL88" s="74">
        <v>0</v>
      </c>
      <c r="GM88" s="74">
        <v>33</v>
      </c>
      <c r="GO88" s="449">
        <v>1425716</v>
      </c>
      <c r="GP88" s="74" t="s">
        <v>265</v>
      </c>
      <c r="GQ88" s="74" t="s">
        <v>264</v>
      </c>
      <c r="GR88" s="74"/>
      <c r="GS88" s="74">
        <v>3</v>
      </c>
      <c r="GT88" s="74">
        <v>4</v>
      </c>
      <c r="GU88" s="74">
        <v>2</v>
      </c>
      <c r="GV88" s="74">
        <v>2</v>
      </c>
      <c r="GW88" s="74">
        <v>1</v>
      </c>
      <c r="GX88" s="74">
        <v>0</v>
      </c>
      <c r="GY88" s="74">
        <v>0</v>
      </c>
      <c r="GZ88" s="74">
        <f t="shared" si="25"/>
        <v>12</v>
      </c>
    </row>
    <row r="89" spans="1:208">
      <c r="A89" s="497">
        <v>1424960</v>
      </c>
      <c r="B89" s="478" t="s">
        <v>221</v>
      </c>
      <c r="C89" s="478">
        <v>6</v>
      </c>
      <c r="D89" s="478">
        <v>9</v>
      </c>
      <c r="E89" s="478">
        <v>11</v>
      </c>
      <c r="F89" s="478">
        <v>9</v>
      </c>
      <c r="G89" s="478">
        <v>7</v>
      </c>
      <c r="H89" s="478">
        <v>4</v>
      </c>
      <c r="I89" s="478"/>
      <c r="J89" s="479">
        <f t="shared" ref="J89:J97" si="26">SUM(C89:H89)</f>
        <v>46</v>
      </c>
      <c r="K89" s="480">
        <f>'CORTE 4200'!$O$781</f>
        <v>46</v>
      </c>
      <c r="L89" s="480"/>
      <c r="M89" s="481"/>
      <c r="N89" s="500"/>
      <c r="O89">
        <v>1424960</v>
      </c>
      <c r="P89" t="s">
        <v>263</v>
      </c>
      <c r="Q89" t="s">
        <v>264</v>
      </c>
      <c r="R89"/>
      <c r="S89">
        <v>6</v>
      </c>
      <c r="T89">
        <v>9</v>
      </c>
      <c r="U89">
        <v>11</v>
      </c>
      <c r="V89">
        <v>9</v>
      </c>
      <c r="W89">
        <v>7</v>
      </c>
      <c r="X89">
        <v>4</v>
      </c>
      <c r="Y89">
        <v>0</v>
      </c>
      <c r="Z89">
        <f t="shared" si="18"/>
        <v>46</v>
      </c>
      <c r="AA89" s="500"/>
      <c r="AB89" s="74">
        <v>1424960</v>
      </c>
      <c r="AC89" s="74" t="s">
        <v>263</v>
      </c>
      <c r="AD89" s="74" t="s">
        <v>264</v>
      </c>
      <c r="AE89"/>
      <c r="AF89" s="74">
        <v>6</v>
      </c>
      <c r="AG89" s="74">
        <v>9</v>
      </c>
      <c r="AH89" s="74">
        <v>11</v>
      </c>
      <c r="AI89" s="74">
        <v>9</v>
      </c>
      <c r="AJ89" s="74">
        <v>7</v>
      </c>
      <c r="AK89" s="74">
        <v>4</v>
      </c>
      <c r="AL89" s="74">
        <v>0</v>
      </c>
      <c r="AM89" s="74">
        <f t="shared" si="16"/>
        <v>46</v>
      </c>
      <c r="AO89" s="74">
        <v>1424960</v>
      </c>
      <c r="AP89" s="74" t="s">
        <v>263</v>
      </c>
      <c r="AQ89" s="74" t="s">
        <v>264</v>
      </c>
      <c r="AR89" s="74"/>
      <c r="AS89" s="74">
        <v>4</v>
      </c>
      <c r="AT89" s="74">
        <v>6</v>
      </c>
      <c r="AU89" s="74">
        <v>9</v>
      </c>
      <c r="AV89" s="74">
        <v>7</v>
      </c>
      <c r="AW89" s="74">
        <v>5</v>
      </c>
      <c r="AX89" s="74">
        <v>2</v>
      </c>
      <c r="AY89" s="74">
        <v>0</v>
      </c>
      <c r="AZ89" s="74">
        <f t="shared" si="19"/>
        <v>33</v>
      </c>
      <c r="BB89" s="74">
        <v>1424960</v>
      </c>
      <c r="BC89" s="74" t="s">
        <v>263</v>
      </c>
      <c r="BD89" s="74" t="s">
        <v>264</v>
      </c>
      <c r="BE89" s="74"/>
      <c r="BF89" s="74">
        <v>4</v>
      </c>
      <c r="BG89" s="74">
        <v>6</v>
      </c>
      <c r="BH89" s="74">
        <v>9</v>
      </c>
      <c r="BI89" s="74">
        <v>7</v>
      </c>
      <c r="BJ89" s="74">
        <v>5</v>
      </c>
      <c r="BK89" s="74">
        <v>2</v>
      </c>
      <c r="BL89" s="74">
        <v>0</v>
      </c>
      <c r="BM89" s="74">
        <f t="shared" si="20"/>
        <v>33</v>
      </c>
      <c r="BO89" s="74">
        <v>1424960</v>
      </c>
      <c r="BP89" s="74" t="s">
        <v>263</v>
      </c>
      <c r="BQ89" s="74" t="s">
        <v>264</v>
      </c>
      <c r="BR89" s="74"/>
      <c r="BS89" s="74">
        <v>4</v>
      </c>
      <c r="BT89" s="74">
        <v>6</v>
      </c>
      <c r="BU89" s="74">
        <v>9</v>
      </c>
      <c r="BV89" s="74">
        <v>7</v>
      </c>
      <c r="BW89" s="74">
        <v>5</v>
      </c>
      <c r="BX89" s="74">
        <v>2</v>
      </c>
      <c r="BY89" s="74">
        <v>0</v>
      </c>
      <c r="BZ89" s="74">
        <f t="shared" si="21"/>
        <v>33</v>
      </c>
      <c r="CB89" s="74">
        <v>1424960</v>
      </c>
      <c r="CC89" s="74" t="s">
        <v>263</v>
      </c>
      <c r="CD89" s="74" t="s">
        <v>264</v>
      </c>
      <c r="CE89" s="74"/>
      <c r="CF89" s="74">
        <v>4</v>
      </c>
      <c r="CG89" s="74">
        <v>6</v>
      </c>
      <c r="CH89" s="74">
        <v>9</v>
      </c>
      <c r="CI89" s="74">
        <v>7</v>
      </c>
      <c r="CJ89" s="74">
        <v>5</v>
      </c>
      <c r="CK89" s="74">
        <v>2</v>
      </c>
      <c r="CL89" s="74">
        <v>0</v>
      </c>
      <c r="CM89" s="74">
        <f t="shared" si="17"/>
        <v>33</v>
      </c>
      <c r="CO89" s="74">
        <v>1424960</v>
      </c>
      <c r="CP89" s="74" t="s">
        <v>263</v>
      </c>
      <c r="CQ89" s="74" t="s">
        <v>264</v>
      </c>
      <c r="CR89" s="74"/>
      <c r="CS89" s="74">
        <v>3</v>
      </c>
      <c r="CT89" s="74">
        <v>4</v>
      </c>
      <c r="CU89" s="74">
        <v>6</v>
      </c>
      <c r="CV89" s="74">
        <v>5</v>
      </c>
      <c r="CW89" s="74">
        <v>3</v>
      </c>
      <c r="CX89" s="74">
        <v>2</v>
      </c>
      <c r="CY89" s="74">
        <v>0</v>
      </c>
      <c r="CZ89" s="74">
        <v>23</v>
      </c>
      <c r="DB89" s="74">
        <v>1424960</v>
      </c>
      <c r="DC89" s="74" t="s">
        <v>263</v>
      </c>
      <c r="DD89" s="74" t="s">
        <v>264</v>
      </c>
      <c r="DE89" s="74"/>
      <c r="DF89" s="74">
        <v>3</v>
      </c>
      <c r="DG89" s="74">
        <v>4</v>
      </c>
      <c r="DH89" s="74">
        <v>6</v>
      </c>
      <c r="DI89" s="74">
        <v>5</v>
      </c>
      <c r="DJ89" s="74">
        <v>3</v>
      </c>
      <c r="DK89" s="74">
        <v>2</v>
      </c>
      <c r="DL89" s="74">
        <v>0</v>
      </c>
      <c r="DM89" s="74">
        <v>23</v>
      </c>
      <c r="DO89" s="74">
        <v>1424960</v>
      </c>
      <c r="DP89" s="74" t="s">
        <v>263</v>
      </c>
      <c r="DQ89" s="74" t="s">
        <v>264</v>
      </c>
      <c r="DR89" s="74"/>
      <c r="DS89" s="74">
        <v>3</v>
      </c>
      <c r="DT89" s="74">
        <v>4</v>
      </c>
      <c r="DU89" s="74">
        <v>5</v>
      </c>
      <c r="DV89" s="74">
        <v>5</v>
      </c>
      <c r="DW89" s="74">
        <v>3</v>
      </c>
      <c r="DX89" s="74">
        <v>2</v>
      </c>
      <c r="DY89" s="74">
        <v>0</v>
      </c>
      <c r="DZ89" s="74">
        <v>22</v>
      </c>
      <c r="EA89" s="74"/>
      <c r="EB89" s="74">
        <v>1425160</v>
      </c>
      <c r="EC89" s="74" t="s">
        <v>265</v>
      </c>
      <c r="ED89" s="74" t="s">
        <v>264</v>
      </c>
      <c r="EE89" s="74"/>
      <c r="EF89" s="74">
        <v>2</v>
      </c>
      <c r="EG89" s="74">
        <v>2</v>
      </c>
      <c r="EH89" s="74">
        <v>2</v>
      </c>
      <c r="EI89" s="74">
        <v>2</v>
      </c>
      <c r="EJ89" s="74">
        <v>1</v>
      </c>
      <c r="EK89" s="74">
        <v>1</v>
      </c>
      <c r="EL89" s="74">
        <v>0</v>
      </c>
      <c r="EM89" s="74">
        <v>10</v>
      </c>
      <c r="EN89" s="74"/>
      <c r="EO89" s="74">
        <v>1425600</v>
      </c>
      <c r="EP89" s="74" t="s">
        <v>263</v>
      </c>
      <c r="EQ89" s="74" t="s">
        <v>264</v>
      </c>
      <c r="ER89" s="74"/>
      <c r="ES89" s="74">
        <v>10</v>
      </c>
      <c r="ET89" s="74">
        <v>16</v>
      </c>
      <c r="EU89" s="74">
        <v>18</v>
      </c>
      <c r="EV89" s="74">
        <v>18</v>
      </c>
      <c r="EW89" s="74">
        <v>14</v>
      </c>
      <c r="EX89" s="74">
        <v>11</v>
      </c>
      <c r="EY89" s="74">
        <v>0</v>
      </c>
      <c r="EZ89" s="74">
        <v>87</v>
      </c>
      <c r="FB89" s="74">
        <v>1425708</v>
      </c>
      <c r="FC89" s="74" t="s">
        <v>265</v>
      </c>
      <c r="FD89" s="74" t="s">
        <v>264</v>
      </c>
      <c r="FE89" s="74"/>
      <c r="FF89" s="74">
        <v>6</v>
      </c>
      <c r="FG89" s="74">
        <v>8</v>
      </c>
      <c r="FH89" s="74">
        <v>4</v>
      </c>
      <c r="FI89" s="74">
        <v>4</v>
      </c>
      <c r="FJ89" s="74">
        <v>2</v>
      </c>
      <c r="FK89" s="74">
        <v>0</v>
      </c>
      <c r="FL89" s="74">
        <v>0</v>
      </c>
      <c r="FM89" s="74">
        <v>24</v>
      </c>
      <c r="FO89" s="74">
        <v>1425709</v>
      </c>
      <c r="FP89" s="74" t="s">
        <v>265</v>
      </c>
      <c r="FQ89" s="74" t="s">
        <v>264</v>
      </c>
      <c r="FR89" s="74"/>
      <c r="FS89" s="74">
        <v>8</v>
      </c>
      <c r="FT89" s="74">
        <v>10</v>
      </c>
      <c r="FU89" s="74">
        <v>6</v>
      </c>
      <c r="FV89" s="74">
        <v>6</v>
      </c>
      <c r="FW89" s="74">
        <v>3</v>
      </c>
      <c r="FX89" s="74">
        <v>0</v>
      </c>
      <c r="FY89" s="74">
        <v>0</v>
      </c>
      <c r="FZ89" s="74">
        <v>33</v>
      </c>
      <c r="GB89" s="74">
        <v>1425716</v>
      </c>
      <c r="GC89" s="74" t="s">
        <v>265</v>
      </c>
      <c r="GD89" s="74" t="s">
        <v>264</v>
      </c>
      <c r="GE89" s="74"/>
      <c r="GF89" s="74">
        <v>3</v>
      </c>
      <c r="GG89" s="74">
        <v>4</v>
      </c>
      <c r="GH89" s="74">
        <v>2</v>
      </c>
      <c r="GI89" s="74">
        <v>2</v>
      </c>
      <c r="GJ89" s="74">
        <v>1</v>
      </c>
      <c r="GK89" s="74">
        <v>0</v>
      </c>
      <c r="GL89" s="74">
        <v>0</v>
      </c>
      <c r="GM89" s="74">
        <v>12</v>
      </c>
      <c r="GO89" s="449">
        <v>1425748</v>
      </c>
      <c r="GP89" s="74" t="s">
        <v>265</v>
      </c>
      <c r="GQ89" s="74" t="s">
        <v>264</v>
      </c>
      <c r="GR89" s="74"/>
      <c r="GS89" s="74">
        <v>8</v>
      </c>
      <c r="GT89" s="74">
        <v>10</v>
      </c>
      <c r="GU89" s="74">
        <v>6</v>
      </c>
      <c r="GV89" s="74">
        <v>6</v>
      </c>
      <c r="GW89" s="74">
        <v>3</v>
      </c>
      <c r="GX89" s="74">
        <v>0</v>
      </c>
      <c r="GY89" s="74">
        <v>0</v>
      </c>
      <c r="GZ89" s="74">
        <f t="shared" si="25"/>
        <v>33</v>
      </c>
    </row>
    <row r="90" spans="1:208">
      <c r="A90" s="478">
        <v>1425160</v>
      </c>
      <c r="B90" s="478"/>
      <c r="C90" s="478">
        <v>15</v>
      </c>
      <c r="D90" s="478">
        <v>25</v>
      </c>
      <c r="E90" s="478">
        <v>20</v>
      </c>
      <c r="F90" s="478">
        <v>24</v>
      </c>
      <c r="G90" s="478">
        <v>9</v>
      </c>
      <c r="H90" s="478">
        <v>7</v>
      </c>
      <c r="I90" s="478"/>
      <c r="J90" s="479">
        <f>SUM(C90:H90)</f>
        <v>100</v>
      </c>
      <c r="K90" s="480">
        <f>'CORTE 4200'!$O$790</f>
        <v>0</v>
      </c>
      <c r="L90" s="480" t="s">
        <v>279</v>
      </c>
      <c r="M90" s="481"/>
      <c r="N90" s="500"/>
      <c r="O90">
        <v>1425160</v>
      </c>
      <c r="P90" t="s">
        <v>265</v>
      </c>
      <c r="Q90" t="s">
        <v>264</v>
      </c>
      <c r="R90"/>
      <c r="S90">
        <v>15</v>
      </c>
      <c r="T90">
        <v>25</v>
      </c>
      <c r="U90">
        <v>20</v>
      </c>
      <c r="V90">
        <v>24</v>
      </c>
      <c r="W90">
        <v>9</v>
      </c>
      <c r="X90">
        <v>7</v>
      </c>
      <c r="Y90">
        <v>0</v>
      </c>
      <c r="Z90">
        <f t="shared" si="18"/>
        <v>100</v>
      </c>
      <c r="AA90" s="500"/>
      <c r="AB90" s="74">
        <v>1425160</v>
      </c>
      <c r="AC90" s="74" t="s">
        <v>265</v>
      </c>
      <c r="AD90" s="74" t="s">
        <v>264</v>
      </c>
      <c r="AE90"/>
      <c r="AF90" s="74">
        <v>2</v>
      </c>
      <c r="AG90" s="74">
        <v>2</v>
      </c>
      <c r="AH90" s="74">
        <v>2</v>
      </c>
      <c r="AI90" s="74">
        <v>2</v>
      </c>
      <c r="AJ90" s="74">
        <v>1</v>
      </c>
      <c r="AK90" s="74">
        <v>1</v>
      </c>
      <c r="AL90" s="74">
        <v>0</v>
      </c>
      <c r="AM90" s="74">
        <f t="shared" si="16"/>
        <v>10</v>
      </c>
      <c r="AO90" s="74">
        <v>1425160</v>
      </c>
      <c r="AP90" s="74" t="s">
        <v>265</v>
      </c>
      <c r="AQ90" s="74" t="s">
        <v>264</v>
      </c>
      <c r="AR90" s="74"/>
      <c r="AS90" s="74">
        <v>2</v>
      </c>
      <c r="AT90" s="74">
        <v>2</v>
      </c>
      <c r="AU90" s="74">
        <v>2</v>
      </c>
      <c r="AV90" s="74">
        <v>2</v>
      </c>
      <c r="AW90" s="74">
        <v>1</v>
      </c>
      <c r="AX90" s="74">
        <v>1</v>
      </c>
      <c r="AY90" s="74">
        <v>0</v>
      </c>
      <c r="AZ90" s="74">
        <f t="shared" si="19"/>
        <v>10</v>
      </c>
      <c r="BB90" s="74">
        <v>1425160</v>
      </c>
      <c r="BC90" s="74" t="s">
        <v>265</v>
      </c>
      <c r="BD90" s="74" t="s">
        <v>264</v>
      </c>
      <c r="BE90" s="74"/>
      <c r="BF90" s="74">
        <v>2</v>
      </c>
      <c r="BG90" s="74">
        <v>2</v>
      </c>
      <c r="BH90" s="74">
        <v>2</v>
      </c>
      <c r="BI90" s="74">
        <v>2</v>
      </c>
      <c r="BJ90" s="74">
        <v>1</v>
      </c>
      <c r="BK90" s="74">
        <v>1</v>
      </c>
      <c r="BL90" s="74">
        <v>0</v>
      </c>
      <c r="BM90" s="74">
        <f t="shared" si="20"/>
        <v>10</v>
      </c>
      <c r="BO90" s="74">
        <v>1425160</v>
      </c>
      <c r="BP90" s="74" t="s">
        <v>265</v>
      </c>
      <c r="BQ90" s="74" t="s">
        <v>264</v>
      </c>
      <c r="BR90" s="74"/>
      <c r="BS90" s="74">
        <v>2</v>
      </c>
      <c r="BT90" s="74">
        <v>2</v>
      </c>
      <c r="BU90" s="74">
        <v>2</v>
      </c>
      <c r="BV90" s="74">
        <v>2</v>
      </c>
      <c r="BW90" s="74">
        <v>1</v>
      </c>
      <c r="BX90" s="74">
        <v>1</v>
      </c>
      <c r="BY90" s="74">
        <v>0</v>
      </c>
      <c r="BZ90" s="74">
        <f t="shared" si="21"/>
        <v>10</v>
      </c>
      <c r="CB90" s="74">
        <v>1425160</v>
      </c>
      <c r="CC90" s="74" t="s">
        <v>265</v>
      </c>
      <c r="CD90" s="74" t="s">
        <v>264</v>
      </c>
      <c r="CE90" s="74"/>
      <c r="CF90" s="74">
        <v>2</v>
      </c>
      <c r="CG90" s="74">
        <v>2</v>
      </c>
      <c r="CH90" s="74">
        <v>2</v>
      </c>
      <c r="CI90" s="74">
        <v>2</v>
      </c>
      <c r="CJ90" s="74">
        <v>1</v>
      </c>
      <c r="CK90" s="74">
        <v>1</v>
      </c>
      <c r="CL90" s="74">
        <v>0</v>
      </c>
      <c r="CM90" s="74">
        <f t="shared" si="17"/>
        <v>10</v>
      </c>
      <c r="CO90" s="74">
        <v>1425160</v>
      </c>
      <c r="CP90" s="74" t="s">
        <v>265</v>
      </c>
      <c r="CQ90" s="74" t="s">
        <v>264</v>
      </c>
      <c r="CR90" s="74"/>
      <c r="CS90" s="74">
        <v>2</v>
      </c>
      <c r="CT90" s="74">
        <v>2</v>
      </c>
      <c r="CU90" s="74">
        <v>2</v>
      </c>
      <c r="CV90" s="74">
        <v>2</v>
      </c>
      <c r="CW90" s="74">
        <v>1</v>
      </c>
      <c r="CX90" s="74">
        <v>1</v>
      </c>
      <c r="CY90" s="74">
        <v>0</v>
      </c>
      <c r="CZ90" s="74">
        <v>10</v>
      </c>
      <c r="DB90" s="74">
        <v>1425160</v>
      </c>
      <c r="DC90" s="74" t="s">
        <v>265</v>
      </c>
      <c r="DD90" s="74" t="s">
        <v>264</v>
      </c>
      <c r="DE90" s="74"/>
      <c r="DF90" s="74">
        <v>2</v>
      </c>
      <c r="DG90" s="74">
        <v>2</v>
      </c>
      <c r="DH90" s="74">
        <v>2</v>
      </c>
      <c r="DI90" s="74">
        <v>2</v>
      </c>
      <c r="DJ90" s="74">
        <v>1</v>
      </c>
      <c r="DK90" s="74">
        <v>1</v>
      </c>
      <c r="DL90" s="74">
        <v>0</v>
      </c>
      <c r="DM90" s="74">
        <v>10</v>
      </c>
      <c r="DO90" s="74">
        <v>1425160</v>
      </c>
      <c r="DP90" s="74" t="s">
        <v>265</v>
      </c>
      <c r="DQ90" s="74" t="s">
        <v>264</v>
      </c>
      <c r="DR90" s="74"/>
      <c r="DS90" s="74">
        <v>2</v>
      </c>
      <c r="DT90" s="74">
        <v>2</v>
      </c>
      <c r="DU90" s="74">
        <v>2</v>
      </c>
      <c r="DV90" s="74">
        <v>2</v>
      </c>
      <c r="DW90" s="74">
        <v>1</v>
      </c>
      <c r="DX90" s="74">
        <v>1</v>
      </c>
      <c r="DY90" s="74">
        <v>0</v>
      </c>
      <c r="DZ90" s="74">
        <v>10</v>
      </c>
      <c r="EA90" s="74"/>
      <c r="EB90" s="74">
        <v>1425200</v>
      </c>
      <c r="EC90" s="74" t="s">
        <v>280</v>
      </c>
      <c r="ED90" s="74" t="s">
        <v>264</v>
      </c>
      <c r="EE90" s="74"/>
      <c r="EF90" s="74">
        <v>2</v>
      </c>
      <c r="EG90" s="74">
        <v>3</v>
      </c>
      <c r="EH90" s="74">
        <v>3</v>
      </c>
      <c r="EI90" s="74">
        <v>3</v>
      </c>
      <c r="EJ90" s="74">
        <v>2</v>
      </c>
      <c r="EK90" s="74">
        <v>1</v>
      </c>
      <c r="EL90" s="74">
        <v>0</v>
      </c>
      <c r="EM90" s="74">
        <v>14</v>
      </c>
      <c r="EN90" s="74"/>
      <c r="EO90" s="74">
        <v>1425704</v>
      </c>
      <c r="EP90" s="74" t="s">
        <v>265</v>
      </c>
      <c r="EQ90" s="74" t="s">
        <v>264</v>
      </c>
      <c r="ER90" s="74"/>
      <c r="ES90" s="74">
        <v>1</v>
      </c>
      <c r="ET90" s="74">
        <v>4</v>
      </c>
      <c r="EU90" s="74">
        <v>6</v>
      </c>
      <c r="EV90" s="74">
        <v>5</v>
      </c>
      <c r="EW90" s="74">
        <v>4</v>
      </c>
      <c r="EX90" s="74">
        <v>3</v>
      </c>
      <c r="EY90" s="74">
        <v>0</v>
      </c>
      <c r="EZ90" s="74">
        <v>23</v>
      </c>
      <c r="FB90" s="74">
        <v>1425709</v>
      </c>
      <c r="FC90" s="74" t="s">
        <v>265</v>
      </c>
      <c r="FD90" s="74" t="s">
        <v>264</v>
      </c>
      <c r="FE90" s="74"/>
      <c r="FF90" s="74">
        <v>8</v>
      </c>
      <c r="FG90" s="74">
        <v>10</v>
      </c>
      <c r="FH90" s="74">
        <v>6</v>
      </c>
      <c r="FI90" s="74">
        <v>6</v>
      </c>
      <c r="FJ90" s="74">
        <v>3</v>
      </c>
      <c r="FK90" s="74">
        <v>0</v>
      </c>
      <c r="FL90" s="74">
        <v>0</v>
      </c>
      <c r="FM90" s="74">
        <v>33</v>
      </c>
      <c r="FN90" s="17"/>
      <c r="FO90" s="74">
        <v>1425716</v>
      </c>
      <c r="FP90" s="74" t="s">
        <v>265</v>
      </c>
      <c r="FQ90" s="74" t="s">
        <v>264</v>
      </c>
      <c r="FR90" s="74"/>
      <c r="FS90" s="74">
        <v>3</v>
      </c>
      <c r="FT90" s="74">
        <v>4</v>
      </c>
      <c r="FU90" s="74">
        <v>2</v>
      </c>
      <c r="FV90" s="74">
        <v>2</v>
      </c>
      <c r="FW90" s="74">
        <v>1</v>
      </c>
      <c r="FX90" s="74">
        <v>0</v>
      </c>
      <c r="FY90" s="74">
        <v>0</v>
      </c>
      <c r="FZ90" s="74">
        <v>12</v>
      </c>
      <c r="GA90" s="17"/>
      <c r="GB90" s="74">
        <v>1425748</v>
      </c>
      <c r="GC90" s="74" t="s">
        <v>265</v>
      </c>
      <c r="GD90" s="74" t="s">
        <v>264</v>
      </c>
      <c r="GE90" s="74"/>
      <c r="GF90" s="74">
        <v>8</v>
      </c>
      <c r="GG90" s="74">
        <v>10</v>
      </c>
      <c r="GH90" s="74">
        <v>6</v>
      </c>
      <c r="GI90" s="74">
        <v>6</v>
      </c>
      <c r="GJ90" s="74">
        <v>3</v>
      </c>
      <c r="GK90" s="74">
        <v>0</v>
      </c>
      <c r="GL90" s="74">
        <v>0</v>
      </c>
      <c r="GM90" s="74">
        <v>33</v>
      </c>
      <c r="GO90" s="74"/>
      <c r="GP90" s="74"/>
      <c r="GQ90" s="74"/>
      <c r="GR90" s="74"/>
      <c r="GS90" s="74"/>
      <c r="GT90" s="74"/>
      <c r="GU90" s="74"/>
      <c r="GV90" s="74"/>
      <c r="GW90" s="74"/>
      <c r="GX90" s="74"/>
      <c r="GY90" s="74"/>
      <c r="GZ90" s="74">
        <v>4963</v>
      </c>
    </row>
    <row r="91" spans="1:208">
      <c r="A91" s="478">
        <v>1425200</v>
      </c>
      <c r="B91" s="478" t="s">
        <v>85</v>
      </c>
      <c r="C91" s="478">
        <v>3</v>
      </c>
      <c r="D91" s="478">
        <v>5</v>
      </c>
      <c r="E91" s="478">
        <v>5</v>
      </c>
      <c r="F91" s="478">
        <v>6</v>
      </c>
      <c r="G91" s="478">
        <v>5</v>
      </c>
      <c r="H91" s="478">
        <v>3</v>
      </c>
      <c r="I91" s="478"/>
      <c r="J91" s="479">
        <f>SUM(C91:H91)</f>
        <v>27</v>
      </c>
      <c r="K91" s="480">
        <f>'CORTE 4200'!$O$799</f>
        <v>27</v>
      </c>
      <c r="L91" s="480"/>
      <c r="M91" s="481"/>
      <c r="N91" s="500"/>
      <c r="O91">
        <v>1425200</v>
      </c>
      <c r="P91" t="s">
        <v>280</v>
      </c>
      <c r="Q91" t="s">
        <v>264</v>
      </c>
      <c r="R91"/>
      <c r="S91">
        <v>3</v>
      </c>
      <c r="T91">
        <v>5</v>
      </c>
      <c r="U91">
        <v>5</v>
      </c>
      <c r="V91">
        <v>6</v>
      </c>
      <c r="W91">
        <v>5</v>
      </c>
      <c r="X91">
        <v>3</v>
      </c>
      <c r="Y91">
        <v>0</v>
      </c>
      <c r="Z91">
        <f t="shared" si="18"/>
        <v>27</v>
      </c>
      <c r="AA91" s="500"/>
      <c r="AB91" s="74">
        <v>1425200</v>
      </c>
      <c r="AC91" s="74" t="s">
        <v>280</v>
      </c>
      <c r="AD91" s="74" t="s">
        <v>264</v>
      </c>
      <c r="AE91"/>
      <c r="AF91" s="74">
        <v>3</v>
      </c>
      <c r="AG91" s="74">
        <v>5</v>
      </c>
      <c r="AH91" s="74">
        <v>5</v>
      </c>
      <c r="AI91" s="74">
        <v>6</v>
      </c>
      <c r="AJ91" s="74">
        <v>5</v>
      </c>
      <c r="AK91" s="74">
        <v>3</v>
      </c>
      <c r="AL91" s="74">
        <v>0</v>
      </c>
      <c r="AM91" s="74">
        <f t="shared" si="16"/>
        <v>27</v>
      </c>
      <c r="AO91" s="74">
        <v>1425200</v>
      </c>
      <c r="AP91" s="74" t="s">
        <v>280</v>
      </c>
      <c r="AQ91" s="74" t="s">
        <v>264</v>
      </c>
      <c r="AR91" s="74"/>
      <c r="AS91" s="74">
        <v>3</v>
      </c>
      <c r="AT91" s="74">
        <v>5</v>
      </c>
      <c r="AU91" s="74">
        <v>5</v>
      </c>
      <c r="AV91" s="74">
        <v>6</v>
      </c>
      <c r="AW91" s="74">
        <v>5</v>
      </c>
      <c r="AX91" s="74">
        <v>3</v>
      </c>
      <c r="AY91" s="74">
        <v>0</v>
      </c>
      <c r="AZ91" s="74">
        <f t="shared" si="19"/>
        <v>27</v>
      </c>
      <c r="BB91" s="74">
        <v>1425200</v>
      </c>
      <c r="BC91" s="74" t="s">
        <v>280</v>
      </c>
      <c r="BD91" s="74" t="s">
        <v>264</v>
      </c>
      <c r="BE91" s="74"/>
      <c r="BF91" s="74">
        <v>3</v>
      </c>
      <c r="BG91" s="74">
        <v>5</v>
      </c>
      <c r="BH91" s="74">
        <v>5</v>
      </c>
      <c r="BI91" s="74">
        <v>6</v>
      </c>
      <c r="BJ91" s="74">
        <v>5</v>
      </c>
      <c r="BK91" s="74">
        <v>3</v>
      </c>
      <c r="BL91" s="74">
        <v>0</v>
      </c>
      <c r="BM91" s="74">
        <f t="shared" si="20"/>
        <v>27</v>
      </c>
      <c r="BO91" s="74">
        <v>1425200</v>
      </c>
      <c r="BP91" s="74" t="s">
        <v>280</v>
      </c>
      <c r="BQ91" s="74" t="s">
        <v>264</v>
      </c>
      <c r="BR91" s="74"/>
      <c r="BS91" s="74">
        <v>3</v>
      </c>
      <c r="BT91" s="74">
        <v>5</v>
      </c>
      <c r="BU91" s="74">
        <v>5</v>
      </c>
      <c r="BV91" s="74">
        <v>6</v>
      </c>
      <c r="BW91" s="74">
        <v>5</v>
      </c>
      <c r="BX91" s="74">
        <v>3</v>
      </c>
      <c r="BY91" s="74">
        <v>0</v>
      </c>
      <c r="BZ91" s="74">
        <f t="shared" si="21"/>
        <v>27</v>
      </c>
      <c r="CB91" s="74">
        <v>1425200</v>
      </c>
      <c r="CC91" s="74" t="s">
        <v>280</v>
      </c>
      <c r="CD91" s="74" t="s">
        <v>264</v>
      </c>
      <c r="CE91" s="74"/>
      <c r="CF91" s="74">
        <v>3</v>
      </c>
      <c r="CG91" s="74">
        <v>5</v>
      </c>
      <c r="CH91" s="74">
        <v>5</v>
      </c>
      <c r="CI91" s="74">
        <v>6</v>
      </c>
      <c r="CJ91" s="74">
        <v>5</v>
      </c>
      <c r="CK91" s="74">
        <v>3</v>
      </c>
      <c r="CL91" s="74">
        <v>0</v>
      </c>
      <c r="CM91" s="74">
        <f t="shared" si="17"/>
        <v>27</v>
      </c>
      <c r="CO91" s="74">
        <v>1425200</v>
      </c>
      <c r="CP91" s="74" t="s">
        <v>280</v>
      </c>
      <c r="CQ91" s="74" t="s">
        <v>264</v>
      </c>
      <c r="CR91" s="74"/>
      <c r="CS91" s="74">
        <v>3</v>
      </c>
      <c r="CT91" s="74">
        <v>5</v>
      </c>
      <c r="CU91" s="74">
        <v>5</v>
      </c>
      <c r="CV91" s="74">
        <v>6</v>
      </c>
      <c r="CW91" s="74">
        <v>5</v>
      </c>
      <c r="CX91" s="74">
        <v>3</v>
      </c>
      <c r="CY91" s="74">
        <v>0</v>
      </c>
      <c r="CZ91" s="74">
        <v>27</v>
      </c>
      <c r="DB91" s="74">
        <v>1425200</v>
      </c>
      <c r="DC91" s="74" t="s">
        <v>280</v>
      </c>
      <c r="DD91" s="74" t="s">
        <v>264</v>
      </c>
      <c r="DE91" s="74"/>
      <c r="DF91" s="74">
        <v>2</v>
      </c>
      <c r="DG91" s="74">
        <v>3</v>
      </c>
      <c r="DH91" s="74">
        <v>3</v>
      </c>
      <c r="DI91" s="74">
        <v>3</v>
      </c>
      <c r="DJ91" s="74">
        <v>2</v>
      </c>
      <c r="DK91" s="74">
        <v>1</v>
      </c>
      <c r="DL91" s="74">
        <v>0</v>
      </c>
      <c r="DM91" s="74">
        <v>14</v>
      </c>
      <c r="DO91" s="74">
        <v>1425200</v>
      </c>
      <c r="DP91" s="74" t="s">
        <v>280</v>
      </c>
      <c r="DQ91" s="74" t="s">
        <v>264</v>
      </c>
      <c r="DR91" s="74"/>
      <c r="DS91" s="74">
        <v>2</v>
      </c>
      <c r="DT91" s="74">
        <v>3</v>
      </c>
      <c r="DU91" s="74">
        <v>3</v>
      </c>
      <c r="DV91" s="74">
        <v>3</v>
      </c>
      <c r="DW91" s="74">
        <v>2</v>
      </c>
      <c r="DX91" s="74">
        <v>1</v>
      </c>
      <c r="DY91" s="74">
        <v>0</v>
      </c>
      <c r="DZ91" s="74">
        <v>14</v>
      </c>
      <c r="EA91" s="74"/>
      <c r="EB91" s="74">
        <v>1425600</v>
      </c>
      <c r="EC91" s="74" t="s">
        <v>263</v>
      </c>
      <c r="ED91" s="74" t="s">
        <v>264</v>
      </c>
      <c r="EE91" s="74"/>
      <c r="EF91" s="74">
        <v>10</v>
      </c>
      <c r="EG91" s="74">
        <v>16</v>
      </c>
      <c r="EH91" s="74">
        <v>18</v>
      </c>
      <c r="EI91" s="74">
        <v>18</v>
      </c>
      <c r="EJ91" s="74">
        <v>14</v>
      </c>
      <c r="EK91" s="74">
        <v>11</v>
      </c>
      <c r="EL91" s="74">
        <v>0</v>
      </c>
      <c r="EM91" s="74">
        <v>87</v>
      </c>
      <c r="EN91" s="74"/>
      <c r="EO91" s="74">
        <v>1425708</v>
      </c>
      <c r="EP91" s="74" t="s">
        <v>265</v>
      </c>
      <c r="EQ91" s="74" t="s">
        <v>264</v>
      </c>
      <c r="ER91" s="74"/>
      <c r="ES91" s="74">
        <v>6</v>
      </c>
      <c r="ET91" s="74">
        <v>8</v>
      </c>
      <c r="EU91" s="74">
        <v>4</v>
      </c>
      <c r="EV91" s="74">
        <v>4</v>
      </c>
      <c r="EW91" s="74">
        <v>2</v>
      </c>
      <c r="EX91" s="74">
        <v>0</v>
      </c>
      <c r="EY91" s="74">
        <v>0</v>
      </c>
      <c r="EZ91" s="74">
        <v>24</v>
      </c>
      <c r="FB91" s="74">
        <v>1425716</v>
      </c>
      <c r="FC91" s="74" t="s">
        <v>265</v>
      </c>
      <c r="FD91" s="74" t="s">
        <v>264</v>
      </c>
      <c r="FE91" s="74"/>
      <c r="FF91" s="74">
        <v>3</v>
      </c>
      <c r="FG91" s="74">
        <v>4</v>
      </c>
      <c r="FH91" s="74">
        <v>2</v>
      </c>
      <c r="FI91" s="74">
        <v>2</v>
      </c>
      <c r="FJ91" s="74">
        <v>1</v>
      </c>
      <c r="FK91" s="74">
        <v>0</v>
      </c>
      <c r="FL91" s="74">
        <v>0</v>
      </c>
      <c r="FM91" s="74">
        <v>12</v>
      </c>
      <c r="FO91" s="74">
        <v>1425748</v>
      </c>
      <c r="FP91" s="74" t="s">
        <v>265</v>
      </c>
      <c r="FQ91" s="74" t="s">
        <v>264</v>
      </c>
      <c r="FR91" s="74"/>
      <c r="FS91" s="74">
        <v>8</v>
      </c>
      <c r="FT91" s="74">
        <v>11</v>
      </c>
      <c r="FU91" s="74">
        <v>8</v>
      </c>
      <c r="FV91" s="74">
        <v>8</v>
      </c>
      <c r="FW91" s="74">
        <v>5</v>
      </c>
      <c r="FX91" s="74">
        <v>2</v>
      </c>
      <c r="FY91" s="74">
        <v>0</v>
      </c>
      <c r="FZ91" s="74">
        <v>42</v>
      </c>
      <c r="GM91" s="18">
        <f>SUM(GM4:GM90)</f>
        <v>5807</v>
      </c>
    </row>
    <row r="92" spans="1:208">
      <c r="A92" s="478">
        <v>1425600</v>
      </c>
      <c r="B92" s="478" t="s">
        <v>85</v>
      </c>
      <c r="C92" s="478">
        <v>13</v>
      </c>
      <c r="D92" s="478">
        <v>21</v>
      </c>
      <c r="E92" s="478">
        <v>23</v>
      </c>
      <c r="F92" s="478">
        <v>22</v>
      </c>
      <c r="G92" s="478">
        <v>18</v>
      </c>
      <c r="H92" s="478">
        <v>13</v>
      </c>
      <c r="I92" s="478"/>
      <c r="J92" s="479">
        <f t="shared" si="26"/>
        <v>110</v>
      </c>
      <c r="K92" s="480">
        <f>'CORTE 4200'!$O$808</f>
        <v>-34</v>
      </c>
      <c r="L92" s="480"/>
      <c r="M92" s="481" t="s">
        <v>242</v>
      </c>
      <c r="N92" s="500"/>
      <c r="O92">
        <v>1425600</v>
      </c>
      <c r="P92" t="s">
        <v>263</v>
      </c>
      <c r="Q92" t="s">
        <v>264</v>
      </c>
      <c r="R92"/>
      <c r="S92">
        <v>13</v>
      </c>
      <c r="T92">
        <v>21</v>
      </c>
      <c r="U92">
        <v>23</v>
      </c>
      <c r="V92">
        <v>22</v>
      </c>
      <c r="W92">
        <v>18</v>
      </c>
      <c r="X92">
        <v>13</v>
      </c>
      <c r="Y92">
        <v>0</v>
      </c>
      <c r="Z92">
        <f t="shared" si="18"/>
        <v>110</v>
      </c>
      <c r="AA92" s="500"/>
      <c r="AB92" s="74">
        <v>1425600</v>
      </c>
      <c r="AC92" s="74" t="s">
        <v>263</v>
      </c>
      <c r="AD92" s="74" t="s">
        <v>264</v>
      </c>
      <c r="AE92"/>
      <c r="AF92" s="74">
        <v>16</v>
      </c>
      <c r="AG92" s="74">
        <v>28</v>
      </c>
      <c r="AH92" s="74">
        <v>28</v>
      </c>
      <c r="AI92" s="74">
        <v>25</v>
      </c>
      <c r="AJ92" s="74">
        <v>19</v>
      </c>
      <c r="AK92" s="74">
        <v>13</v>
      </c>
      <c r="AL92" s="74">
        <v>0</v>
      </c>
      <c r="AM92" s="74">
        <f t="shared" si="16"/>
        <v>129</v>
      </c>
      <c r="AO92" s="74">
        <v>1425600</v>
      </c>
      <c r="AP92" s="74" t="s">
        <v>263</v>
      </c>
      <c r="AQ92" s="74" t="s">
        <v>264</v>
      </c>
      <c r="AR92" s="74"/>
      <c r="AS92" s="74">
        <v>14</v>
      </c>
      <c r="AT92" s="74">
        <v>25</v>
      </c>
      <c r="AU92" s="74">
        <v>26</v>
      </c>
      <c r="AV92" s="74">
        <v>23</v>
      </c>
      <c r="AW92" s="74">
        <v>17</v>
      </c>
      <c r="AX92" s="74">
        <v>11</v>
      </c>
      <c r="AY92" s="74">
        <v>0</v>
      </c>
      <c r="AZ92" s="74">
        <f t="shared" si="19"/>
        <v>116</v>
      </c>
      <c r="BB92" s="74">
        <v>1425600</v>
      </c>
      <c r="BC92" s="74" t="s">
        <v>263</v>
      </c>
      <c r="BD92" s="74" t="s">
        <v>264</v>
      </c>
      <c r="BE92" s="74"/>
      <c r="BF92" s="74">
        <v>14</v>
      </c>
      <c r="BG92" s="74">
        <v>25</v>
      </c>
      <c r="BH92" s="74">
        <v>26</v>
      </c>
      <c r="BI92" s="74">
        <v>23</v>
      </c>
      <c r="BJ92" s="74">
        <v>17</v>
      </c>
      <c r="BK92" s="74">
        <v>11</v>
      </c>
      <c r="BL92" s="74">
        <v>0</v>
      </c>
      <c r="BM92" s="74">
        <f t="shared" si="20"/>
        <v>116</v>
      </c>
      <c r="BO92" s="74">
        <v>1425600</v>
      </c>
      <c r="BP92" s="74" t="s">
        <v>263</v>
      </c>
      <c r="BQ92" s="74" t="s">
        <v>264</v>
      </c>
      <c r="BR92" s="74"/>
      <c r="BS92" s="74">
        <v>14</v>
      </c>
      <c r="BT92" s="74">
        <v>25</v>
      </c>
      <c r="BU92" s="74">
        <v>26</v>
      </c>
      <c r="BV92" s="74">
        <v>23</v>
      </c>
      <c r="BW92" s="74">
        <v>17</v>
      </c>
      <c r="BX92" s="74">
        <v>11</v>
      </c>
      <c r="BY92" s="74">
        <v>0</v>
      </c>
      <c r="BZ92" s="74">
        <f t="shared" si="21"/>
        <v>116</v>
      </c>
      <c r="CB92" s="74">
        <v>1425600</v>
      </c>
      <c r="CC92" s="74" t="s">
        <v>263</v>
      </c>
      <c r="CD92" s="74" t="s">
        <v>264</v>
      </c>
      <c r="CE92" s="74"/>
      <c r="CF92" s="74">
        <v>14</v>
      </c>
      <c r="CG92" s="74">
        <v>25</v>
      </c>
      <c r="CH92" s="74">
        <v>26</v>
      </c>
      <c r="CI92" s="74">
        <v>23</v>
      </c>
      <c r="CJ92" s="74">
        <v>17</v>
      </c>
      <c r="CK92" s="74">
        <v>11</v>
      </c>
      <c r="CL92" s="74">
        <v>0</v>
      </c>
      <c r="CM92" s="74">
        <f t="shared" si="17"/>
        <v>116</v>
      </c>
      <c r="CO92" s="74">
        <v>1425600</v>
      </c>
      <c r="CP92" s="74" t="s">
        <v>263</v>
      </c>
      <c r="CQ92" s="74" t="s">
        <v>264</v>
      </c>
      <c r="CR92" s="74"/>
      <c r="CS92" s="74">
        <v>13</v>
      </c>
      <c r="CT92" s="74">
        <v>23</v>
      </c>
      <c r="CU92" s="74">
        <v>23</v>
      </c>
      <c r="CV92" s="74">
        <v>21</v>
      </c>
      <c r="CW92" s="74">
        <v>15</v>
      </c>
      <c r="CX92" s="74">
        <v>11</v>
      </c>
      <c r="CY92" s="74">
        <v>0</v>
      </c>
      <c r="CZ92" s="74">
        <v>106</v>
      </c>
      <c r="DB92" s="74">
        <v>1425600</v>
      </c>
      <c r="DC92" s="74" t="s">
        <v>263</v>
      </c>
      <c r="DD92" s="74" t="s">
        <v>264</v>
      </c>
      <c r="DE92" s="74"/>
      <c r="DF92" s="74">
        <v>13</v>
      </c>
      <c r="DG92" s="74">
        <v>23</v>
      </c>
      <c r="DH92" s="74">
        <v>23</v>
      </c>
      <c r="DI92" s="74">
        <v>21</v>
      </c>
      <c r="DJ92" s="74">
        <v>15</v>
      </c>
      <c r="DK92" s="74">
        <v>11</v>
      </c>
      <c r="DL92" s="74">
        <v>0</v>
      </c>
      <c r="DM92" s="74">
        <v>106</v>
      </c>
      <c r="DO92" s="74">
        <v>1425600</v>
      </c>
      <c r="DP92" s="74" t="s">
        <v>263</v>
      </c>
      <c r="DQ92" s="74" t="s">
        <v>264</v>
      </c>
      <c r="DR92" s="74"/>
      <c r="DS92" s="74">
        <v>13</v>
      </c>
      <c r="DT92" s="74">
        <v>23</v>
      </c>
      <c r="DU92" s="74">
        <v>23</v>
      </c>
      <c r="DV92" s="74">
        <v>21</v>
      </c>
      <c r="DW92" s="74">
        <v>15</v>
      </c>
      <c r="DX92" s="74">
        <v>11</v>
      </c>
      <c r="DY92" s="74">
        <v>0</v>
      </c>
      <c r="DZ92" s="74">
        <v>106</v>
      </c>
      <c r="EA92" s="74"/>
      <c r="EB92" s="74">
        <v>1425704</v>
      </c>
      <c r="EC92" s="74" t="s">
        <v>265</v>
      </c>
      <c r="ED92" s="74" t="s">
        <v>264</v>
      </c>
      <c r="EE92" s="74"/>
      <c r="EF92" s="74">
        <v>2</v>
      </c>
      <c r="EG92" s="74">
        <v>6</v>
      </c>
      <c r="EH92" s="74">
        <v>8</v>
      </c>
      <c r="EI92" s="74">
        <v>7</v>
      </c>
      <c r="EJ92" s="74">
        <v>5</v>
      </c>
      <c r="EK92" s="74">
        <v>4</v>
      </c>
      <c r="EL92" s="74">
        <v>0</v>
      </c>
      <c r="EM92" s="74">
        <v>32</v>
      </c>
      <c r="EN92" s="74"/>
      <c r="EO92" s="74">
        <v>1425709</v>
      </c>
      <c r="EP92" s="74" t="s">
        <v>265</v>
      </c>
      <c r="EQ92" s="74" t="s">
        <v>264</v>
      </c>
      <c r="ER92" s="74"/>
      <c r="ES92" s="74">
        <v>8</v>
      </c>
      <c r="ET92" s="74">
        <v>10</v>
      </c>
      <c r="EU92" s="74">
        <v>6</v>
      </c>
      <c r="EV92" s="74">
        <v>6</v>
      </c>
      <c r="EW92" s="74">
        <v>3</v>
      </c>
      <c r="EX92" s="74">
        <v>0</v>
      </c>
      <c r="EY92" s="74">
        <v>0</v>
      </c>
      <c r="EZ92" s="74">
        <v>33</v>
      </c>
      <c r="FA92" s="17"/>
      <c r="FB92" s="74">
        <v>1425748</v>
      </c>
      <c r="FC92" s="74" t="s">
        <v>265</v>
      </c>
      <c r="FD92" s="74" t="s">
        <v>264</v>
      </c>
      <c r="FE92" s="74"/>
      <c r="FF92" s="74">
        <v>8</v>
      </c>
      <c r="FG92" s="74">
        <v>11</v>
      </c>
      <c r="FH92" s="74">
        <v>8</v>
      </c>
      <c r="FI92" s="74">
        <v>8</v>
      </c>
      <c r="FJ92" s="74">
        <v>5</v>
      </c>
      <c r="FK92" s="74">
        <v>2</v>
      </c>
      <c r="FL92" s="74">
        <v>0</v>
      </c>
      <c r="FM92" s="74">
        <v>42</v>
      </c>
    </row>
    <row r="93" spans="1:208">
      <c r="A93" s="498">
        <v>1425704</v>
      </c>
      <c r="B93" s="478" t="s">
        <v>161</v>
      </c>
      <c r="C93" s="478">
        <v>4</v>
      </c>
      <c r="D93" s="478">
        <v>8</v>
      </c>
      <c r="E93" s="478">
        <v>11</v>
      </c>
      <c r="F93" s="478">
        <v>10</v>
      </c>
      <c r="G93" s="478">
        <v>7</v>
      </c>
      <c r="H93" s="478">
        <v>5</v>
      </c>
      <c r="I93" s="478"/>
      <c r="J93" s="479">
        <f>SUM(C93:H93)</f>
        <v>45</v>
      </c>
      <c r="K93" s="480">
        <f>'CORTE 4200'!$O$817</f>
        <v>45</v>
      </c>
      <c r="L93" s="480"/>
      <c r="M93" s="481" t="s">
        <v>281</v>
      </c>
      <c r="N93" s="500"/>
      <c r="O93">
        <v>1425704</v>
      </c>
      <c r="P93" t="s">
        <v>265</v>
      </c>
      <c r="Q93" t="s">
        <v>264</v>
      </c>
      <c r="R93"/>
      <c r="S93">
        <v>4</v>
      </c>
      <c r="T93">
        <v>8</v>
      </c>
      <c r="U93">
        <v>11</v>
      </c>
      <c r="V93">
        <v>10</v>
      </c>
      <c r="W93">
        <v>7</v>
      </c>
      <c r="X93">
        <v>5</v>
      </c>
      <c r="Y93">
        <v>0</v>
      </c>
      <c r="Z93">
        <f t="shared" si="18"/>
        <v>45</v>
      </c>
      <c r="AA93" s="500"/>
      <c r="AB93" s="74">
        <v>1425704</v>
      </c>
      <c r="AC93" s="74" t="s">
        <v>265</v>
      </c>
      <c r="AD93" s="74" t="s">
        <v>264</v>
      </c>
      <c r="AE93"/>
      <c r="AF93" s="74">
        <v>4</v>
      </c>
      <c r="AG93" s="74">
        <v>8</v>
      </c>
      <c r="AH93" s="74">
        <v>11</v>
      </c>
      <c r="AI93" s="74">
        <v>10</v>
      </c>
      <c r="AJ93" s="74">
        <v>7</v>
      </c>
      <c r="AK93" s="74">
        <v>5</v>
      </c>
      <c r="AL93" s="74">
        <v>0</v>
      </c>
      <c r="AM93" s="74">
        <f t="shared" si="16"/>
        <v>45</v>
      </c>
      <c r="AO93" s="74">
        <v>1425704</v>
      </c>
      <c r="AP93" s="74" t="s">
        <v>265</v>
      </c>
      <c r="AQ93" s="74" t="s">
        <v>264</v>
      </c>
      <c r="AR93" s="74"/>
      <c r="AS93" s="74">
        <v>4</v>
      </c>
      <c r="AT93" s="74">
        <v>8</v>
      </c>
      <c r="AU93" s="74">
        <v>11</v>
      </c>
      <c r="AV93" s="74">
        <v>10</v>
      </c>
      <c r="AW93" s="74">
        <v>7</v>
      </c>
      <c r="AX93" s="74">
        <v>5</v>
      </c>
      <c r="AY93" s="74">
        <v>0</v>
      </c>
      <c r="AZ93" s="74">
        <f t="shared" si="19"/>
        <v>45</v>
      </c>
      <c r="BB93" s="74">
        <v>1425704</v>
      </c>
      <c r="BC93" s="74" t="s">
        <v>265</v>
      </c>
      <c r="BD93" s="74" t="s">
        <v>264</v>
      </c>
      <c r="BE93" s="74"/>
      <c r="BF93" s="74">
        <v>4</v>
      </c>
      <c r="BG93" s="74">
        <v>8</v>
      </c>
      <c r="BH93" s="74">
        <v>11</v>
      </c>
      <c r="BI93" s="74">
        <v>10</v>
      </c>
      <c r="BJ93" s="74">
        <v>7</v>
      </c>
      <c r="BK93" s="74">
        <v>5</v>
      </c>
      <c r="BL93" s="74">
        <v>0</v>
      </c>
      <c r="BM93" s="74">
        <f t="shared" si="20"/>
        <v>45</v>
      </c>
      <c r="BO93" s="74">
        <v>1425704</v>
      </c>
      <c r="BP93" s="74" t="s">
        <v>265</v>
      </c>
      <c r="BQ93" s="74" t="s">
        <v>264</v>
      </c>
      <c r="BR93" s="74"/>
      <c r="BS93" s="74">
        <v>4</v>
      </c>
      <c r="BT93" s="74">
        <v>8</v>
      </c>
      <c r="BU93" s="74">
        <v>11</v>
      </c>
      <c r="BV93" s="74">
        <v>10</v>
      </c>
      <c r="BW93" s="74">
        <v>7</v>
      </c>
      <c r="BX93" s="74">
        <v>5</v>
      </c>
      <c r="BY93" s="74">
        <v>0</v>
      </c>
      <c r="BZ93" s="74">
        <f t="shared" si="21"/>
        <v>45</v>
      </c>
      <c r="CB93" s="74">
        <v>1425704</v>
      </c>
      <c r="CC93" s="74" t="s">
        <v>265</v>
      </c>
      <c r="CD93" s="74" t="s">
        <v>264</v>
      </c>
      <c r="CE93" s="74"/>
      <c r="CF93" s="74">
        <v>4</v>
      </c>
      <c r="CG93" s="74">
        <v>8</v>
      </c>
      <c r="CH93" s="74">
        <v>11</v>
      </c>
      <c r="CI93" s="74">
        <v>10</v>
      </c>
      <c r="CJ93" s="74">
        <v>7</v>
      </c>
      <c r="CK93" s="74">
        <v>5</v>
      </c>
      <c r="CL93" s="74">
        <v>0</v>
      </c>
      <c r="CM93" s="74">
        <f t="shared" si="17"/>
        <v>45</v>
      </c>
      <c r="CO93" s="74">
        <v>1425704</v>
      </c>
      <c r="CP93" s="74" t="s">
        <v>265</v>
      </c>
      <c r="CQ93" s="74" t="s">
        <v>264</v>
      </c>
      <c r="CR93" s="74"/>
      <c r="CS93" s="74">
        <v>4</v>
      </c>
      <c r="CT93" s="74">
        <v>8</v>
      </c>
      <c r="CU93" s="74">
        <v>11</v>
      </c>
      <c r="CV93" s="74">
        <v>10</v>
      </c>
      <c r="CW93" s="74">
        <v>7</v>
      </c>
      <c r="CX93" s="74">
        <v>5</v>
      </c>
      <c r="CY93" s="74">
        <v>0</v>
      </c>
      <c r="CZ93" s="74">
        <v>45</v>
      </c>
      <c r="DB93" s="74">
        <v>1425704</v>
      </c>
      <c r="DC93" s="74" t="s">
        <v>265</v>
      </c>
      <c r="DD93" s="74" t="s">
        <v>264</v>
      </c>
      <c r="DE93" s="74"/>
      <c r="DF93" s="74">
        <v>4</v>
      </c>
      <c r="DG93" s="74">
        <v>8</v>
      </c>
      <c r="DH93" s="74">
        <v>11</v>
      </c>
      <c r="DI93" s="74">
        <v>10</v>
      </c>
      <c r="DJ93" s="74">
        <v>7</v>
      </c>
      <c r="DK93" s="74">
        <v>5</v>
      </c>
      <c r="DL93" s="74">
        <v>0</v>
      </c>
      <c r="DM93" s="74">
        <v>45</v>
      </c>
      <c r="DO93" s="74">
        <v>1425704</v>
      </c>
      <c r="DP93" s="74" t="s">
        <v>265</v>
      </c>
      <c r="DQ93" s="74" t="s">
        <v>264</v>
      </c>
      <c r="DR93" s="74"/>
      <c r="DS93" s="74">
        <v>4</v>
      </c>
      <c r="DT93" s="74">
        <v>8</v>
      </c>
      <c r="DU93" s="74">
        <v>11</v>
      </c>
      <c r="DV93" s="74">
        <v>10</v>
      </c>
      <c r="DW93" s="74">
        <v>7</v>
      </c>
      <c r="DX93" s="74">
        <v>5</v>
      </c>
      <c r="DY93" s="74">
        <v>0</v>
      </c>
      <c r="DZ93" s="74">
        <v>45</v>
      </c>
      <c r="EA93" s="74"/>
      <c r="EB93" s="74">
        <v>1425708</v>
      </c>
      <c r="EC93" s="74" t="s">
        <v>265</v>
      </c>
      <c r="ED93" s="74" t="s">
        <v>264</v>
      </c>
      <c r="EE93" s="74"/>
      <c r="EF93" s="74">
        <v>6</v>
      </c>
      <c r="EG93" s="74">
        <v>8</v>
      </c>
      <c r="EH93" s="74">
        <v>4</v>
      </c>
      <c r="EI93" s="74">
        <v>4</v>
      </c>
      <c r="EJ93" s="74">
        <v>2</v>
      </c>
      <c r="EK93" s="74">
        <v>0</v>
      </c>
      <c r="EL93" s="74">
        <v>0</v>
      </c>
      <c r="EM93" s="74">
        <v>24</v>
      </c>
      <c r="EN93" s="74"/>
      <c r="EO93" s="74">
        <v>1425716</v>
      </c>
      <c r="EP93" s="74" t="s">
        <v>265</v>
      </c>
      <c r="EQ93" s="74" t="s">
        <v>264</v>
      </c>
      <c r="ER93" s="74"/>
      <c r="ES93" s="74">
        <v>3</v>
      </c>
      <c r="ET93" s="74">
        <v>4</v>
      </c>
      <c r="EU93" s="74">
        <v>2</v>
      </c>
      <c r="EV93" s="74">
        <v>2</v>
      </c>
      <c r="EW93" s="74">
        <v>1</v>
      </c>
      <c r="EX93" s="74">
        <v>0</v>
      </c>
      <c r="EY93" s="74">
        <v>0</v>
      </c>
      <c r="EZ93" s="74">
        <v>12</v>
      </c>
      <c r="FM93" s="18">
        <f>SUM(FM4:FM92)</f>
        <v>13563</v>
      </c>
      <c r="FO93" s="74"/>
      <c r="FP93" s="74"/>
      <c r="FQ93" s="74"/>
      <c r="FR93" s="74"/>
      <c r="FS93" s="74"/>
      <c r="FT93" s="74"/>
      <c r="FU93" s="74"/>
      <c r="FV93" s="74"/>
      <c r="FW93" s="74"/>
      <c r="FX93" s="74"/>
      <c r="FY93" s="74"/>
      <c r="FZ93" s="74">
        <v>12935</v>
      </c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</row>
    <row r="94" spans="1:208">
      <c r="A94" s="498">
        <v>1425708</v>
      </c>
      <c r="B94" s="478" t="s">
        <v>161</v>
      </c>
      <c r="C94" s="478">
        <v>6</v>
      </c>
      <c r="D94" s="478">
        <v>8</v>
      </c>
      <c r="E94" s="478">
        <v>4</v>
      </c>
      <c r="F94" s="478">
        <v>4</v>
      </c>
      <c r="G94" s="478">
        <v>2</v>
      </c>
      <c r="H94" s="478">
        <v>0</v>
      </c>
      <c r="I94" s="478"/>
      <c r="J94" s="479">
        <f t="shared" si="26"/>
        <v>24</v>
      </c>
      <c r="K94" s="480">
        <f>'CORTE 4200'!$O$826</f>
        <v>24</v>
      </c>
      <c r="L94" s="480"/>
      <c r="M94" s="481" t="s">
        <v>281</v>
      </c>
      <c r="N94" s="500"/>
      <c r="O94">
        <v>1425708</v>
      </c>
      <c r="P94" t="s">
        <v>265</v>
      </c>
      <c r="Q94" t="s">
        <v>264</v>
      </c>
      <c r="R94"/>
      <c r="S94">
        <v>6</v>
      </c>
      <c r="T94">
        <v>8</v>
      </c>
      <c r="U94">
        <v>4</v>
      </c>
      <c r="V94">
        <v>4</v>
      </c>
      <c r="W94">
        <v>2</v>
      </c>
      <c r="X94">
        <v>0</v>
      </c>
      <c r="Y94">
        <v>0</v>
      </c>
      <c r="Z94">
        <f t="shared" si="18"/>
        <v>24</v>
      </c>
      <c r="AA94" s="500"/>
      <c r="AB94" s="74">
        <v>1425708</v>
      </c>
      <c r="AC94" s="74" t="s">
        <v>265</v>
      </c>
      <c r="AD94" s="74" t="s">
        <v>264</v>
      </c>
      <c r="AE94"/>
      <c r="AF94" s="74">
        <v>6</v>
      </c>
      <c r="AG94" s="74">
        <v>8</v>
      </c>
      <c r="AH94" s="74">
        <v>4</v>
      </c>
      <c r="AI94" s="74">
        <v>4</v>
      </c>
      <c r="AJ94" s="74">
        <v>2</v>
      </c>
      <c r="AK94" s="74">
        <v>0</v>
      </c>
      <c r="AL94" s="74">
        <v>0</v>
      </c>
      <c r="AM94" s="74">
        <f t="shared" si="16"/>
        <v>24</v>
      </c>
      <c r="AO94" s="74">
        <v>1425708</v>
      </c>
      <c r="AP94" s="74" t="s">
        <v>265</v>
      </c>
      <c r="AQ94" s="74" t="s">
        <v>264</v>
      </c>
      <c r="AR94" s="74"/>
      <c r="AS94" s="74">
        <v>6</v>
      </c>
      <c r="AT94" s="74">
        <v>8</v>
      </c>
      <c r="AU94" s="74">
        <v>4</v>
      </c>
      <c r="AV94" s="74">
        <v>4</v>
      </c>
      <c r="AW94" s="74">
        <v>2</v>
      </c>
      <c r="AX94" s="74">
        <v>0</v>
      </c>
      <c r="AY94" s="74">
        <v>0</v>
      </c>
      <c r="AZ94" s="74">
        <f t="shared" si="19"/>
        <v>24</v>
      </c>
      <c r="BB94" s="74">
        <v>1425708</v>
      </c>
      <c r="BC94" s="74" t="s">
        <v>265</v>
      </c>
      <c r="BD94" s="74" t="s">
        <v>264</v>
      </c>
      <c r="BE94" s="74"/>
      <c r="BF94" s="74">
        <v>6</v>
      </c>
      <c r="BG94" s="74">
        <v>8</v>
      </c>
      <c r="BH94" s="74">
        <v>4</v>
      </c>
      <c r="BI94" s="74">
        <v>4</v>
      </c>
      <c r="BJ94" s="74">
        <v>2</v>
      </c>
      <c r="BK94" s="74">
        <v>0</v>
      </c>
      <c r="BL94" s="74">
        <v>0</v>
      </c>
      <c r="BM94" s="74">
        <f t="shared" si="20"/>
        <v>24</v>
      </c>
      <c r="BO94" s="74">
        <v>1425708</v>
      </c>
      <c r="BP94" s="74" t="s">
        <v>265</v>
      </c>
      <c r="BQ94" s="74" t="s">
        <v>264</v>
      </c>
      <c r="BR94" s="74"/>
      <c r="BS94" s="74">
        <v>6</v>
      </c>
      <c r="BT94" s="74">
        <v>8</v>
      </c>
      <c r="BU94" s="74">
        <v>4</v>
      </c>
      <c r="BV94" s="74">
        <v>4</v>
      </c>
      <c r="BW94" s="74">
        <v>2</v>
      </c>
      <c r="BX94" s="74">
        <v>0</v>
      </c>
      <c r="BY94" s="74">
        <v>0</v>
      </c>
      <c r="BZ94" s="74">
        <f t="shared" si="21"/>
        <v>24</v>
      </c>
      <c r="CB94" s="74">
        <v>1425708</v>
      </c>
      <c r="CC94" s="74" t="s">
        <v>265</v>
      </c>
      <c r="CD94" s="74" t="s">
        <v>264</v>
      </c>
      <c r="CE94" s="74"/>
      <c r="CF94" s="74">
        <v>6</v>
      </c>
      <c r="CG94" s="74">
        <v>8</v>
      </c>
      <c r="CH94" s="74">
        <v>4</v>
      </c>
      <c r="CI94" s="74">
        <v>4</v>
      </c>
      <c r="CJ94" s="74">
        <v>2</v>
      </c>
      <c r="CK94" s="74">
        <v>0</v>
      </c>
      <c r="CL94" s="74">
        <v>0</v>
      </c>
      <c r="CM94" s="74">
        <f t="shared" si="17"/>
        <v>24</v>
      </c>
      <c r="CO94" s="74">
        <v>1425708</v>
      </c>
      <c r="CP94" s="74" t="s">
        <v>265</v>
      </c>
      <c r="CQ94" s="74" t="s">
        <v>264</v>
      </c>
      <c r="CR94" s="74"/>
      <c r="CS94" s="74">
        <v>6</v>
      </c>
      <c r="CT94" s="74">
        <v>8</v>
      </c>
      <c r="CU94" s="74">
        <v>4</v>
      </c>
      <c r="CV94" s="74">
        <v>4</v>
      </c>
      <c r="CW94" s="74">
        <v>2</v>
      </c>
      <c r="CX94" s="74">
        <v>0</v>
      </c>
      <c r="CY94" s="74">
        <v>0</v>
      </c>
      <c r="CZ94" s="74">
        <v>24</v>
      </c>
      <c r="DB94" s="74">
        <v>1425708</v>
      </c>
      <c r="DC94" s="74" t="s">
        <v>265</v>
      </c>
      <c r="DD94" s="74" t="s">
        <v>264</v>
      </c>
      <c r="DE94" s="74"/>
      <c r="DF94" s="74">
        <v>6</v>
      </c>
      <c r="DG94" s="74">
        <v>8</v>
      </c>
      <c r="DH94" s="74">
        <v>4</v>
      </c>
      <c r="DI94" s="74">
        <v>4</v>
      </c>
      <c r="DJ94" s="74">
        <v>2</v>
      </c>
      <c r="DK94" s="74">
        <v>0</v>
      </c>
      <c r="DL94" s="74">
        <v>0</v>
      </c>
      <c r="DM94" s="74">
        <v>24</v>
      </c>
      <c r="DO94" s="74">
        <v>1425708</v>
      </c>
      <c r="DP94" s="74" t="s">
        <v>265</v>
      </c>
      <c r="DQ94" s="74" t="s">
        <v>264</v>
      </c>
      <c r="DR94" s="74"/>
      <c r="DS94" s="74">
        <v>6</v>
      </c>
      <c r="DT94" s="74">
        <v>8</v>
      </c>
      <c r="DU94" s="74">
        <v>4</v>
      </c>
      <c r="DV94" s="74">
        <v>4</v>
      </c>
      <c r="DW94" s="74">
        <v>2</v>
      </c>
      <c r="DX94" s="74">
        <v>0</v>
      </c>
      <c r="DY94" s="74">
        <v>0</v>
      </c>
      <c r="DZ94" s="74">
        <v>24</v>
      </c>
      <c r="EA94" s="74"/>
      <c r="EB94" s="74">
        <v>1425709</v>
      </c>
      <c r="EC94" s="74" t="s">
        <v>265</v>
      </c>
      <c r="ED94" s="74" t="s">
        <v>264</v>
      </c>
      <c r="EE94" s="74"/>
      <c r="EF94" s="74">
        <v>8</v>
      </c>
      <c r="EG94" s="74">
        <v>10</v>
      </c>
      <c r="EH94" s="74">
        <v>6</v>
      </c>
      <c r="EI94" s="74">
        <v>6</v>
      </c>
      <c r="EJ94" s="74">
        <v>3</v>
      </c>
      <c r="EK94" s="74">
        <v>0</v>
      </c>
      <c r="EL94" s="74">
        <v>0</v>
      </c>
      <c r="EM94" s="74">
        <v>33</v>
      </c>
      <c r="EN94" s="74"/>
      <c r="EO94" s="74">
        <v>1425748</v>
      </c>
      <c r="EP94" s="74" t="s">
        <v>265</v>
      </c>
      <c r="EQ94" s="74" t="s">
        <v>264</v>
      </c>
      <c r="ER94" s="74"/>
      <c r="ES94" s="74">
        <v>8</v>
      </c>
      <c r="ET94" s="74">
        <v>11</v>
      </c>
      <c r="EU94" s="74">
        <v>8</v>
      </c>
      <c r="EV94" s="74">
        <v>8</v>
      </c>
      <c r="EW94" s="74">
        <v>5</v>
      </c>
      <c r="EX94" s="74">
        <v>2</v>
      </c>
      <c r="EY94" s="74">
        <v>0</v>
      </c>
      <c r="EZ94" s="74">
        <v>42</v>
      </c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</row>
    <row r="95" spans="1:208">
      <c r="A95" s="498">
        <v>1425709</v>
      </c>
      <c r="B95" s="478" t="s">
        <v>161</v>
      </c>
      <c r="C95" s="478">
        <v>8</v>
      </c>
      <c r="D95" s="478">
        <v>10</v>
      </c>
      <c r="E95" s="478">
        <v>6</v>
      </c>
      <c r="F95" s="478">
        <v>6</v>
      </c>
      <c r="G95" s="478">
        <v>3</v>
      </c>
      <c r="H95" s="478">
        <v>0</v>
      </c>
      <c r="I95" s="478"/>
      <c r="J95" s="479">
        <f t="shared" si="26"/>
        <v>33</v>
      </c>
      <c r="K95" s="480">
        <f>'CORTE 4200'!$O$835</f>
        <v>33</v>
      </c>
      <c r="L95" s="480"/>
      <c r="M95" s="481" t="s">
        <v>281</v>
      </c>
      <c r="N95" s="500"/>
      <c r="O95">
        <v>1425709</v>
      </c>
      <c r="P95" t="s">
        <v>265</v>
      </c>
      <c r="Q95" t="s">
        <v>264</v>
      </c>
      <c r="R95"/>
      <c r="S95">
        <v>8</v>
      </c>
      <c r="T95">
        <v>10</v>
      </c>
      <c r="U95">
        <v>6</v>
      </c>
      <c r="V95">
        <v>6</v>
      </c>
      <c r="W95">
        <v>3</v>
      </c>
      <c r="X95">
        <v>0</v>
      </c>
      <c r="Y95">
        <v>0</v>
      </c>
      <c r="Z95">
        <f t="shared" si="18"/>
        <v>33</v>
      </c>
      <c r="AA95" s="500"/>
      <c r="AB95" s="74">
        <v>1425709</v>
      </c>
      <c r="AC95" s="74" t="s">
        <v>265</v>
      </c>
      <c r="AD95" s="74" t="s">
        <v>264</v>
      </c>
      <c r="AE95"/>
      <c r="AF95" s="74">
        <v>8</v>
      </c>
      <c r="AG95" s="74">
        <v>10</v>
      </c>
      <c r="AH95" s="74">
        <v>6</v>
      </c>
      <c r="AI95" s="74">
        <v>6</v>
      </c>
      <c r="AJ95" s="74">
        <v>3</v>
      </c>
      <c r="AK95" s="74">
        <v>0</v>
      </c>
      <c r="AL95" s="74">
        <v>0</v>
      </c>
      <c r="AM95" s="74">
        <f t="shared" si="16"/>
        <v>33</v>
      </c>
      <c r="AO95" s="74">
        <v>1425709</v>
      </c>
      <c r="AP95" s="74" t="s">
        <v>265</v>
      </c>
      <c r="AQ95" s="74" t="s">
        <v>264</v>
      </c>
      <c r="AR95" s="74"/>
      <c r="AS95" s="74">
        <v>8</v>
      </c>
      <c r="AT95" s="74">
        <v>10</v>
      </c>
      <c r="AU95" s="74">
        <v>6</v>
      </c>
      <c r="AV95" s="74">
        <v>6</v>
      </c>
      <c r="AW95" s="74">
        <v>3</v>
      </c>
      <c r="AX95" s="74">
        <v>0</v>
      </c>
      <c r="AY95" s="74">
        <v>0</v>
      </c>
      <c r="AZ95" s="74">
        <f t="shared" si="19"/>
        <v>33</v>
      </c>
      <c r="BB95" s="74">
        <v>1425709</v>
      </c>
      <c r="BC95" s="74" t="s">
        <v>265</v>
      </c>
      <c r="BD95" s="74" t="s">
        <v>264</v>
      </c>
      <c r="BE95" s="74"/>
      <c r="BF95" s="74">
        <v>8</v>
      </c>
      <c r="BG95" s="74">
        <v>10</v>
      </c>
      <c r="BH95" s="74">
        <v>6</v>
      </c>
      <c r="BI95" s="74">
        <v>6</v>
      </c>
      <c r="BJ95" s="74">
        <v>3</v>
      </c>
      <c r="BK95" s="74">
        <v>0</v>
      </c>
      <c r="BL95" s="74">
        <v>0</v>
      </c>
      <c r="BM95" s="74">
        <f t="shared" si="20"/>
        <v>33</v>
      </c>
      <c r="BO95" s="74">
        <v>1425709</v>
      </c>
      <c r="BP95" s="74" t="s">
        <v>265</v>
      </c>
      <c r="BQ95" s="74" t="s">
        <v>264</v>
      </c>
      <c r="BR95" s="74"/>
      <c r="BS95" s="74">
        <v>8</v>
      </c>
      <c r="BT95" s="74">
        <v>10</v>
      </c>
      <c r="BU95" s="74">
        <v>6</v>
      </c>
      <c r="BV95" s="74">
        <v>6</v>
      </c>
      <c r="BW95" s="74">
        <v>3</v>
      </c>
      <c r="BX95" s="74">
        <v>0</v>
      </c>
      <c r="BY95" s="74">
        <v>0</v>
      </c>
      <c r="BZ95" s="74">
        <f t="shared" si="21"/>
        <v>33</v>
      </c>
      <c r="CB95" s="74">
        <v>1425709</v>
      </c>
      <c r="CC95" s="74" t="s">
        <v>265</v>
      </c>
      <c r="CD95" s="74" t="s">
        <v>264</v>
      </c>
      <c r="CE95" s="74"/>
      <c r="CF95" s="74">
        <v>8</v>
      </c>
      <c r="CG95" s="74">
        <v>10</v>
      </c>
      <c r="CH95" s="74">
        <v>6</v>
      </c>
      <c r="CI95" s="74">
        <v>6</v>
      </c>
      <c r="CJ95" s="74">
        <v>3</v>
      </c>
      <c r="CK95" s="74">
        <v>0</v>
      </c>
      <c r="CL95" s="74">
        <v>0</v>
      </c>
      <c r="CM95" s="74">
        <f t="shared" si="17"/>
        <v>33</v>
      </c>
      <c r="CO95" s="74">
        <v>1425709</v>
      </c>
      <c r="CP95" s="74" t="s">
        <v>265</v>
      </c>
      <c r="CQ95" s="74" t="s">
        <v>264</v>
      </c>
      <c r="CR95" s="74"/>
      <c r="CS95" s="74">
        <v>8</v>
      </c>
      <c r="CT95" s="74">
        <v>10</v>
      </c>
      <c r="CU95" s="74">
        <v>6</v>
      </c>
      <c r="CV95" s="74">
        <v>6</v>
      </c>
      <c r="CW95" s="74">
        <v>3</v>
      </c>
      <c r="CX95" s="74">
        <v>0</v>
      </c>
      <c r="CY95" s="74">
        <v>0</v>
      </c>
      <c r="CZ95" s="74">
        <v>33</v>
      </c>
      <c r="DB95" s="74">
        <v>1425709</v>
      </c>
      <c r="DC95" s="74" t="s">
        <v>265</v>
      </c>
      <c r="DD95" s="74" t="s">
        <v>264</v>
      </c>
      <c r="DE95" s="74"/>
      <c r="DF95" s="74">
        <v>8</v>
      </c>
      <c r="DG95" s="74">
        <v>10</v>
      </c>
      <c r="DH95" s="74">
        <v>6</v>
      </c>
      <c r="DI95" s="74">
        <v>6</v>
      </c>
      <c r="DJ95" s="74">
        <v>3</v>
      </c>
      <c r="DK95" s="74">
        <v>0</v>
      </c>
      <c r="DL95" s="74">
        <v>0</v>
      </c>
      <c r="DM95" s="74">
        <v>33</v>
      </c>
      <c r="DO95" s="74">
        <v>1425709</v>
      </c>
      <c r="DP95" s="74" t="s">
        <v>265</v>
      </c>
      <c r="DQ95" s="74" t="s">
        <v>264</v>
      </c>
      <c r="DR95" s="74"/>
      <c r="DS95" s="74">
        <v>8</v>
      </c>
      <c r="DT95" s="74">
        <v>10</v>
      </c>
      <c r="DU95" s="74">
        <v>6</v>
      </c>
      <c r="DV95" s="74">
        <v>6</v>
      </c>
      <c r="DW95" s="74">
        <v>3</v>
      </c>
      <c r="DX95" s="74">
        <v>0</v>
      </c>
      <c r="DY95" s="74">
        <v>0</v>
      </c>
      <c r="DZ95" s="74">
        <v>33</v>
      </c>
      <c r="EA95" s="74"/>
      <c r="EB95" s="74">
        <v>1425716</v>
      </c>
      <c r="EC95" s="74" t="s">
        <v>265</v>
      </c>
      <c r="ED95" s="74" t="s">
        <v>264</v>
      </c>
      <c r="EE95" s="74"/>
      <c r="EF95" s="74">
        <v>4</v>
      </c>
      <c r="EG95" s="74">
        <v>6</v>
      </c>
      <c r="EH95" s="74">
        <v>4</v>
      </c>
      <c r="EI95" s="74">
        <v>4</v>
      </c>
      <c r="EJ95" s="74">
        <v>2</v>
      </c>
      <c r="EK95" s="74">
        <v>1</v>
      </c>
      <c r="EL95" s="74">
        <v>0</v>
      </c>
      <c r="EM95" s="74">
        <v>21</v>
      </c>
      <c r="EN95" s="74"/>
      <c r="EZ95" s="18">
        <f>SUM(EZ4:EZ94)</f>
        <v>15463</v>
      </c>
    </row>
    <row r="96" spans="1:208">
      <c r="A96" s="498">
        <v>1425716</v>
      </c>
      <c r="B96" s="478" t="s">
        <v>161</v>
      </c>
      <c r="C96" s="478">
        <v>6</v>
      </c>
      <c r="D96" s="478">
        <v>9</v>
      </c>
      <c r="E96" s="478">
        <v>7</v>
      </c>
      <c r="F96" s="478">
        <v>7</v>
      </c>
      <c r="G96" s="478">
        <v>4</v>
      </c>
      <c r="H96" s="478">
        <v>2</v>
      </c>
      <c r="I96" s="478"/>
      <c r="J96" s="479">
        <f>SUM(C96:H96)</f>
        <v>35</v>
      </c>
      <c r="K96" s="480">
        <f>'CORTE 4200'!$O$844</f>
        <v>35</v>
      </c>
      <c r="L96" s="480"/>
      <c r="M96" s="481" t="s">
        <v>281</v>
      </c>
      <c r="N96" s="500"/>
      <c r="O96">
        <v>1425716</v>
      </c>
      <c r="P96" t="s">
        <v>265</v>
      </c>
      <c r="Q96" t="s">
        <v>264</v>
      </c>
      <c r="R96"/>
      <c r="S96">
        <v>6</v>
      </c>
      <c r="T96">
        <v>9</v>
      </c>
      <c r="U96">
        <v>7</v>
      </c>
      <c r="V96">
        <v>7</v>
      </c>
      <c r="W96">
        <v>4</v>
      </c>
      <c r="X96">
        <v>2</v>
      </c>
      <c r="Y96">
        <v>0</v>
      </c>
      <c r="Z96">
        <f t="shared" si="18"/>
        <v>35</v>
      </c>
      <c r="AA96" s="500"/>
      <c r="AB96" s="74">
        <v>1425716</v>
      </c>
      <c r="AC96" s="74" t="s">
        <v>265</v>
      </c>
      <c r="AD96" s="74" t="s">
        <v>264</v>
      </c>
      <c r="AE96"/>
      <c r="AF96" s="74">
        <v>6</v>
      </c>
      <c r="AG96" s="74">
        <v>9</v>
      </c>
      <c r="AH96" s="74">
        <v>7</v>
      </c>
      <c r="AI96" s="74">
        <v>7</v>
      </c>
      <c r="AJ96" s="74">
        <v>4</v>
      </c>
      <c r="AK96" s="74">
        <v>2</v>
      </c>
      <c r="AL96" s="74">
        <v>0</v>
      </c>
      <c r="AM96" s="74">
        <f t="shared" si="16"/>
        <v>35</v>
      </c>
      <c r="AO96" s="74">
        <v>1425716</v>
      </c>
      <c r="AP96" s="74" t="s">
        <v>265</v>
      </c>
      <c r="AQ96" s="74" t="s">
        <v>264</v>
      </c>
      <c r="AR96" s="74"/>
      <c r="AS96" s="74">
        <v>6</v>
      </c>
      <c r="AT96" s="74">
        <v>9</v>
      </c>
      <c r="AU96" s="74">
        <v>7</v>
      </c>
      <c r="AV96" s="74">
        <v>7</v>
      </c>
      <c r="AW96" s="74">
        <v>4</v>
      </c>
      <c r="AX96" s="74">
        <v>2</v>
      </c>
      <c r="AY96" s="74">
        <v>0</v>
      </c>
      <c r="AZ96" s="74">
        <f t="shared" si="19"/>
        <v>35</v>
      </c>
      <c r="BB96" s="74">
        <v>1425716</v>
      </c>
      <c r="BC96" s="74" t="s">
        <v>265</v>
      </c>
      <c r="BD96" s="74" t="s">
        <v>264</v>
      </c>
      <c r="BE96" s="74"/>
      <c r="BF96" s="74">
        <v>6</v>
      </c>
      <c r="BG96" s="74">
        <v>9</v>
      </c>
      <c r="BH96" s="74">
        <v>7</v>
      </c>
      <c r="BI96" s="74">
        <v>7</v>
      </c>
      <c r="BJ96" s="74">
        <v>4</v>
      </c>
      <c r="BK96" s="74">
        <v>2</v>
      </c>
      <c r="BL96" s="74">
        <v>0</v>
      </c>
      <c r="BM96" s="74">
        <f t="shared" si="20"/>
        <v>35</v>
      </c>
      <c r="BO96" s="74">
        <v>1425716</v>
      </c>
      <c r="BP96" s="74" t="s">
        <v>265</v>
      </c>
      <c r="BQ96" s="74" t="s">
        <v>264</v>
      </c>
      <c r="BR96" s="74"/>
      <c r="BS96" s="74">
        <v>6</v>
      </c>
      <c r="BT96" s="74">
        <v>9</v>
      </c>
      <c r="BU96" s="74">
        <v>7</v>
      </c>
      <c r="BV96" s="74">
        <v>7</v>
      </c>
      <c r="BW96" s="74">
        <v>4</v>
      </c>
      <c r="BX96" s="74">
        <v>2</v>
      </c>
      <c r="BY96" s="74">
        <v>0</v>
      </c>
      <c r="BZ96" s="74">
        <f t="shared" si="21"/>
        <v>35</v>
      </c>
      <c r="CB96" s="74">
        <v>1425716</v>
      </c>
      <c r="CC96" s="74" t="s">
        <v>265</v>
      </c>
      <c r="CD96" s="74" t="s">
        <v>264</v>
      </c>
      <c r="CE96" s="74"/>
      <c r="CF96" s="74">
        <v>6</v>
      </c>
      <c r="CG96" s="74">
        <v>9</v>
      </c>
      <c r="CH96" s="74">
        <v>7</v>
      </c>
      <c r="CI96" s="74">
        <v>7</v>
      </c>
      <c r="CJ96" s="74">
        <v>4</v>
      </c>
      <c r="CK96" s="74">
        <v>2</v>
      </c>
      <c r="CL96" s="74">
        <v>0</v>
      </c>
      <c r="CM96" s="74">
        <f t="shared" si="17"/>
        <v>35</v>
      </c>
      <c r="CO96" s="74">
        <v>1425716</v>
      </c>
      <c r="CP96" s="74" t="s">
        <v>265</v>
      </c>
      <c r="CQ96" s="74" t="s">
        <v>264</v>
      </c>
      <c r="CR96" s="74"/>
      <c r="CS96" s="74">
        <v>6</v>
      </c>
      <c r="CT96" s="74">
        <v>9</v>
      </c>
      <c r="CU96" s="74">
        <v>7</v>
      </c>
      <c r="CV96" s="74">
        <v>7</v>
      </c>
      <c r="CW96" s="74">
        <v>4</v>
      </c>
      <c r="CX96" s="74">
        <v>2</v>
      </c>
      <c r="CY96" s="74">
        <v>0</v>
      </c>
      <c r="CZ96" s="74">
        <v>35</v>
      </c>
      <c r="DB96" s="74">
        <v>1425716</v>
      </c>
      <c r="DC96" s="74" t="s">
        <v>265</v>
      </c>
      <c r="DD96" s="74" t="s">
        <v>264</v>
      </c>
      <c r="DE96" s="74"/>
      <c r="DF96" s="74">
        <v>6</v>
      </c>
      <c r="DG96" s="74">
        <v>9</v>
      </c>
      <c r="DH96" s="74">
        <v>7</v>
      </c>
      <c r="DI96" s="74">
        <v>7</v>
      </c>
      <c r="DJ96" s="74">
        <v>4</v>
      </c>
      <c r="DK96" s="74">
        <v>2</v>
      </c>
      <c r="DL96" s="74">
        <v>0</v>
      </c>
      <c r="DM96" s="74">
        <v>35</v>
      </c>
      <c r="DO96" s="74">
        <v>1425716</v>
      </c>
      <c r="DP96" s="74" t="s">
        <v>265</v>
      </c>
      <c r="DQ96" s="74" t="s">
        <v>264</v>
      </c>
      <c r="DR96" s="74"/>
      <c r="DS96" s="74">
        <v>6</v>
      </c>
      <c r="DT96" s="74">
        <v>9</v>
      </c>
      <c r="DU96" s="74">
        <v>7</v>
      </c>
      <c r="DV96" s="74">
        <v>7</v>
      </c>
      <c r="DW96" s="74">
        <v>4</v>
      </c>
      <c r="DX96" s="74">
        <v>2</v>
      </c>
      <c r="DY96" s="74">
        <v>0</v>
      </c>
      <c r="DZ96" s="74">
        <v>35</v>
      </c>
      <c r="EB96" s="74">
        <v>1425748</v>
      </c>
      <c r="EC96" s="74" t="s">
        <v>265</v>
      </c>
      <c r="ED96" s="74" t="s">
        <v>264</v>
      </c>
      <c r="EE96" s="74"/>
      <c r="EF96" s="74">
        <v>9</v>
      </c>
      <c r="EG96" s="74">
        <v>13</v>
      </c>
      <c r="EH96" s="74">
        <v>10</v>
      </c>
      <c r="EI96" s="74">
        <v>10</v>
      </c>
      <c r="EJ96" s="74">
        <v>6</v>
      </c>
      <c r="EK96" s="74">
        <v>3</v>
      </c>
      <c r="EL96" s="74">
        <v>0</v>
      </c>
      <c r="EM96" s="74">
        <v>51</v>
      </c>
      <c r="EN96" s="74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</row>
    <row r="97" spans="1:144">
      <c r="A97" s="498">
        <v>1425748</v>
      </c>
      <c r="B97" s="478" t="s">
        <v>161</v>
      </c>
      <c r="C97" s="478">
        <v>11</v>
      </c>
      <c r="D97" s="478">
        <v>16</v>
      </c>
      <c r="E97" s="478">
        <v>13</v>
      </c>
      <c r="F97" s="478">
        <v>13</v>
      </c>
      <c r="G97" s="478">
        <v>8</v>
      </c>
      <c r="H97" s="478">
        <v>4</v>
      </c>
      <c r="I97" s="478"/>
      <c r="J97" s="479">
        <f t="shared" si="26"/>
        <v>65</v>
      </c>
      <c r="K97" s="480">
        <f>'CORTE 4200'!$O$853</f>
        <v>65</v>
      </c>
      <c r="L97" s="480"/>
      <c r="M97" s="481" t="s">
        <v>281</v>
      </c>
      <c r="N97" s="500"/>
      <c r="O97">
        <v>1425748</v>
      </c>
      <c r="P97" t="s">
        <v>265</v>
      </c>
      <c r="Q97" t="s">
        <v>264</v>
      </c>
      <c r="R97"/>
      <c r="S97">
        <v>11</v>
      </c>
      <c r="T97">
        <v>16</v>
      </c>
      <c r="U97">
        <v>13</v>
      </c>
      <c r="V97">
        <v>13</v>
      </c>
      <c r="W97">
        <v>8</v>
      </c>
      <c r="X97">
        <v>4</v>
      </c>
      <c r="Y97">
        <v>0</v>
      </c>
      <c r="Z97">
        <f t="shared" si="18"/>
        <v>65</v>
      </c>
      <c r="AA97" s="500"/>
      <c r="AB97" s="74">
        <v>1425748</v>
      </c>
      <c r="AC97" s="74" t="s">
        <v>265</v>
      </c>
      <c r="AD97" s="74" t="s">
        <v>264</v>
      </c>
      <c r="AE97"/>
      <c r="AF97" s="74">
        <v>11</v>
      </c>
      <c r="AG97" s="74">
        <v>16</v>
      </c>
      <c r="AH97" s="74">
        <v>13</v>
      </c>
      <c r="AI97" s="74">
        <v>13</v>
      </c>
      <c r="AJ97" s="74">
        <v>8</v>
      </c>
      <c r="AK97" s="74">
        <v>4</v>
      </c>
      <c r="AL97" s="74">
        <v>0</v>
      </c>
      <c r="AM97" s="74">
        <f>SUM(AF97:AL97)</f>
        <v>65</v>
      </c>
      <c r="AO97" s="74">
        <v>1425748</v>
      </c>
      <c r="AP97" s="74" t="s">
        <v>265</v>
      </c>
      <c r="AQ97" s="74" t="s">
        <v>264</v>
      </c>
      <c r="AR97" s="74"/>
      <c r="AS97" s="74">
        <v>11</v>
      </c>
      <c r="AT97" s="74">
        <v>16</v>
      </c>
      <c r="AU97" s="74">
        <v>13</v>
      </c>
      <c r="AV97" s="74">
        <v>13</v>
      </c>
      <c r="AW97" s="74">
        <v>8</v>
      </c>
      <c r="AX97" s="74">
        <v>4</v>
      </c>
      <c r="AY97" s="74">
        <v>0</v>
      </c>
      <c r="AZ97" s="74">
        <f t="shared" si="19"/>
        <v>65</v>
      </c>
      <c r="BB97" s="74">
        <v>1425748</v>
      </c>
      <c r="BC97" s="74" t="s">
        <v>265</v>
      </c>
      <c r="BD97" s="74" t="s">
        <v>264</v>
      </c>
      <c r="BE97" s="74"/>
      <c r="BF97" s="74">
        <v>11</v>
      </c>
      <c r="BG97" s="74">
        <v>16</v>
      </c>
      <c r="BH97" s="74">
        <v>13</v>
      </c>
      <c r="BI97" s="74">
        <v>13</v>
      </c>
      <c r="BJ97" s="74">
        <v>8</v>
      </c>
      <c r="BK97" s="74">
        <v>4</v>
      </c>
      <c r="BL97" s="74">
        <v>0</v>
      </c>
      <c r="BM97" s="74">
        <f>SUM(BF97:BL97)</f>
        <v>65</v>
      </c>
      <c r="BO97" s="74">
        <v>1425748</v>
      </c>
      <c r="BP97" s="74" t="s">
        <v>265</v>
      </c>
      <c r="BQ97" s="74" t="s">
        <v>264</v>
      </c>
      <c r="BR97" s="74"/>
      <c r="BS97" s="74">
        <v>11</v>
      </c>
      <c r="BT97" s="74">
        <v>16</v>
      </c>
      <c r="BU97" s="74">
        <v>13</v>
      </c>
      <c r="BV97" s="74">
        <v>13</v>
      </c>
      <c r="BW97" s="74">
        <v>8</v>
      </c>
      <c r="BX97" s="74">
        <v>4</v>
      </c>
      <c r="BY97" s="74">
        <v>0</v>
      </c>
      <c r="BZ97" s="74">
        <f t="shared" si="21"/>
        <v>65</v>
      </c>
      <c r="CB97" s="74">
        <v>1425748</v>
      </c>
      <c r="CC97" s="74" t="s">
        <v>265</v>
      </c>
      <c r="CD97" s="74" t="s">
        <v>264</v>
      </c>
      <c r="CE97" s="74"/>
      <c r="CF97" s="74">
        <v>11</v>
      </c>
      <c r="CG97" s="74">
        <v>16</v>
      </c>
      <c r="CH97" s="74">
        <v>13</v>
      </c>
      <c r="CI97" s="74">
        <v>13</v>
      </c>
      <c r="CJ97" s="74">
        <v>8</v>
      </c>
      <c r="CK97" s="74">
        <v>4</v>
      </c>
      <c r="CL97" s="74">
        <v>0</v>
      </c>
      <c r="CM97" s="74">
        <f>SUM(CF97:CL97)</f>
        <v>65</v>
      </c>
      <c r="CO97" s="74">
        <v>1425748</v>
      </c>
      <c r="CP97" s="74" t="s">
        <v>265</v>
      </c>
      <c r="CQ97" s="74" t="s">
        <v>264</v>
      </c>
      <c r="CR97" s="74"/>
      <c r="CS97" s="74">
        <v>11</v>
      </c>
      <c r="CT97" s="74">
        <v>16</v>
      </c>
      <c r="CU97" s="74">
        <v>13</v>
      </c>
      <c r="CV97" s="74">
        <v>13</v>
      </c>
      <c r="CW97" s="74">
        <v>8</v>
      </c>
      <c r="CX97" s="74">
        <v>4</v>
      </c>
      <c r="CY97" s="74">
        <v>0</v>
      </c>
      <c r="CZ97" s="74">
        <v>65</v>
      </c>
      <c r="DB97" s="74">
        <v>1425748</v>
      </c>
      <c r="DC97" s="74" t="s">
        <v>265</v>
      </c>
      <c r="DD97" s="74" t="s">
        <v>264</v>
      </c>
      <c r="DE97" s="74"/>
      <c r="DF97" s="74">
        <v>11</v>
      </c>
      <c r="DG97" s="74">
        <v>16</v>
      </c>
      <c r="DH97" s="74">
        <v>13</v>
      </c>
      <c r="DI97" s="74">
        <v>13</v>
      </c>
      <c r="DJ97" s="74">
        <v>8</v>
      </c>
      <c r="DK97" s="74">
        <v>4</v>
      </c>
      <c r="DL97" s="74">
        <v>0</v>
      </c>
      <c r="DM97" s="74">
        <v>65</v>
      </c>
      <c r="DO97" s="74">
        <v>1425748</v>
      </c>
      <c r="DP97" s="74" t="s">
        <v>265</v>
      </c>
      <c r="DQ97" s="74" t="s">
        <v>264</v>
      </c>
      <c r="DR97" s="74"/>
      <c r="DS97" s="74">
        <v>11</v>
      </c>
      <c r="DT97" s="74">
        <v>16</v>
      </c>
      <c r="DU97" s="74">
        <v>13</v>
      </c>
      <c r="DV97" s="74">
        <v>13</v>
      </c>
      <c r="DW97" s="74">
        <v>8</v>
      </c>
      <c r="DX97" s="74">
        <v>4</v>
      </c>
      <c r="DY97" s="74">
        <v>0</v>
      </c>
      <c r="DZ97" s="74">
        <v>65</v>
      </c>
      <c r="EB97" s="74"/>
      <c r="EC97" s="74"/>
      <c r="ED97" s="74"/>
      <c r="EE97" s="74"/>
      <c r="EF97" s="74"/>
      <c r="EG97" s="74"/>
      <c r="EH97" s="74"/>
      <c r="EI97" s="74"/>
      <c r="EJ97" s="74"/>
      <c r="EK97" s="74"/>
      <c r="EL97" s="74"/>
      <c r="EM97" s="74">
        <f>SUM(EM4:EM96)</f>
        <v>16219</v>
      </c>
      <c r="EN97" s="74"/>
    </row>
    <row r="98" spans="1:144" ht="16.5" thickBot="1">
      <c r="A98" s="461"/>
      <c r="B98" s="26"/>
      <c r="C98" s="26"/>
      <c r="D98" s="26"/>
      <c r="E98" s="26"/>
      <c r="F98" s="26"/>
      <c r="G98" s="26"/>
      <c r="H98" s="26"/>
      <c r="I98" s="26"/>
      <c r="J98" s="17">
        <f>+SUM(J4:J97)</f>
        <v>21166</v>
      </c>
      <c r="K98" s="17"/>
      <c r="L98" s="17"/>
      <c r="M98" s="418"/>
      <c r="N98" s="418"/>
      <c r="O98" s="418"/>
      <c r="P98" s="418"/>
      <c r="Q98" s="418"/>
      <c r="R98" s="418"/>
      <c r="S98" s="418"/>
      <c r="T98" s="418"/>
      <c r="U98" s="418"/>
      <c r="V98" s="418"/>
      <c r="W98" s="418"/>
      <c r="X98" s="418"/>
      <c r="Y98" s="418"/>
      <c r="Z98" s="418">
        <f>SUM(Z4:Z97)</f>
        <v>21166</v>
      </c>
      <c r="AA98" s="418"/>
      <c r="AD98"/>
      <c r="AE98"/>
      <c r="AF98"/>
      <c r="AG98"/>
      <c r="AH98"/>
      <c r="AI98"/>
      <c r="AJ98"/>
      <c r="AK98"/>
      <c r="AL98"/>
      <c r="AM98" s="74">
        <f>SUM(AM4:AM97)</f>
        <v>21287</v>
      </c>
      <c r="AN98" s="17"/>
      <c r="AZ98" s="18">
        <f>SUM(AZ4:AZ97)</f>
        <v>20888</v>
      </c>
      <c r="BA98" s="17"/>
      <c r="BM98" s="18">
        <f>SUM(BM4:BM97)</f>
        <v>20108</v>
      </c>
      <c r="BN98" s="17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>
        <f>SUM(BZ4:BZ97)</f>
        <v>19887</v>
      </c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>
        <f>SUM(CM4:CM97)</f>
        <v>19653</v>
      </c>
      <c r="CO98" s="74"/>
      <c r="CP98" s="74"/>
      <c r="CQ98" s="74"/>
      <c r="CR98" s="74"/>
      <c r="CS98" s="74"/>
      <c r="CT98" s="74"/>
      <c r="CU98" s="74"/>
      <c r="CV98" s="74"/>
      <c r="CW98" s="74"/>
      <c r="CX98" s="74"/>
      <c r="CY98" s="74"/>
      <c r="CZ98" s="74">
        <v>19241</v>
      </c>
      <c r="DM98" s="18">
        <f>SUM(DM4:DM97)</f>
        <v>18216</v>
      </c>
      <c r="DZ98" s="18">
        <f>SUM(DZ4:DZ97)</f>
        <v>17112</v>
      </c>
      <c r="EM98" s="74"/>
      <c r="EN98" s="74"/>
    </row>
    <row r="99" spans="1:144" ht="17.25" thickTop="1" thickBot="1">
      <c r="C99" s="18">
        <f t="shared" ref="C99:H99" si="27">SUM(C4:C98)</f>
        <v>2153</v>
      </c>
      <c r="D99" s="18">
        <f t="shared" si="27"/>
        <v>4407</v>
      </c>
      <c r="E99" s="18">
        <f t="shared" si="27"/>
        <v>4722</v>
      </c>
      <c r="F99" s="18">
        <f t="shared" si="27"/>
        <v>4460</v>
      </c>
      <c r="G99" s="18">
        <f t="shared" si="27"/>
        <v>3087</v>
      </c>
      <c r="H99" s="18">
        <f t="shared" si="27"/>
        <v>2337</v>
      </c>
      <c r="AB99" s="74">
        <v>1420201</v>
      </c>
      <c r="AC99" s="74" t="s">
        <v>265</v>
      </c>
      <c r="AD99" s="74" t="s">
        <v>264</v>
      </c>
      <c r="AE99"/>
      <c r="AF99" s="74">
        <v>2</v>
      </c>
      <c r="AG99" s="74">
        <v>3</v>
      </c>
      <c r="AH99" s="74">
        <v>3</v>
      </c>
      <c r="AI99" s="74">
        <v>3</v>
      </c>
      <c r="AJ99" s="74">
        <v>2</v>
      </c>
      <c r="AK99" s="74">
        <v>1</v>
      </c>
      <c r="AL99" s="74">
        <v>0</v>
      </c>
      <c r="AM99" s="74">
        <v>14</v>
      </c>
      <c r="AO99" s="74">
        <v>1420201</v>
      </c>
      <c r="AP99" s="74" t="s">
        <v>265</v>
      </c>
      <c r="AQ99" s="74" t="s">
        <v>264</v>
      </c>
      <c r="AR99" s="74"/>
      <c r="AS99" s="74">
        <v>2</v>
      </c>
      <c r="AT99" s="74">
        <v>3</v>
      </c>
      <c r="AU99" s="74">
        <v>3</v>
      </c>
      <c r="AV99" s="74">
        <v>3</v>
      </c>
      <c r="AW99" s="74">
        <v>2</v>
      </c>
      <c r="AX99" s="74">
        <v>1</v>
      </c>
      <c r="AY99" s="74">
        <v>0</v>
      </c>
      <c r="AZ99" s="74">
        <f>SUM(AS99:AY99)</f>
        <v>14</v>
      </c>
      <c r="CZ99" s="159">
        <f>+CZ98-Tabla15[[#Totals],[c10]]</f>
        <v>-1925</v>
      </c>
      <c r="EM99" s="74"/>
      <c r="EN99" s="74"/>
    </row>
    <row r="100" spans="1:144">
      <c r="C100" s="89">
        <v>2</v>
      </c>
      <c r="D100" s="89">
        <v>4</v>
      </c>
      <c r="E100" s="89">
        <v>4.5</v>
      </c>
      <c r="F100" s="89">
        <v>4</v>
      </c>
      <c r="G100" s="89">
        <v>3</v>
      </c>
      <c r="H100" s="89">
        <v>2</v>
      </c>
      <c r="J100" s="89">
        <f>SUM(C100:I100)</f>
        <v>19.5</v>
      </c>
      <c r="O100">
        <v>1420201</v>
      </c>
      <c r="P100" t="s">
        <v>265</v>
      </c>
      <c r="Q100" t="s">
        <v>264</v>
      </c>
      <c r="R100"/>
      <c r="S100">
        <v>2</v>
      </c>
      <c r="T100">
        <v>3</v>
      </c>
      <c r="U100">
        <v>3</v>
      </c>
      <c r="V100">
        <v>3</v>
      </c>
      <c r="W100">
        <v>2</v>
      </c>
      <c r="X100">
        <v>1</v>
      </c>
      <c r="Y100">
        <v>0</v>
      </c>
      <c r="Z100">
        <v>14</v>
      </c>
      <c r="AB100" s="74">
        <v>1425500</v>
      </c>
      <c r="AC100" s="74" t="s">
        <v>270</v>
      </c>
      <c r="AD100" s="74" t="s">
        <v>264</v>
      </c>
      <c r="AE100"/>
      <c r="AF100" s="74">
        <v>1</v>
      </c>
      <c r="AG100" s="74">
        <v>3</v>
      </c>
      <c r="AH100" s="74">
        <v>4</v>
      </c>
      <c r="AI100" s="74">
        <v>3</v>
      </c>
      <c r="AJ100" s="74">
        <v>3</v>
      </c>
      <c r="AK100" s="74">
        <v>2</v>
      </c>
      <c r="AL100" s="74">
        <v>0</v>
      </c>
      <c r="AM100" s="74">
        <v>16</v>
      </c>
      <c r="AO100" s="74">
        <v>1425500</v>
      </c>
      <c r="AP100" s="74" t="s">
        <v>270</v>
      </c>
      <c r="AQ100" s="74" t="s">
        <v>264</v>
      </c>
      <c r="AR100" s="74"/>
      <c r="AS100" s="74">
        <v>1</v>
      </c>
      <c r="AT100" s="74">
        <v>3</v>
      </c>
      <c r="AU100" s="74">
        <v>4</v>
      </c>
      <c r="AV100" s="74">
        <v>3</v>
      </c>
      <c r="AW100" s="74">
        <v>3</v>
      </c>
      <c r="AX100" s="74">
        <v>2</v>
      </c>
      <c r="AY100" s="74">
        <v>0</v>
      </c>
      <c r="AZ100" s="74">
        <f>SUM(AS100:AY100)</f>
        <v>16</v>
      </c>
      <c r="BB100" s="74">
        <v>1420201</v>
      </c>
      <c r="BC100" s="74" t="s">
        <v>265</v>
      </c>
      <c r="BD100" s="74" t="s">
        <v>264</v>
      </c>
      <c r="BE100" s="74"/>
      <c r="BF100" s="74">
        <v>2</v>
      </c>
      <c r="BG100" s="74">
        <v>3</v>
      </c>
      <c r="BH100" s="74">
        <v>3</v>
      </c>
      <c r="BI100" s="74">
        <v>3</v>
      </c>
      <c r="BJ100" s="74">
        <v>2</v>
      </c>
      <c r="BK100" s="74">
        <v>1</v>
      </c>
      <c r="BL100" s="74">
        <v>0</v>
      </c>
      <c r="BM100" s="74">
        <v>14</v>
      </c>
      <c r="BO100" s="74">
        <v>1420201</v>
      </c>
      <c r="BP100" s="74" t="s">
        <v>265</v>
      </c>
      <c r="BQ100" s="74" t="s">
        <v>264</v>
      </c>
      <c r="BR100" s="74"/>
      <c r="BS100" s="74">
        <v>2</v>
      </c>
      <c r="BT100" s="74">
        <v>3</v>
      </c>
      <c r="BU100" s="74">
        <v>3</v>
      </c>
      <c r="BV100" s="74">
        <v>3</v>
      </c>
      <c r="BW100" s="74">
        <v>2</v>
      </c>
      <c r="BX100" s="74">
        <v>1</v>
      </c>
      <c r="BY100" s="74">
        <v>0</v>
      </c>
      <c r="BZ100" s="74">
        <f>SUM(BS100:BY100)</f>
        <v>14</v>
      </c>
      <c r="EM100" s="74"/>
      <c r="EN100" s="74"/>
    </row>
    <row r="101" spans="1:144">
      <c r="C101" s="123">
        <f>+C99/C100</f>
        <v>1076.5</v>
      </c>
      <c r="D101" s="123">
        <f t="shared" ref="D101:H101" si="28">+D99/D100</f>
        <v>1101.75</v>
      </c>
      <c r="E101" s="123">
        <f t="shared" si="28"/>
        <v>1049.3333333333333</v>
      </c>
      <c r="F101" s="123">
        <f t="shared" si="28"/>
        <v>1115</v>
      </c>
      <c r="G101" s="123">
        <f t="shared" si="28"/>
        <v>1029</v>
      </c>
      <c r="H101" s="123">
        <f t="shared" si="28"/>
        <v>1168.5</v>
      </c>
      <c r="I101" s="17"/>
      <c r="J101" s="123">
        <f>SUM(C101:I101)</f>
        <v>6540.083333333333</v>
      </c>
      <c r="K101" s="17"/>
      <c r="L101" s="17"/>
      <c r="M101" s="418"/>
      <c r="N101" s="418"/>
      <c r="O101">
        <v>1425500</v>
      </c>
      <c r="P101" t="s">
        <v>270</v>
      </c>
      <c r="Q101" t="s">
        <v>264</v>
      </c>
      <c r="R101"/>
      <c r="S101">
        <v>1</v>
      </c>
      <c r="T101">
        <v>3</v>
      </c>
      <c r="U101">
        <v>4</v>
      </c>
      <c r="V101">
        <v>3</v>
      </c>
      <c r="W101">
        <v>3</v>
      </c>
      <c r="X101">
        <v>2</v>
      </c>
      <c r="Y101">
        <v>0</v>
      </c>
      <c r="Z101">
        <v>16</v>
      </c>
      <c r="AA101" s="418"/>
      <c r="AN101" s="17"/>
      <c r="BA101" s="17"/>
      <c r="BB101" s="74">
        <v>1425500</v>
      </c>
      <c r="BC101" s="74" t="s">
        <v>270</v>
      </c>
      <c r="BD101" s="74" t="s">
        <v>264</v>
      </c>
      <c r="BE101" s="74"/>
      <c r="BF101" s="74">
        <v>1</v>
      </c>
      <c r="BG101" s="74">
        <v>3</v>
      </c>
      <c r="BH101" s="74">
        <v>4</v>
      </c>
      <c r="BI101" s="74">
        <v>3</v>
      </c>
      <c r="BJ101" s="74">
        <v>3</v>
      </c>
      <c r="BK101" s="74">
        <v>2</v>
      </c>
      <c r="BL101" s="74">
        <v>0</v>
      </c>
      <c r="BM101" s="74">
        <v>16</v>
      </c>
      <c r="BN101" s="17"/>
      <c r="BO101" s="74">
        <v>1425500</v>
      </c>
      <c r="BP101" s="74" t="s">
        <v>270</v>
      </c>
      <c r="BQ101" s="74" t="s">
        <v>264</v>
      </c>
      <c r="BR101" s="74"/>
      <c r="BS101" s="74">
        <v>1</v>
      </c>
      <c r="BT101" s="74">
        <v>3</v>
      </c>
      <c r="BU101" s="74">
        <v>4</v>
      </c>
      <c r="BV101" s="74">
        <v>3</v>
      </c>
      <c r="BW101" s="74">
        <v>3</v>
      </c>
      <c r="BX101" s="74">
        <v>2</v>
      </c>
      <c r="BY101" s="74">
        <v>0</v>
      </c>
      <c r="BZ101" s="74">
        <f>SUM(BS101:BY101)</f>
        <v>16</v>
      </c>
      <c r="CB101" s="74">
        <v>1420201</v>
      </c>
      <c r="CC101" s="74" t="s">
        <v>265</v>
      </c>
      <c r="CD101" s="74" t="s">
        <v>264</v>
      </c>
      <c r="CE101" s="74"/>
      <c r="CF101" s="74">
        <v>2</v>
      </c>
      <c r="CG101" s="74">
        <v>3</v>
      </c>
      <c r="CH101" s="74">
        <v>3</v>
      </c>
      <c r="CI101" s="74">
        <v>3</v>
      </c>
      <c r="CJ101" s="74">
        <v>2</v>
      </c>
      <c r="CK101" s="74">
        <v>1</v>
      </c>
      <c r="CL101" s="74">
        <v>0</v>
      </c>
      <c r="CM101" s="74">
        <v>14</v>
      </c>
      <c r="EM101" s="74"/>
      <c r="EN101" s="74"/>
    </row>
    <row r="102" spans="1:144">
      <c r="C102" s="18">
        <f>+C99/1000</f>
        <v>2.153</v>
      </c>
      <c r="D102" s="18">
        <f t="shared" ref="D102:H102" si="29">+D99/1000</f>
        <v>4.407</v>
      </c>
      <c r="E102" s="18">
        <f t="shared" si="29"/>
        <v>4.7220000000000004</v>
      </c>
      <c r="F102" s="18">
        <f t="shared" si="29"/>
        <v>4.46</v>
      </c>
      <c r="G102" s="18">
        <f t="shared" si="29"/>
        <v>3.0870000000000002</v>
      </c>
      <c r="H102" s="18">
        <f t="shared" si="29"/>
        <v>2.3370000000000002</v>
      </c>
      <c r="J102" s="18">
        <f>SUM(C102:I102)</f>
        <v>21.166</v>
      </c>
      <c r="CB102" s="74">
        <v>1425500</v>
      </c>
      <c r="CC102" s="74" t="s">
        <v>270</v>
      </c>
      <c r="CD102" s="74" t="s">
        <v>264</v>
      </c>
      <c r="CE102" s="74"/>
      <c r="CF102" s="74">
        <v>1</v>
      </c>
      <c r="CG102" s="74">
        <v>3</v>
      </c>
      <c r="CH102" s="74">
        <v>4</v>
      </c>
      <c r="CI102" s="74">
        <v>3</v>
      </c>
      <c r="CJ102" s="74">
        <v>3</v>
      </c>
      <c r="CK102" s="74">
        <v>2</v>
      </c>
      <c r="CL102" s="74">
        <v>0</v>
      </c>
      <c r="CM102" s="74">
        <v>16</v>
      </c>
      <c r="EM102" s="74"/>
      <c r="EN102" s="74"/>
    </row>
    <row r="103" spans="1:144" ht="18.75">
      <c r="A103" s="459" t="s">
        <v>282</v>
      </c>
      <c r="B103" s="160" t="s">
        <v>224</v>
      </c>
      <c r="C103" s="511">
        <f>+C102/$C$100</f>
        <v>1.0765</v>
      </c>
      <c r="D103" s="511">
        <f t="shared" ref="D103:H103" si="30">+D102/$C$100</f>
        <v>2.2035</v>
      </c>
      <c r="E103" s="511">
        <f t="shared" si="30"/>
        <v>2.3610000000000002</v>
      </c>
      <c r="F103" s="511">
        <f t="shared" si="30"/>
        <v>2.23</v>
      </c>
      <c r="G103" s="511">
        <f t="shared" si="30"/>
        <v>1.5435000000000001</v>
      </c>
      <c r="H103" s="511">
        <f t="shared" si="30"/>
        <v>1.1685000000000001</v>
      </c>
      <c r="J103" s="511">
        <f>SUM(C103:I103)</f>
        <v>10.583</v>
      </c>
      <c r="BZ103" s="18">
        <f>SUM(BZ98:BZ102)</f>
        <v>19917</v>
      </c>
      <c r="EM103" s="74"/>
      <c r="EN103" s="74"/>
    </row>
    <row r="104" spans="1:144">
      <c r="EM104" s="74"/>
      <c r="EN104" s="74"/>
    </row>
    <row r="105" spans="1:144">
      <c r="EM105" s="74"/>
      <c r="EN105" s="74"/>
    </row>
    <row r="106" spans="1:144">
      <c r="EM106" s="74"/>
      <c r="EN106" s="74"/>
    </row>
    <row r="107" spans="1:144">
      <c r="EM107" s="74"/>
      <c r="EN107" s="74"/>
    </row>
    <row r="108" spans="1:144">
      <c r="EM108" s="74"/>
      <c r="EN108" s="74"/>
    </row>
    <row r="109" spans="1:144">
      <c r="EM109" s="74"/>
      <c r="EN109" s="74"/>
    </row>
    <row r="110" spans="1:144">
      <c r="EM110" s="74"/>
      <c r="EN110" s="74"/>
    </row>
    <row r="111" spans="1:144">
      <c r="EM111" s="74"/>
      <c r="EN111" s="74"/>
    </row>
    <row r="112" spans="1:144">
      <c r="EM112" s="74"/>
      <c r="EN112" s="74"/>
    </row>
    <row r="113" spans="143:144">
      <c r="EM113" s="74"/>
      <c r="EN113" s="74"/>
    </row>
    <row r="114" spans="143:144">
      <c r="EM114" s="74"/>
      <c r="EN114" s="74"/>
    </row>
    <row r="115" spans="143:144">
      <c r="EM115" s="74"/>
      <c r="EN115" s="74"/>
    </row>
    <row r="116" spans="143:144">
      <c r="EM116" s="74"/>
      <c r="EN116" s="74"/>
    </row>
    <row r="117" spans="143:144">
      <c r="EM117" s="74"/>
      <c r="EN117" s="74"/>
    </row>
    <row r="118" spans="143:144">
      <c r="EM118" s="74"/>
      <c r="EN118" s="74"/>
    </row>
    <row r="119" spans="143:144">
      <c r="EM119" s="74"/>
      <c r="EN119" s="74"/>
    </row>
    <row r="120" spans="143:144">
      <c r="EM120" s="74"/>
      <c r="EN120" s="74"/>
    </row>
    <row r="121" spans="143:144">
      <c r="EM121" s="74"/>
      <c r="EN121" s="74"/>
    </row>
    <row r="122" spans="143:144">
      <c r="EM122" s="74"/>
      <c r="EN122" s="74"/>
    </row>
    <row r="123" spans="143:144">
      <c r="EM123" s="74"/>
      <c r="EN123" s="74"/>
    </row>
    <row r="124" spans="143:144">
      <c r="EM124" s="74"/>
      <c r="EN124" s="74"/>
    </row>
    <row r="125" spans="143:144">
      <c r="EM125" s="74"/>
      <c r="EN125" s="74"/>
    </row>
    <row r="126" spans="143:144">
      <c r="EM126" s="74"/>
      <c r="EN126" s="74"/>
    </row>
    <row r="127" spans="143:144">
      <c r="EM127" s="74"/>
      <c r="EN127" s="74"/>
    </row>
    <row r="128" spans="143:144">
      <c r="EM128" s="74"/>
      <c r="EN128" s="74"/>
    </row>
    <row r="129" spans="143:144">
      <c r="EM129" s="74"/>
      <c r="EN129" s="74"/>
    </row>
    <row r="130" spans="143:144">
      <c r="EM130" s="74"/>
      <c r="EN130" s="74"/>
    </row>
    <row r="131" spans="143:144">
      <c r="EM131" s="74"/>
      <c r="EN131" s="74"/>
    </row>
    <row r="132" spans="143:144">
      <c r="EM132" s="74"/>
      <c r="EN132" s="74"/>
    </row>
    <row r="133" spans="143:144">
      <c r="EM133" s="74"/>
      <c r="EN133" s="74"/>
    </row>
    <row r="134" spans="143:144">
      <c r="EM134" s="74"/>
      <c r="EN134" s="74"/>
    </row>
    <row r="135" spans="143:144">
      <c r="EM135" s="74"/>
      <c r="EN135" s="74"/>
    </row>
    <row r="136" spans="143:144">
      <c r="EM136" s="74"/>
      <c r="EN136" s="74"/>
    </row>
    <row r="137" spans="143:144">
      <c r="EM137" s="74"/>
      <c r="EN137" s="74"/>
    </row>
    <row r="138" spans="143:144">
      <c r="EM138" s="74"/>
      <c r="EN138" s="74"/>
    </row>
    <row r="139" spans="143:144">
      <c r="EM139" s="74"/>
      <c r="EN139" s="74"/>
    </row>
    <row r="140" spans="143:144">
      <c r="EM140" s="74"/>
      <c r="EN140" s="74"/>
    </row>
    <row r="141" spans="143:144">
      <c r="EM141" s="74"/>
      <c r="EN141" s="74"/>
    </row>
    <row r="142" spans="143:144">
      <c r="EM142" s="74"/>
      <c r="EN142" s="74"/>
    </row>
    <row r="143" spans="143:144">
      <c r="EM143" s="74"/>
    </row>
    <row r="144" spans="143:144">
      <c r="EM144" s="74"/>
    </row>
  </sheetData>
  <phoneticPr fontId="30" type="noConversion"/>
  <printOptions gridLines="1"/>
  <pageMargins left="0.31496062992125984" right="0.31496062992125984" top="0.15748031496062992" bottom="0.15748031496062992" header="0.31496062992125984" footer="0.31496062992125984"/>
  <pageSetup scale="94" orientation="landscape" r:id="rId1"/>
  <rowBreaks count="2" manualBreakCount="2">
    <brk id="35" max="12" man="1"/>
    <brk id="73" max="12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053A-0483-4B08-9637-86396DCD15FB}">
  <sheetPr>
    <tabColor rgb="FFFF0000"/>
  </sheetPr>
  <dimension ref="A1:AL193"/>
  <sheetViews>
    <sheetView showZeros="0" tabSelected="1" topLeftCell="M1" zoomScale="98" zoomScaleNormal="98" workbookViewId="0">
      <pane xSplit="22" ySplit="1" topLeftCell="AI2" activePane="bottomRight" state="frozen"/>
      <selection pane="bottomRight" activeCell="AA6" sqref="AA6"/>
      <selection pane="bottomLeft" activeCell="M2" sqref="M2"/>
      <selection pane="topRight" activeCell="AI1" sqref="AI1"/>
    </sheetView>
  </sheetViews>
  <sheetFormatPr defaultColWidth="11.28515625" defaultRowHeight="24"/>
  <cols>
    <col min="1" max="1" width="11.5703125" style="18" bestFit="1" customWidth="1"/>
    <col min="2" max="2" width="4.7109375" style="18" customWidth="1"/>
    <col min="3" max="3" width="4.5703125" style="18" customWidth="1"/>
    <col min="4" max="4" width="5.42578125" style="18" bestFit="1" customWidth="1"/>
    <col min="5" max="5" width="8.28515625" style="18" bestFit="1" customWidth="1"/>
    <col min="6" max="6" width="19.28515625" style="18" bestFit="1" customWidth="1"/>
    <col min="7" max="7" width="6.28515625" style="18" bestFit="1" customWidth="1"/>
    <col min="8" max="8" width="6.5703125" style="18" bestFit="1" customWidth="1"/>
    <col min="9" max="10" width="7.28515625" style="18" bestFit="1" customWidth="1"/>
    <col min="11" max="13" width="6.5703125" style="18" bestFit="1" customWidth="1"/>
    <col min="14" max="14" width="3.7109375" style="18" customWidth="1"/>
    <col min="15" max="15" width="8.7109375" style="18" bestFit="1" customWidth="1"/>
    <col min="16" max="16" width="13.42578125" style="397" bestFit="1" customWidth="1"/>
    <col min="17" max="17" width="13.42578125" style="397" customWidth="1"/>
    <col min="18" max="18" width="7.7109375" style="18" bestFit="1" customWidth="1"/>
    <col min="19" max="19" width="11" style="18" bestFit="1" customWidth="1"/>
    <col min="20" max="20" width="14.28515625" style="501" bestFit="1" customWidth="1"/>
    <col min="21" max="21" width="5.7109375" style="18" bestFit="1" customWidth="1"/>
    <col min="22" max="22" width="10.7109375" style="18" customWidth="1"/>
    <col min="23" max="23" width="13.42578125" style="18" bestFit="1" customWidth="1"/>
    <col min="24" max="24" width="5.7109375" style="18" bestFit="1" customWidth="1"/>
    <col min="25" max="25" width="14.28515625" style="18" bestFit="1" customWidth="1"/>
    <col min="26" max="26" width="10.7109375" style="18" customWidth="1"/>
    <col min="27" max="32" width="4.5703125" style="18" bestFit="1" customWidth="1"/>
    <col min="33" max="33" width="10.7109375" style="18" customWidth="1"/>
    <col min="34" max="34" width="8" style="526" bestFit="1" customWidth="1"/>
    <col min="35" max="35" width="8.42578125" style="18" bestFit="1" customWidth="1"/>
    <col min="36" max="36" width="14.5703125" style="18" bestFit="1" customWidth="1"/>
    <col min="37" max="37" width="21" style="18" bestFit="1" customWidth="1"/>
    <col min="38" max="38" width="18.5703125" style="18" bestFit="1" customWidth="1"/>
    <col min="39" max="16384" width="11.28515625" style="18"/>
  </cols>
  <sheetData>
    <row r="1" spans="1:38" ht="24.75" thickBot="1">
      <c r="A1" s="396">
        <v>46101</v>
      </c>
      <c r="F1" s="397" t="s">
        <v>283</v>
      </c>
      <c r="S1" s="526"/>
      <c r="T1" s="601" t="s">
        <v>30</v>
      </c>
      <c r="U1" s="526"/>
      <c r="V1" s="603"/>
      <c r="W1" s="604" t="s">
        <v>284</v>
      </c>
      <c r="X1" s="605"/>
      <c r="Y1" s="526"/>
      <c r="Z1" s="526"/>
      <c r="AA1" s="602">
        <v>36</v>
      </c>
      <c r="AB1" s="602">
        <v>38</v>
      </c>
      <c r="AC1" s="602">
        <v>40</v>
      </c>
      <c r="AD1" s="602">
        <v>42</v>
      </c>
      <c r="AE1" s="602">
        <v>44</v>
      </c>
      <c r="AF1" s="602">
        <v>46</v>
      </c>
      <c r="AG1" s="602"/>
      <c r="AH1" s="602" t="s">
        <v>285</v>
      </c>
      <c r="AI1" s="602" t="s">
        <v>1</v>
      </c>
      <c r="AJ1" s="602" t="s">
        <v>253</v>
      </c>
      <c r="AK1" s="602" t="s">
        <v>286</v>
      </c>
      <c r="AL1" s="602" t="s">
        <v>287</v>
      </c>
    </row>
    <row r="2" spans="1:38" ht="27.75" thickTop="1" thickBot="1">
      <c r="A2" s="273" t="str">
        <f>'CORTE 4200'!A16</f>
        <v>4201-00</v>
      </c>
      <c r="B2" s="47">
        <f>'CORTE 4200'!B16</f>
        <v>0</v>
      </c>
      <c r="C2" s="47">
        <f>'CORTE 4200'!C16</f>
        <v>0</v>
      </c>
      <c r="D2" s="47">
        <f>'CORTE 4200'!D16</f>
        <v>0</v>
      </c>
      <c r="E2" s="48" t="str">
        <f>'CORTE 4200'!E16</f>
        <v>Saldo</v>
      </c>
      <c r="F2" s="49" t="str">
        <f>'CORTE 4200'!F16</f>
        <v>Ibiza Blue</v>
      </c>
      <c r="G2" s="48">
        <f>'CORTE 4200'!G16</f>
        <v>0</v>
      </c>
      <c r="H2" s="48">
        <f>'CORTE 4200'!H16</f>
        <v>-46</v>
      </c>
      <c r="I2" s="48">
        <f>'CORTE 4200'!I16</f>
        <v>-61</v>
      </c>
      <c r="J2" s="48">
        <f>'CORTE 4200'!J16</f>
        <v>-88</v>
      </c>
      <c r="K2" s="48">
        <f>'CORTE 4200'!K16</f>
        <v>-57</v>
      </c>
      <c r="L2" s="48">
        <f>'CORTE 4200'!L16</f>
        <v>-36</v>
      </c>
      <c r="M2" s="48">
        <f>'CORTE 4200'!M16</f>
        <v>-3</v>
      </c>
      <c r="N2" s="48">
        <f>'CORTE 4200'!N16</f>
        <v>0</v>
      </c>
      <c r="O2" s="48">
        <f>'CORTE 4200'!O16</f>
        <v>-291</v>
      </c>
      <c r="S2" s="606" t="s">
        <v>288</v>
      </c>
      <c r="T2" s="537" t="str">
        <f>'CORTE 4200'!A10</f>
        <v>4201-00</v>
      </c>
      <c r="U2" s="515" t="str">
        <f>'CORTE 4200'!B10</f>
        <v>Fecha</v>
      </c>
      <c r="V2" s="515">
        <f>'CORTE 4200'!C10</f>
        <v>0</v>
      </c>
      <c r="W2" s="515">
        <f>'CORTE 4200'!D10</f>
        <v>0</v>
      </c>
      <c r="X2" s="516">
        <f>'CORTE 4200'!E10</f>
        <v>0</v>
      </c>
      <c r="Y2" s="530" t="str">
        <f>'CORTE 4200'!F10</f>
        <v>Venta</v>
      </c>
      <c r="Z2" s="517">
        <f>'CORTE 4200'!G10</f>
        <v>0</v>
      </c>
      <c r="AA2" s="518">
        <f>'CORTE 4200'!H10</f>
        <v>72</v>
      </c>
      <c r="AB2" s="518">
        <f>'CORTE 4200'!I10</f>
        <v>158</v>
      </c>
      <c r="AC2" s="518">
        <f>'CORTE 4200'!J10</f>
        <v>165</v>
      </c>
      <c r="AD2" s="518">
        <f>'CORTE 4200'!K10</f>
        <v>158</v>
      </c>
      <c r="AE2" s="518">
        <f>'CORTE 4200'!L10</f>
        <v>108</v>
      </c>
      <c r="AF2" s="518">
        <f>'CORTE 4200'!M10</f>
        <v>87</v>
      </c>
      <c r="AG2" s="518">
        <f>'CORTE 4200'!N10</f>
        <v>0</v>
      </c>
      <c r="AH2" s="629">
        <f>'CORTE 4200'!O10</f>
        <v>748</v>
      </c>
      <c r="AI2" s="607"/>
      <c r="AJ2" s="608"/>
      <c r="AK2" s="609"/>
      <c r="AL2" s="610"/>
    </row>
    <row r="3" spans="1:38" ht="27.75" thickTop="1" thickBot="1">
      <c r="A3" s="273" t="str">
        <f>'CORTE 4200'!A25</f>
        <v>4201-01</v>
      </c>
      <c r="B3" s="47">
        <f>'CORTE 4200'!B25</f>
        <v>0</v>
      </c>
      <c r="C3" s="47">
        <f>'CORTE 4200'!C25</f>
        <v>0</v>
      </c>
      <c r="D3" s="47">
        <f>'CORTE 4200'!D25</f>
        <v>0</v>
      </c>
      <c r="E3" s="48" t="str">
        <f>'CORTE 4200'!E25</f>
        <v>Saldo</v>
      </c>
      <c r="F3" s="49" t="str">
        <f>'CORTE 4200'!F25</f>
        <v>Ibiza Blue</v>
      </c>
      <c r="G3" s="48">
        <f>'CORTE 4200'!G25</f>
        <v>0</v>
      </c>
      <c r="H3" s="48">
        <f>'CORTE 4200'!H25</f>
        <v>-7</v>
      </c>
      <c r="I3" s="48">
        <f>'CORTE 4200'!I25</f>
        <v>-14</v>
      </c>
      <c r="J3" s="48">
        <f>'CORTE 4200'!J25</f>
        <v>-14</v>
      </c>
      <c r="K3" s="48">
        <f>'CORTE 4200'!K25</f>
        <v>-12</v>
      </c>
      <c r="L3" s="48">
        <f>'CORTE 4200'!L25</f>
        <v>-5</v>
      </c>
      <c r="M3" s="48">
        <f>'CORTE 4200'!M25</f>
        <v>-5</v>
      </c>
      <c r="N3" s="48">
        <f>'CORTE 4200'!N25</f>
        <v>0</v>
      </c>
      <c r="O3" s="48">
        <f>'CORTE 4200'!O25</f>
        <v>-57</v>
      </c>
      <c r="S3" s="528"/>
      <c r="T3" s="538" t="str">
        <f>'CORTE 4200'!A19</f>
        <v>4201-01</v>
      </c>
      <c r="U3" s="39" t="str">
        <f>'CORTE 4200'!B19</f>
        <v>Fecha</v>
      </c>
      <c r="V3" s="39">
        <f>'CORTE 4200'!C19</f>
        <v>0</v>
      </c>
      <c r="W3" s="39">
        <f>'CORTE 4200'!D19</f>
        <v>0</v>
      </c>
      <c r="X3" s="40">
        <f>'CORTE 4200'!E19</f>
        <v>0</v>
      </c>
      <c r="Y3" s="531" t="str">
        <f>'CORTE 4200'!F19</f>
        <v>Venta</v>
      </c>
      <c r="Z3" s="261">
        <f>'CORTE 4200'!G19</f>
        <v>0</v>
      </c>
      <c r="AA3" s="262">
        <f>'CORTE 4200'!H19</f>
        <v>34</v>
      </c>
      <c r="AB3" s="262">
        <f>'CORTE 4200'!I19</f>
        <v>53</v>
      </c>
      <c r="AC3" s="262">
        <f>'CORTE 4200'!J19</f>
        <v>60</v>
      </c>
      <c r="AD3" s="262">
        <f>'CORTE 4200'!K19</f>
        <v>57</v>
      </c>
      <c r="AE3" s="262">
        <f>'CORTE 4200'!L19</f>
        <v>41</v>
      </c>
      <c r="AF3" s="262">
        <f>'CORTE 4200'!M19</f>
        <v>26</v>
      </c>
      <c r="AG3" s="262">
        <f>'CORTE 4200'!N19</f>
        <v>0</v>
      </c>
      <c r="AH3" s="168">
        <f>'CORTE 4200'!O19</f>
        <v>271</v>
      </c>
      <c r="AI3" s="611"/>
      <c r="AJ3" s="27"/>
      <c r="AK3" s="612"/>
      <c r="AL3" s="613"/>
    </row>
    <row r="4" spans="1:38" ht="27.75" thickTop="1" thickBot="1">
      <c r="A4" s="273" t="str">
        <f>'CORTE 4200'!A34</f>
        <v>4201-60</v>
      </c>
      <c r="B4" s="47">
        <f>'CORTE 4200'!B34</f>
        <v>0</v>
      </c>
      <c r="C4" s="47">
        <f>'CORTE 4200'!C34</f>
        <v>0</v>
      </c>
      <c r="D4" s="47">
        <f>'CORTE 4200'!D34</f>
        <v>0</v>
      </c>
      <c r="E4" s="48" t="str">
        <f>'CORTE 4200'!E34</f>
        <v>Saldo</v>
      </c>
      <c r="F4" s="49" t="str">
        <f>'CORTE 4200'!F34</f>
        <v>Ibiza Blue</v>
      </c>
      <c r="G4" s="48">
        <f>'CORTE 4200'!G34</f>
        <v>0</v>
      </c>
      <c r="H4" s="48">
        <f>'CORTE 4200'!H34</f>
        <v>-3</v>
      </c>
      <c r="I4" s="48">
        <f>'CORTE 4200'!I34</f>
        <v>-4</v>
      </c>
      <c r="J4" s="48">
        <f>'CORTE 4200'!J34</f>
        <v>-4</v>
      </c>
      <c r="K4" s="48">
        <f>'CORTE 4200'!K34</f>
        <v>-4</v>
      </c>
      <c r="L4" s="48">
        <f>'CORTE 4200'!L34</f>
        <v>-2</v>
      </c>
      <c r="M4" s="48">
        <f>'CORTE 4200'!M34</f>
        <v>-1</v>
      </c>
      <c r="N4" s="48">
        <f>'CORTE 4200'!N34</f>
        <v>0</v>
      </c>
      <c r="O4" s="48">
        <f>'CORTE 4200'!O34</f>
        <v>-18</v>
      </c>
      <c r="S4" s="519"/>
      <c r="T4" s="538" t="str">
        <f>'CORTE 4200'!A28</f>
        <v>4201-60</v>
      </c>
      <c r="U4" s="39" t="str">
        <f>'CORTE 4200'!B28</f>
        <v>Fecha</v>
      </c>
      <c r="V4" s="39">
        <f>'CORTE 4200'!C28</f>
        <v>0</v>
      </c>
      <c r="W4" s="39">
        <f>'CORTE 4200'!D28</f>
        <v>0</v>
      </c>
      <c r="X4" s="40">
        <f>'CORTE 4200'!E28</f>
        <v>0</v>
      </c>
      <c r="Y4" s="531" t="str">
        <f>'CORTE 4200'!F28</f>
        <v>Venta</v>
      </c>
      <c r="Z4" s="261">
        <f>'CORTE 4200'!G28</f>
        <v>0</v>
      </c>
      <c r="AA4" s="262">
        <f>'CORTE 4200'!H28</f>
        <v>21</v>
      </c>
      <c r="AB4" s="262">
        <f>'CORTE 4200'!I28</f>
        <v>38</v>
      </c>
      <c r="AC4" s="262">
        <f>'CORTE 4200'!J28</f>
        <v>42</v>
      </c>
      <c r="AD4" s="262">
        <f>'CORTE 4200'!K28</f>
        <v>40</v>
      </c>
      <c r="AE4" s="262">
        <f>'CORTE 4200'!L28</f>
        <v>31</v>
      </c>
      <c r="AF4" s="262">
        <f>'CORTE 4200'!M28</f>
        <v>22</v>
      </c>
      <c r="AG4" s="262">
        <f>'CORTE 4200'!N28</f>
        <v>0</v>
      </c>
      <c r="AH4" s="630">
        <f>'CORTE 4200'!O28</f>
        <v>194</v>
      </c>
      <c r="AI4" s="614">
        <f>+SUM(AH2:AH4)</f>
        <v>1213</v>
      </c>
      <c r="AJ4" s="615">
        <f>+SUM(AH6:AH8)</f>
        <v>-366</v>
      </c>
      <c r="AK4" s="612">
        <v>50</v>
      </c>
      <c r="AL4" s="613"/>
    </row>
    <row r="5" spans="1:38" ht="25.5" thickTop="1" thickBot="1">
      <c r="A5" s="284">
        <f>'CORTE 4200'!A43</f>
        <v>4202</v>
      </c>
      <c r="B5" s="47">
        <f>'CORTE 4200'!B43</f>
        <v>0</v>
      </c>
      <c r="C5" s="47">
        <f>'CORTE 4200'!C43</f>
        <v>0</v>
      </c>
      <c r="D5" s="47">
        <f>'CORTE 4200'!D43</f>
        <v>0</v>
      </c>
      <c r="E5" s="48" t="str">
        <f>'CORTE 4200'!E43</f>
        <v>Saldo</v>
      </c>
      <c r="F5" s="49" t="str">
        <f>'CORTE 4200'!F43</f>
        <v>Ibiza Blue</v>
      </c>
      <c r="G5" s="48">
        <f>'CORTE 4200'!G43</f>
        <v>0</v>
      </c>
      <c r="H5" s="48">
        <f>'CORTE 4200'!H43</f>
        <v>7</v>
      </c>
      <c r="I5" s="48">
        <f>'CORTE 4200'!I43</f>
        <v>-9</v>
      </c>
      <c r="J5" s="48">
        <f>'CORTE 4200'!J43</f>
        <v>6</v>
      </c>
      <c r="K5" s="48">
        <f>'CORTE 4200'!K43</f>
        <v>-12</v>
      </c>
      <c r="L5" s="48">
        <f>'CORTE 4200'!L43</f>
        <v>-16</v>
      </c>
      <c r="M5" s="48">
        <f>'CORTE 4200'!M43</f>
        <v>-11</v>
      </c>
      <c r="N5" s="48">
        <f>'CORTE 4200'!N43</f>
        <v>0</v>
      </c>
      <c r="O5" s="48">
        <f>'CORTE 4200'!O43</f>
        <v>-35</v>
      </c>
      <c r="S5" s="519"/>
      <c r="AI5" s="613"/>
      <c r="AJ5" s="27"/>
      <c r="AK5" s="612"/>
      <c r="AL5" s="613"/>
    </row>
    <row r="6" spans="1:38" ht="25.5" thickTop="1" thickBot="1">
      <c r="A6" s="291" t="str">
        <f>'CORTE 4200'!A52</f>
        <v>4203-00</v>
      </c>
      <c r="B6" s="47">
        <f>'CORTE 4200'!B52</f>
        <v>0</v>
      </c>
      <c r="C6" s="47">
        <f>'CORTE 4200'!C52</f>
        <v>0</v>
      </c>
      <c r="D6" s="47">
        <f>'CORTE 4200'!D52</f>
        <v>0</v>
      </c>
      <c r="E6" s="48" t="str">
        <f>'CORTE 4200'!E52</f>
        <v>Saldo</v>
      </c>
      <c r="F6" s="49" t="str">
        <f>'CORTE 4200'!F52</f>
        <v>B2868-V3</v>
      </c>
      <c r="G6" s="48">
        <f>'CORTE 4200'!G52</f>
        <v>0</v>
      </c>
      <c r="H6" s="48">
        <f>'CORTE 4200'!H52</f>
        <v>0</v>
      </c>
      <c r="I6" s="48">
        <f>'CORTE 4200'!I52</f>
        <v>0</v>
      </c>
      <c r="J6" s="48">
        <f>'CORTE 4200'!J52</f>
        <v>0</v>
      </c>
      <c r="K6" s="48">
        <f>'CORTE 4200'!K52</f>
        <v>0</v>
      </c>
      <c r="L6" s="48">
        <f>'CORTE 4200'!L52</f>
        <v>-1</v>
      </c>
      <c r="M6" s="48">
        <f>'CORTE 4200'!M52</f>
        <v>0</v>
      </c>
      <c r="N6" s="48">
        <f>'CORTE 4200'!N52</f>
        <v>0</v>
      </c>
      <c r="O6" s="48">
        <f>'CORTE 4200'!O52</f>
        <v>-1</v>
      </c>
      <c r="S6" s="532" t="s">
        <v>289</v>
      </c>
      <c r="T6" s="539" t="str">
        <f t="shared" ref="T6:AH8" si="0">A2</f>
        <v>4201-00</v>
      </c>
      <c r="U6" s="47">
        <f t="shared" si="0"/>
        <v>0</v>
      </c>
      <c r="V6" s="47">
        <f t="shared" si="0"/>
        <v>0</v>
      </c>
      <c r="W6" s="47">
        <f t="shared" si="0"/>
        <v>0</v>
      </c>
      <c r="X6" s="48" t="str">
        <f t="shared" si="0"/>
        <v>Saldo</v>
      </c>
      <c r="Y6" s="49" t="str">
        <f t="shared" si="0"/>
        <v>Ibiza Blue</v>
      </c>
      <c r="Z6" s="48">
        <f t="shared" si="0"/>
        <v>0</v>
      </c>
      <c r="AA6" s="48">
        <f t="shared" si="0"/>
        <v>-46</v>
      </c>
      <c r="AB6" s="48">
        <f t="shared" si="0"/>
        <v>-61</v>
      </c>
      <c r="AC6" s="48">
        <f t="shared" si="0"/>
        <v>-88</v>
      </c>
      <c r="AD6" s="48">
        <f t="shared" si="0"/>
        <v>-57</v>
      </c>
      <c r="AE6" s="48">
        <f t="shared" si="0"/>
        <v>-36</v>
      </c>
      <c r="AF6" s="48">
        <f t="shared" si="0"/>
        <v>-3</v>
      </c>
      <c r="AG6" s="48">
        <f t="shared" si="0"/>
        <v>0</v>
      </c>
      <c r="AH6" s="631">
        <f t="shared" si="0"/>
        <v>-291</v>
      </c>
      <c r="AI6" s="616"/>
      <c r="AJ6" s="27"/>
      <c r="AK6" s="612"/>
      <c r="AL6" s="613"/>
    </row>
    <row r="7" spans="1:38" ht="25.5" thickTop="1" thickBot="1">
      <c r="A7" s="291" t="str">
        <f>'CORTE 4200'!A61</f>
        <v>4203-01</v>
      </c>
      <c r="B7" s="47">
        <f>'CORTE 4200'!B61</f>
        <v>0</v>
      </c>
      <c r="C7" s="47">
        <f>'CORTE 4200'!C61</f>
        <v>0</v>
      </c>
      <c r="D7" s="47">
        <f>'CORTE 4200'!D61</f>
        <v>0</v>
      </c>
      <c r="E7" s="48" t="str">
        <f>'CORTE 4200'!E61</f>
        <v>Saldo</v>
      </c>
      <c r="F7" s="49" t="str">
        <f>'CORTE 4200'!F61</f>
        <v>B2868-V3</v>
      </c>
      <c r="G7" s="48">
        <f>'CORTE 4200'!G61</f>
        <v>0</v>
      </c>
      <c r="H7" s="48">
        <f>'CORTE 4200'!H61</f>
        <v>-6</v>
      </c>
      <c r="I7" s="48">
        <f>'CORTE 4200'!I61</f>
        <v>-21</v>
      </c>
      <c r="J7" s="48">
        <f>'CORTE 4200'!J61</f>
        <v>-21</v>
      </c>
      <c r="K7" s="48">
        <f>'CORTE 4200'!K61</f>
        <v>-23</v>
      </c>
      <c r="L7" s="48">
        <f>'CORTE 4200'!L61</f>
        <v>-13</v>
      </c>
      <c r="M7" s="48">
        <f>'CORTE 4200'!M61</f>
        <v>-4</v>
      </c>
      <c r="N7" s="48">
        <f>'CORTE 4200'!N61</f>
        <v>0</v>
      </c>
      <c r="O7" s="48">
        <f>'CORTE 4200'!O61</f>
        <v>-88</v>
      </c>
      <c r="S7" s="532" t="s">
        <v>289</v>
      </c>
      <c r="T7" s="539" t="str">
        <f t="shared" si="0"/>
        <v>4201-01</v>
      </c>
      <c r="U7" s="47">
        <f t="shared" si="0"/>
        <v>0</v>
      </c>
      <c r="V7" s="47">
        <f t="shared" si="0"/>
        <v>0</v>
      </c>
      <c r="W7" s="47">
        <f t="shared" si="0"/>
        <v>0</v>
      </c>
      <c r="X7" s="48" t="str">
        <f t="shared" si="0"/>
        <v>Saldo</v>
      </c>
      <c r="Y7" s="49" t="str">
        <f t="shared" si="0"/>
        <v>Ibiza Blue</v>
      </c>
      <c r="Z7" s="48">
        <f t="shared" si="0"/>
        <v>0</v>
      </c>
      <c r="AA7" s="48">
        <f t="shared" si="0"/>
        <v>-7</v>
      </c>
      <c r="AB7" s="48">
        <f t="shared" si="0"/>
        <v>-14</v>
      </c>
      <c r="AC7" s="48">
        <f t="shared" si="0"/>
        <v>-14</v>
      </c>
      <c r="AD7" s="48">
        <f t="shared" si="0"/>
        <v>-12</v>
      </c>
      <c r="AE7" s="48">
        <f t="shared" si="0"/>
        <v>-5</v>
      </c>
      <c r="AF7" s="48">
        <f t="shared" si="0"/>
        <v>-5</v>
      </c>
      <c r="AG7" s="48">
        <f t="shared" si="0"/>
        <v>0</v>
      </c>
      <c r="AH7" s="631">
        <f t="shared" si="0"/>
        <v>-57</v>
      </c>
      <c r="AI7" s="613"/>
      <c r="AJ7" s="27"/>
      <c r="AK7" s="612"/>
      <c r="AL7" s="613"/>
    </row>
    <row r="8" spans="1:38" ht="25.5" thickTop="1" thickBot="1">
      <c r="A8" s="299" t="str">
        <f>'CORTE 4200'!A70</f>
        <v>4204-00</v>
      </c>
      <c r="B8" s="47">
        <f>'CORTE 4200'!B70</f>
        <v>0</v>
      </c>
      <c r="C8" s="47">
        <f>'CORTE 4200'!C70</f>
        <v>0</v>
      </c>
      <c r="D8" s="47">
        <f>'CORTE 4200'!D70</f>
        <v>0</v>
      </c>
      <c r="E8" s="48" t="str">
        <f>'CORTE 4200'!E70</f>
        <v>Saldo</v>
      </c>
      <c r="F8" s="49" t="str">
        <f>'CORTE 4200'!F70</f>
        <v>B2868-V3</v>
      </c>
      <c r="G8" s="48">
        <f>'CORTE 4200'!G70</f>
        <v>0</v>
      </c>
      <c r="H8" s="48">
        <f>'CORTE 4200'!H70</f>
        <v>-15</v>
      </c>
      <c r="I8" s="48">
        <f>'CORTE 4200'!I70</f>
        <v>-1</v>
      </c>
      <c r="J8" s="48">
        <f>'CORTE 4200'!J70</f>
        <v>-3</v>
      </c>
      <c r="K8" s="48">
        <f>'CORTE 4200'!K70</f>
        <v>-1</v>
      </c>
      <c r="L8" s="48">
        <f>'CORTE 4200'!L70</f>
        <v>-6</v>
      </c>
      <c r="M8" s="48">
        <f>'CORTE 4200'!M70</f>
        <v>-1</v>
      </c>
      <c r="N8" s="48">
        <f>'CORTE 4200'!N70</f>
        <v>0</v>
      </c>
      <c r="O8" s="48">
        <f>'CORTE 4200'!O70</f>
        <v>-27</v>
      </c>
      <c r="S8" s="533" t="s">
        <v>289</v>
      </c>
      <c r="T8" s="540" t="str">
        <f t="shared" si="0"/>
        <v>4201-60</v>
      </c>
      <c r="U8" s="520">
        <f t="shared" si="0"/>
        <v>0</v>
      </c>
      <c r="V8" s="520">
        <f t="shared" si="0"/>
        <v>0</v>
      </c>
      <c r="W8" s="520">
        <f t="shared" si="0"/>
        <v>0</v>
      </c>
      <c r="X8" s="521" t="str">
        <f t="shared" si="0"/>
        <v>Saldo</v>
      </c>
      <c r="Y8" s="522" t="str">
        <f t="shared" si="0"/>
        <v>Ibiza Blue</v>
      </c>
      <c r="Z8" s="521">
        <f t="shared" si="0"/>
        <v>0</v>
      </c>
      <c r="AA8" s="521">
        <f t="shared" si="0"/>
        <v>-3</v>
      </c>
      <c r="AB8" s="521">
        <f t="shared" si="0"/>
        <v>-4</v>
      </c>
      <c r="AC8" s="521">
        <f t="shared" si="0"/>
        <v>-4</v>
      </c>
      <c r="AD8" s="521">
        <f t="shared" si="0"/>
        <v>-4</v>
      </c>
      <c r="AE8" s="521">
        <f t="shared" si="0"/>
        <v>-2</v>
      </c>
      <c r="AF8" s="521">
        <f t="shared" si="0"/>
        <v>-1</v>
      </c>
      <c r="AG8" s="521">
        <f t="shared" si="0"/>
        <v>0</v>
      </c>
      <c r="AH8" s="632">
        <f t="shared" si="0"/>
        <v>-18</v>
      </c>
      <c r="AI8" s="617"/>
      <c r="AJ8" s="617"/>
      <c r="AK8" s="618"/>
      <c r="AL8" s="619"/>
    </row>
    <row r="9" spans="1:38" ht="25.5" thickTop="1" thickBot="1">
      <c r="A9" s="299" t="str">
        <f>'CORTE 4200'!A79</f>
        <v>4204-01</v>
      </c>
      <c r="B9" s="47">
        <f>'CORTE 4200'!B79</f>
        <v>0</v>
      </c>
      <c r="C9" s="47">
        <f>'CORTE 4200'!C79</f>
        <v>0</v>
      </c>
      <c r="D9" s="47">
        <f>'CORTE 4200'!D79</f>
        <v>0</v>
      </c>
      <c r="E9" s="48" t="str">
        <f>'CORTE 4200'!E79</f>
        <v>Saldo</v>
      </c>
      <c r="F9" s="49" t="str">
        <f>'CORTE 4200'!F79</f>
        <v>B2868-V3</v>
      </c>
      <c r="G9" s="48">
        <f>'CORTE 4200'!G79</f>
        <v>0</v>
      </c>
      <c r="H9" s="48">
        <f>'CORTE 4200'!H79</f>
        <v>2</v>
      </c>
      <c r="I9" s="48">
        <f>'CORTE 4200'!I79</f>
        <v>0</v>
      </c>
      <c r="J9" s="48">
        <f>'CORTE 4200'!J79</f>
        <v>0</v>
      </c>
      <c r="K9" s="48">
        <f>'CORTE 4200'!K79</f>
        <v>0</v>
      </c>
      <c r="L9" s="48">
        <f>'CORTE 4200'!L79</f>
        <v>0</v>
      </c>
      <c r="M9" s="48">
        <f>'CORTE 4200'!M79</f>
        <v>0</v>
      </c>
      <c r="N9" s="48">
        <f>'CORTE 4200'!N79</f>
        <v>0</v>
      </c>
      <c r="O9" s="48">
        <f>'CORTE 4200'!O79</f>
        <v>2</v>
      </c>
      <c r="AI9" s="27"/>
      <c r="AJ9" s="27"/>
      <c r="AK9" s="27"/>
      <c r="AL9" s="27"/>
    </row>
    <row r="10" spans="1:38" ht="27.75" thickTop="1" thickBot="1">
      <c r="A10" s="299" t="str">
        <f>'CORTE 4200'!A88</f>
        <v>4204-02</v>
      </c>
      <c r="B10" s="47">
        <f>'CORTE 4200'!B88</f>
        <v>0</v>
      </c>
      <c r="C10" s="47">
        <f>'CORTE 4200'!C88</f>
        <v>0</v>
      </c>
      <c r="D10" s="47">
        <f>'CORTE 4200'!D88</f>
        <v>0</v>
      </c>
      <c r="E10" s="48" t="str">
        <f>'CORTE 4200'!E88</f>
        <v>Saldo</v>
      </c>
      <c r="F10" s="49" t="str">
        <f>'CORTE 4200'!F88</f>
        <v>B2868-V3</v>
      </c>
      <c r="G10" s="48">
        <f>'CORTE 4200'!G88</f>
        <v>0</v>
      </c>
      <c r="H10" s="48">
        <f>'CORTE 4200'!H88</f>
        <v>-3</v>
      </c>
      <c r="I10" s="48">
        <f>'CORTE 4200'!I88</f>
        <v>-5</v>
      </c>
      <c r="J10" s="48">
        <f>'CORTE 4200'!J88</f>
        <v>-5</v>
      </c>
      <c r="K10" s="48">
        <f>'CORTE 4200'!K88</f>
        <v>-2</v>
      </c>
      <c r="L10" s="48">
        <f>'CORTE 4200'!L88</f>
        <v>-1</v>
      </c>
      <c r="M10" s="48">
        <f>'CORTE 4200'!M88</f>
        <v>0</v>
      </c>
      <c r="N10" s="48">
        <f>'CORTE 4200'!N88</f>
        <v>0</v>
      </c>
      <c r="O10" s="48">
        <f>'CORTE 4200'!O88</f>
        <v>-16</v>
      </c>
      <c r="S10" s="606" t="s">
        <v>290</v>
      </c>
      <c r="T10" s="541" t="str">
        <f>'CORTE 4200'!A298</f>
        <v>4218-00</v>
      </c>
      <c r="U10" s="515" t="str">
        <f>'CORTE 4200'!B298</f>
        <v>Fecha</v>
      </c>
      <c r="V10" s="515">
        <f>'CORTE 4200'!C298</f>
        <v>0</v>
      </c>
      <c r="W10" s="515" t="str">
        <f>'CORTE 4200'!D298</f>
        <v>New  Glue</v>
      </c>
      <c r="X10" s="516">
        <f>'CORTE 4200'!E298</f>
        <v>0</v>
      </c>
      <c r="Y10" s="530" t="str">
        <f>'CORTE 4200'!F298</f>
        <v>Venta</v>
      </c>
      <c r="Z10" s="517">
        <f>'CORTE 4200'!G298</f>
        <v>0</v>
      </c>
      <c r="AA10" s="518">
        <f>'CORTE 4200'!H298</f>
        <v>71</v>
      </c>
      <c r="AB10" s="518">
        <f>'CORTE 4200'!I298</f>
        <v>152</v>
      </c>
      <c r="AC10" s="518">
        <f>'CORTE 4200'!J298</f>
        <v>171</v>
      </c>
      <c r="AD10" s="518">
        <f>'CORTE 4200'!K298</f>
        <v>160</v>
      </c>
      <c r="AE10" s="518">
        <f>'CORTE 4200'!L298</f>
        <v>111</v>
      </c>
      <c r="AF10" s="518">
        <f>'CORTE 4200'!M298</f>
        <v>87</v>
      </c>
      <c r="AG10" s="518">
        <f>'CORTE 4200'!N298</f>
        <v>0</v>
      </c>
      <c r="AH10" s="629">
        <f>'CORTE 4200'!O298</f>
        <v>752</v>
      </c>
      <c r="AI10" s="607"/>
      <c r="AJ10" s="608"/>
      <c r="AK10" s="609"/>
      <c r="AL10" s="610"/>
    </row>
    <row r="11" spans="1:38" ht="27.75" thickTop="1" thickBot="1">
      <c r="A11" s="304" t="str">
        <f>'CORTE 4200'!A97</f>
        <v>4205-00</v>
      </c>
      <c r="B11" s="47">
        <f>'CORTE 4200'!B97</f>
        <v>0</v>
      </c>
      <c r="C11" s="47">
        <f>'CORTE 4200'!C97</f>
        <v>0</v>
      </c>
      <c r="D11" s="47">
        <f>'CORTE 4200'!D97</f>
        <v>0</v>
      </c>
      <c r="E11" s="48" t="str">
        <f>'CORTE 4200'!E97</f>
        <v>Saldo</v>
      </c>
      <c r="F11" s="49" t="str">
        <f>'CORTE 4200'!F97</f>
        <v>Ayla</v>
      </c>
      <c r="G11" s="48">
        <f>'CORTE 4200'!G97</f>
        <v>0</v>
      </c>
      <c r="H11" s="48">
        <f>'CORTE 4200'!H97</f>
        <v>-19</v>
      </c>
      <c r="I11" s="48">
        <f>'CORTE 4200'!I97</f>
        <v>-31</v>
      </c>
      <c r="J11" s="48">
        <f>'CORTE 4200'!J97</f>
        <v>-30</v>
      </c>
      <c r="K11" s="48">
        <f>'CORTE 4200'!K97</f>
        <v>-30</v>
      </c>
      <c r="L11" s="48">
        <f>'CORTE 4200'!L97</f>
        <v>-24</v>
      </c>
      <c r="M11" s="48">
        <f>'CORTE 4200'!M97</f>
        <v>-14</v>
      </c>
      <c r="N11" s="48">
        <f>'CORTE 4200'!N97</f>
        <v>0</v>
      </c>
      <c r="O11" s="48">
        <f>'CORTE 4200'!O97</f>
        <v>-148</v>
      </c>
      <c r="S11" s="519"/>
      <c r="T11" s="542" t="str">
        <f>'CORTE 4200'!A307</f>
        <v>4218-01</v>
      </c>
      <c r="U11" s="39" t="str">
        <f>'CORTE 4200'!B307</f>
        <v>Fecha</v>
      </c>
      <c r="V11" s="39">
        <f>'CORTE 4200'!C307</f>
        <v>0</v>
      </c>
      <c r="W11" s="39" t="str">
        <f>'CORTE 4200'!D307</f>
        <v>New  Glue</v>
      </c>
      <c r="X11" s="40">
        <f>'CORTE 4200'!E307</f>
        <v>0</v>
      </c>
      <c r="Y11" s="531" t="str">
        <f>'CORTE 4200'!F307</f>
        <v>Venta</v>
      </c>
      <c r="Z11" s="261">
        <f>'CORTE 4200'!G307</f>
        <v>0</v>
      </c>
      <c r="AA11" s="262">
        <f>'CORTE 4200'!H307</f>
        <v>42</v>
      </c>
      <c r="AB11" s="262">
        <f>'CORTE 4200'!I307</f>
        <v>84</v>
      </c>
      <c r="AC11" s="262">
        <f>'CORTE 4200'!J307</f>
        <v>86</v>
      </c>
      <c r="AD11" s="262">
        <f>'CORTE 4200'!K307</f>
        <v>79</v>
      </c>
      <c r="AE11" s="262">
        <f>'CORTE 4200'!L307</f>
        <v>57</v>
      </c>
      <c r="AF11" s="262">
        <f>'CORTE 4200'!M307</f>
        <v>40</v>
      </c>
      <c r="AG11" s="262">
        <f>'CORTE 4200'!N307</f>
        <v>0</v>
      </c>
      <c r="AH11" s="168">
        <f>'CORTE 4200'!O307</f>
        <v>388</v>
      </c>
      <c r="AI11" s="611"/>
      <c r="AJ11" s="27"/>
      <c r="AK11" s="612"/>
      <c r="AL11" s="613"/>
    </row>
    <row r="12" spans="1:38" ht="27.75" thickTop="1" thickBot="1">
      <c r="A12" s="304" t="str">
        <f>'CORTE 4200'!A106</f>
        <v>4205-01</v>
      </c>
      <c r="B12" s="47">
        <f>'CORTE 4200'!B106</f>
        <v>0</v>
      </c>
      <c r="C12" s="47">
        <f>'CORTE 4200'!C106</f>
        <v>0</v>
      </c>
      <c r="D12" s="47">
        <f>'CORTE 4200'!D106</f>
        <v>0</v>
      </c>
      <c r="E12" s="48" t="str">
        <f>'CORTE 4200'!E106</f>
        <v>Saldo</v>
      </c>
      <c r="F12" s="49" t="str">
        <f>'CORTE 4200'!F106</f>
        <v>Ayla</v>
      </c>
      <c r="G12" s="48">
        <f>'CORTE 4200'!G106</f>
        <v>0</v>
      </c>
      <c r="H12" s="48">
        <f>'CORTE 4200'!H106</f>
        <v>-1</v>
      </c>
      <c r="I12" s="48">
        <f>'CORTE 4200'!I106</f>
        <v>-1</v>
      </c>
      <c r="J12" s="48">
        <f>'CORTE 4200'!J106</f>
        <v>-1</v>
      </c>
      <c r="K12" s="48">
        <f>'CORTE 4200'!K106</f>
        <v>-1</v>
      </c>
      <c r="L12" s="48">
        <f>'CORTE 4200'!L106</f>
        <v>-1</v>
      </c>
      <c r="M12" s="48">
        <f>'CORTE 4200'!M106</f>
        <v>-1</v>
      </c>
      <c r="N12" s="48">
        <f>'CORTE 4200'!N106</f>
        <v>0</v>
      </c>
      <c r="O12" s="48">
        <f>'CORTE 4200'!O106</f>
        <v>-6</v>
      </c>
      <c r="S12" s="519"/>
      <c r="T12" s="542" t="str">
        <f>'CORTE 4200'!A316</f>
        <v>4218-02</v>
      </c>
      <c r="U12" s="39" t="str">
        <f>'CORTE 4200'!B316</f>
        <v>Fecha</v>
      </c>
      <c r="V12" s="39">
        <f>'CORTE 4200'!C316</f>
        <v>0</v>
      </c>
      <c r="W12" s="39" t="str">
        <f>'CORTE 4200'!D316</f>
        <v>New Glue</v>
      </c>
      <c r="X12" s="40">
        <f>'CORTE 4200'!E316</f>
        <v>0</v>
      </c>
      <c r="Y12" s="531" t="str">
        <f>'CORTE 4200'!F316</f>
        <v>Venta</v>
      </c>
      <c r="Z12" s="261">
        <f>'CORTE 4200'!G316</f>
        <v>0</v>
      </c>
      <c r="AA12" s="262">
        <f>'CORTE 4200'!H316</f>
        <v>0</v>
      </c>
      <c r="AB12" s="262">
        <f>'CORTE 4200'!I316</f>
        <v>4</v>
      </c>
      <c r="AC12" s="262">
        <f>'CORTE 4200'!J316</f>
        <v>8</v>
      </c>
      <c r="AD12" s="262">
        <f>'CORTE 4200'!K316</f>
        <v>8</v>
      </c>
      <c r="AE12" s="262">
        <f>'CORTE 4200'!L316</f>
        <v>7</v>
      </c>
      <c r="AF12" s="262">
        <f>'CORTE 4200'!M316</f>
        <v>5</v>
      </c>
      <c r="AG12" s="262">
        <f>'CORTE 4200'!N316</f>
        <v>0</v>
      </c>
      <c r="AH12" s="168">
        <f>'CORTE 4200'!O316</f>
        <v>32</v>
      </c>
      <c r="AI12" s="614">
        <f>+SUM(AH10:AH12)</f>
        <v>1172</v>
      </c>
      <c r="AJ12" s="615">
        <f>+SUM(AH14:AH16)</f>
        <v>-110</v>
      </c>
      <c r="AK12" s="612">
        <v>50</v>
      </c>
      <c r="AL12" s="613"/>
    </row>
    <row r="13" spans="1:38" ht="25.5" thickTop="1" thickBot="1">
      <c r="A13" s="304" t="str">
        <f>'CORTE 4200'!A115</f>
        <v>4205-02</v>
      </c>
      <c r="B13" s="47">
        <f>'CORTE 4200'!B115</f>
        <v>0</v>
      </c>
      <c r="C13" s="47">
        <f>'CORTE 4200'!C115</f>
        <v>0</v>
      </c>
      <c r="D13" s="47">
        <f>'CORTE 4200'!D115</f>
        <v>0</v>
      </c>
      <c r="E13" s="48" t="str">
        <f>'CORTE 4200'!E115</f>
        <v>Saldo</v>
      </c>
      <c r="F13" s="49" t="str">
        <f>'CORTE 4200'!F115</f>
        <v>Ayla</v>
      </c>
      <c r="G13" s="48">
        <f>'CORTE 4200'!G115</f>
        <v>0</v>
      </c>
      <c r="H13" s="48">
        <f>'CORTE 4200'!H115</f>
        <v>0</v>
      </c>
      <c r="I13" s="48">
        <f>'CORTE 4200'!I115</f>
        <v>0</v>
      </c>
      <c r="J13" s="48">
        <f>'CORTE 4200'!J115</f>
        <v>0</v>
      </c>
      <c r="K13" s="48">
        <f>'CORTE 4200'!K115</f>
        <v>0</v>
      </c>
      <c r="L13" s="48">
        <f>'CORTE 4200'!L115</f>
        <v>0</v>
      </c>
      <c r="M13" s="48">
        <f>'CORTE 4200'!M115</f>
        <v>0</v>
      </c>
      <c r="N13" s="48">
        <f>'CORTE 4200'!N115</f>
        <v>0</v>
      </c>
      <c r="O13" s="48">
        <f>'CORTE 4200'!O115</f>
        <v>0</v>
      </c>
      <c r="S13" s="519"/>
      <c r="AI13" s="613"/>
      <c r="AJ13" s="27"/>
      <c r="AK13" s="612"/>
      <c r="AL13" s="613"/>
    </row>
    <row r="14" spans="1:38" ht="25.5" thickTop="1" thickBot="1">
      <c r="A14" s="284" t="str">
        <f>'CORTE 4200'!A124</f>
        <v>4206-00</v>
      </c>
      <c r="B14" s="47">
        <f>'CORTE 4200'!B124</f>
        <v>0</v>
      </c>
      <c r="C14" s="47">
        <f>'CORTE 4200'!C124</f>
        <v>0</v>
      </c>
      <c r="D14" s="47">
        <f>'CORTE 4200'!D124</f>
        <v>0</v>
      </c>
      <c r="E14" s="48" t="str">
        <f>'CORTE 4200'!E124</f>
        <v>Saldo</v>
      </c>
      <c r="F14" s="49" t="str">
        <f>'CORTE 4200'!F124</f>
        <v>B2868-V3</v>
      </c>
      <c r="G14" s="48">
        <f>'CORTE 4200'!G124</f>
        <v>0</v>
      </c>
      <c r="H14" s="48">
        <f>'CORTE 4200'!H124</f>
        <v>-43</v>
      </c>
      <c r="I14" s="48">
        <f>'CORTE 4200'!I124</f>
        <v>-29</v>
      </c>
      <c r="J14" s="48">
        <f>'CORTE 4200'!J124</f>
        <v>-30</v>
      </c>
      <c r="K14" s="48">
        <f>'CORTE 4200'!K124</f>
        <v>-37</v>
      </c>
      <c r="L14" s="48">
        <f>'CORTE 4200'!L124</f>
        <v>-38</v>
      </c>
      <c r="M14" s="48">
        <f>'CORTE 4200'!M124</f>
        <v>-24</v>
      </c>
      <c r="N14" s="48">
        <f>'CORTE 4200'!N124</f>
        <v>0</v>
      </c>
      <c r="O14" s="48">
        <f>'CORTE 4200'!O124</f>
        <v>-201</v>
      </c>
      <c r="S14" s="532" t="s">
        <v>289</v>
      </c>
      <c r="T14" s="543" t="str">
        <f t="shared" ref="T14:AH16" si="1">A34</f>
        <v>4218-00</v>
      </c>
      <c r="U14" s="47">
        <f t="shared" si="1"/>
        <v>0</v>
      </c>
      <c r="V14" s="47">
        <f t="shared" si="1"/>
        <v>0</v>
      </c>
      <c r="W14" s="47">
        <f t="shared" si="1"/>
        <v>0</v>
      </c>
      <c r="X14" s="48" t="str">
        <f t="shared" si="1"/>
        <v>Saldo</v>
      </c>
      <c r="Y14" s="49" t="str">
        <f t="shared" si="1"/>
        <v>New  Glue</v>
      </c>
      <c r="Z14" s="48">
        <f t="shared" si="1"/>
        <v>0</v>
      </c>
      <c r="AA14" s="48">
        <f t="shared" si="1"/>
        <v>-7</v>
      </c>
      <c r="AB14" s="48">
        <f t="shared" si="1"/>
        <v>-13</v>
      </c>
      <c r="AC14" s="48">
        <f t="shared" si="1"/>
        <v>-18</v>
      </c>
      <c r="AD14" s="48">
        <f t="shared" si="1"/>
        <v>-14</v>
      </c>
      <c r="AE14" s="48">
        <f t="shared" si="1"/>
        <v>-14</v>
      </c>
      <c r="AF14" s="48">
        <f t="shared" si="1"/>
        <v>-10</v>
      </c>
      <c r="AG14" s="48">
        <f t="shared" si="1"/>
        <v>0</v>
      </c>
      <c r="AH14" s="631">
        <f t="shared" si="1"/>
        <v>-76</v>
      </c>
      <c r="AI14" s="613"/>
      <c r="AJ14" s="27"/>
      <c r="AK14" s="612"/>
      <c r="AL14" s="613"/>
    </row>
    <row r="15" spans="1:38" ht="25.5" thickTop="1" thickBot="1">
      <c r="A15" s="284" t="str">
        <f>'CORTE 4200'!A133</f>
        <v>4207-00</v>
      </c>
      <c r="B15" s="47">
        <f>'CORTE 4200'!B133</f>
        <v>0</v>
      </c>
      <c r="C15" s="47">
        <f>'CORTE 4200'!C133</f>
        <v>0</v>
      </c>
      <c r="D15" s="47">
        <f>'CORTE 4200'!D133</f>
        <v>0</v>
      </c>
      <c r="E15" s="48" t="str">
        <f>'CORTE 4200'!E133</f>
        <v>Saldo</v>
      </c>
      <c r="F15" s="49" t="str">
        <f>'CORTE 4200'!F133</f>
        <v>Ayla</v>
      </c>
      <c r="G15" s="48">
        <f>'CORTE 4200'!G133</f>
        <v>0</v>
      </c>
      <c r="H15" s="48">
        <f>'CORTE 4200'!H133</f>
        <v>0</v>
      </c>
      <c r="I15" s="48">
        <f>'CORTE 4200'!I133</f>
        <v>4</v>
      </c>
      <c r="J15" s="48">
        <f>'CORTE 4200'!J133</f>
        <v>8</v>
      </c>
      <c r="K15" s="48">
        <f>'CORTE 4200'!K133</f>
        <v>8</v>
      </c>
      <c r="L15" s="48">
        <f>'CORTE 4200'!L133</f>
        <v>7</v>
      </c>
      <c r="M15" s="48">
        <f>'CORTE 4200'!M133</f>
        <v>5</v>
      </c>
      <c r="N15" s="48">
        <f>'CORTE 4200'!N133</f>
        <v>0</v>
      </c>
      <c r="O15" s="48">
        <f>'CORTE 4200'!O133</f>
        <v>32</v>
      </c>
      <c r="S15" s="532" t="s">
        <v>289</v>
      </c>
      <c r="T15" s="543" t="str">
        <f t="shared" si="1"/>
        <v>4218-01</v>
      </c>
      <c r="U15" s="47">
        <f t="shared" si="1"/>
        <v>0</v>
      </c>
      <c r="V15" s="47">
        <f t="shared" si="1"/>
        <v>0</v>
      </c>
      <c r="W15" s="47">
        <f t="shared" si="1"/>
        <v>0</v>
      </c>
      <c r="X15" s="48" t="str">
        <f t="shared" si="1"/>
        <v>Saldo</v>
      </c>
      <c r="Y15" s="49" t="str">
        <f t="shared" si="1"/>
        <v>New  Glue</v>
      </c>
      <c r="Z15" s="48">
        <f t="shared" si="1"/>
        <v>0</v>
      </c>
      <c r="AA15" s="48">
        <f t="shared" si="1"/>
        <v>-4</v>
      </c>
      <c r="AB15" s="48">
        <f t="shared" si="1"/>
        <v>-3</v>
      </c>
      <c r="AC15" s="48">
        <f t="shared" si="1"/>
        <v>-10</v>
      </c>
      <c r="AD15" s="48">
        <f t="shared" si="1"/>
        <v>-9</v>
      </c>
      <c r="AE15" s="48">
        <f t="shared" si="1"/>
        <v>-4</v>
      </c>
      <c r="AF15" s="48">
        <f t="shared" si="1"/>
        <v>-4</v>
      </c>
      <c r="AG15" s="48">
        <f t="shared" si="1"/>
        <v>0</v>
      </c>
      <c r="AH15" s="631">
        <f t="shared" si="1"/>
        <v>-34</v>
      </c>
      <c r="AI15" s="613"/>
      <c r="AJ15" s="27"/>
      <c r="AK15" s="612"/>
      <c r="AL15" s="613"/>
    </row>
    <row r="16" spans="1:38" ht="25.5" thickTop="1" thickBot="1">
      <c r="A16" s="310" t="str">
        <f>'CORTE 4200'!A142</f>
        <v>4208-00</v>
      </c>
      <c r="B16" s="47">
        <f>'CORTE 4200'!B142</f>
        <v>0</v>
      </c>
      <c r="C16" s="47">
        <f>'CORTE 4200'!C142</f>
        <v>0</v>
      </c>
      <c r="D16" s="47">
        <f>'CORTE 4200'!D142</f>
        <v>0</v>
      </c>
      <c r="E16" s="48" t="str">
        <f>'CORTE 4200'!E142</f>
        <v>Saldo</v>
      </c>
      <c r="F16" s="49" t="str">
        <f>'CORTE 4200'!F142</f>
        <v>Ayla</v>
      </c>
      <c r="G16" s="48">
        <f>'CORTE 4200'!G142</f>
        <v>0</v>
      </c>
      <c r="H16" s="48">
        <f>'CORTE 4200'!H142</f>
        <v>-6</v>
      </c>
      <c r="I16" s="48">
        <f>'CORTE 4200'!I142</f>
        <v>-9</v>
      </c>
      <c r="J16" s="48">
        <f>'CORTE 4200'!J142</f>
        <v>-10</v>
      </c>
      <c r="K16" s="48">
        <f>'CORTE 4200'!K142</f>
        <v>-10</v>
      </c>
      <c r="L16" s="48">
        <f>'CORTE 4200'!L142</f>
        <v>-4</v>
      </c>
      <c r="M16" s="48">
        <f>'CORTE 4200'!M142</f>
        <v>-5</v>
      </c>
      <c r="N16" s="48">
        <f>'CORTE 4200'!N142</f>
        <v>0</v>
      </c>
      <c r="O16" s="48">
        <f>'CORTE 4200'!O142</f>
        <v>-44</v>
      </c>
      <c r="S16" s="533" t="s">
        <v>289</v>
      </c>
      <c r="T16" s="544" t="str">
        <f t="shared" si="1"/>
        <v>4218-02</v>
      </c>
      <c r="U16" s="520">
        <f t="shared" si="1"/>
        <v>0</v>
      </c>
      <c r="V16" s="520">
        <f t="shared" si="1"/>
        <v>0</v>
      </c>
      <c r="W16" s="520">
        <f t="shared" si="1"/>
        <v>0</v>
      </c>
      <c r="X16" s="521" t="str">
        <f t="shared" si="1"/>
        <v>Saldo</v>
      </c>
      <c r="Y16" s="522" t="str">
        <f t="shared" si="1"/>
        <v>New Glue</v>
      </c>
      <c r="Z16" s="521">
        <f t="shared" si="1"/>
        <v>0</v>
      </c>
      <c r="AA16" s="521">
        <f t="shared" si="1"/>
        <v>0</v>
      </c>
      <c r="AB16" s="521">
        <f t="shared" si="1"/>
        <v>0</v>
      </c>
      <c r="AC16" s="521">
        <f t="shared" si="1"/>
        <v>0</v>
      </c>
      <c r="AD16" s="521">
        <f t="shared" si="1"/>
        <v>0</v>
      </c>
      <c r="AE16" s="521">
        <f t="shared" si="1"/>
        <v>0</v>
      </c>
      <c r="AF16" s="521">
        <f t="shared" si="1"/>
        <v>0</v>
      </c>
      <c r="AG16" s="521">
        <f t="shared" si="1"/>
        <v>0</v>
      </c>
      <c r="AH16" s="632">
        <f t="shared" si="1"/>
        <v>0</v>
      </c>
      <c r="AI16" s="619"/>
      <c r="AJ16" s="617"/>
      <c r="AK16" s="618"/>
      <c r="AL16" s="619"/>
    </row>
    <row r="17" spans="1:38" ht="25.5" thickTop="1" thickBot="1">
      <c r="A17" s="310" t="str">
        <f>'CORTE 4200'!A151</f>
        <v>4208-01</v>
      </c>
      <c r="B17" s="47">
        <f>'CORTE 4200'!B151</f>
        <v>0</v>
      </c>
      <c r="C17" s="47">
        <f>'CORTE 4200'!C151</f>
        <v>0</v>
      </c>
      <c r="D17" s="47">
        <f>'CORTE 4200'!D151</f>
        <v>0</v>
      </c>
      <c r="E17" s="48" t="str">
        <f>'CORTE 4200'!E151</f>
        <v>Saldo</v>
      </c>
      <c r="F17" s="49" t="str">
        <f>'CORTE 4200'!F151</f>
        <v>Ayla</v>
      </c>
      <c r="G17" s="48">
        <f>'CORTE 4200'!G151</f>
        <v>0</v>
      </c>
      <c r="H17" s="48">
        <f>'CORTE 4200'!H151</f>
        <v>0</v>
      </c>
      <c r="I17" s="48">
        <f>'CORTE 4200'!I151</f>
        <v>0</v>
      </c>
      <c r="J17" s="48">
        <f>'CORTE 4200'!J151</f>
        <v>0</v>
      </c>
      <c r="K17" s="48">
        <f>'CORTE 4200'!K151</f>
        <v>0</v>
      </c>
      <c r="L17" s="48">
        <f>'CORTE 4200'!L151</f>
        <v>0</v>
      </c>
      <c r="M17" s="48">
        <f>'CORTE 4200'!M151</f>
        <v>0</v>
      </c>
      <c r="N17" s="48">
        <f>'CORTE 4200'!N151</f>
        <v>0</v>
      </c>
      <c r="O17" s="48">
        <f>'CORTE 4200'!O151</f>
        <v>0</v>
      </c>
      <c r="AI17" s="27"/>
      <c r="AJ17" s="27"/>
      <c r="AK17" s="27"/>
      <c r="AL17" s="27"/>
    </row>
    <row r="18" spans="1:38" ht="27.75" thickTop="1" thickBot="1">
      <c r="A18" s="310" t="str">
        <f>'CORTE 4200'!A160</f>
        <v>4208-02</v>
      </c>
      <c r="B18" s="47">
        <f>'CORTE 4200'!B160</f>
        <v>0</v>
      </c>
      <c r="C18" s="47">
        <f>'CORTE 4200'!C160</f>
        <v>0</v>
      </c>
      <c r="D18" s="47">
        <f>'CORTE 4200'!D160</f>
        <v>0</v>
      </c>
      <c r="E18" s="48" t="str">
        <f>'CORTE 4200'!E160</f>
        <v>Saldo</v>
      </c>
      <c r="F18" s="49" t="str">
        <f>'CORTE 4200'!F160</f>
        <v>Ayla</v>
      </c>
      <c r="G18" s="48">
        <f>'CORTE 4200'!G160</f>
        <v>0</v>
      </c>
      <c r="H18" s="48">
        <f>'CORTE 4200'!H160</f>
        <v>0</v>
      </c>
      <c r="I18" s="48">
        <f>'CORTE 4200'!I160</f>
        <v>0</v>
      </c>
      <c r="J18" s="48">
        <f>'CORTE 4200'!J160</f>
        <v>0</v>
      </c>
      <c r="K18" s="48">
        <f>'CORTE 4200'!K160</f>
        <v>0</v>
      </c>
      <c r="L18" s="48">
        <f>'CORTE 4200'!L160</f>
        <v>0</v>
      </c>
      <c r="M18" s="48">
        <f>'CORTE 4200'!M160</f>
        <v>0</v>
      </c>
      <c r="N18" s="48">
        <f>'CORTE 4200'!N160</f>
        <v>0</v>
      </c>
      <c r="O18" s="48">
        <f>'CORTE 4200'!O160</f>
        <v>0</v>
      </c>
      <c r="S18" s="606" t="s">
        <v>291</v>
      </c>
      <c r="T18" s="545" t="str">
        <f>'CORTE 4200'!A244</f>
        <v>4214-00</v>
      </c>
      <c r="U18" s="515" t="str">
        <f>'CORTE 4200'!B244</f>
        <v>Fecha</v>
      </c>
      <c r="V18" s="515">
        <f>'CORTE 4200'!C244</f>
        <v>0</v>
      </c>
      <c r="W18" s="515" t="str">
        <f>'CORTE 4200'!D244</f>
        <v>B2868-V3</v>
      </c>
      <c r="X18" s="516">
        <f>'CORTE 4200'!E244</f>
        <v>0</v>
      </c>
      <c r="Y18" s="530" t="str">
        <f>'CORTE 4200'!F244</f>
        <v>Venta</v>
      </c>
      <c r="Z18" s="517">
        <f>'CORTE 4200'!G244</f>
        <v>0</v>
      </c>
      <c r="AA18" s="518">
        <f>'CORTE 4200'!H244</f>
        <v>58</v>
      </c>
      <c r="AB18" s="518">
        <f>'CORTE 4200'!I244</f>
        <v>127</v>
      </c>
      <c r="AC18" s="518">
        <f>'CORTE 4200'!J244</f>
        <v>133</v>
      </c>
      <c r="AD18" s="518">
        <f>'CORTE 4200'!K244</f>
        <v>131</v>
      </c>
      <c r="AE18" s="518">
        <f>'CORTE 4200'!L244</f>
        <v>84</v>
      </c>
      <c r="AF18" s="518">
        <f>'CORTE 4200'!M244</f>
        <v>69</v>
      </c>
      <c r="AG18" s="518">
        <f>'CORTE 4200'!N244</f>
        <v>0</v>
      </c>
      <c r="AH18" s="629">
        <f>'CORTE 4200'!O244</f>
        <v>602</v>
      </c>
      <c r="AI18" s="620"/>
      <c r="AJ18" s="608"/>
      <c r="AK18" s="609"/>
      <c r="AL18" s="610"/>
    </row>
    <row r="19" spans="1:38" ht="27.75" thickTop="1" thickBot="1">
      <c r="A19" s="284" t="str">
        <f>'CORTE 4200'!A169</f>
        <v>4209-00</v>
      </c>
      <c r="B19" s="47">
        <f>'CORTE 4200'!B169</f>
        <v>0</v>
      </c>
      <c r="C19" s="47">
        <f>'CORTE 4200'!C169</f>
        <v>0</v>
      </c>
      <c r="D19" s="47">
        <f>'CORTE 4200'!D169</f>
        <v>0</v>
      </c>
      <c r="E19" s="48" t="str">
        <f>'CORTE 4200'!E169</f>
        <v>Saldo</v>
      </c>
      <c r="F19" s="49" t="str">
        <f>'CORTE 4200'!F169</f>
        <v>B2868-V3</v>
      </c>
      <c r="G19" s="48">
        <f>'CORTE 4200'!G169</f>
        <v>0</v>
      </c>
      <c r="H19" s="48">
        <f>'CORTE 4200'!H169</f>
        <v>1</v>
      </c>
      <c r="I19" s="48">
        <f>'CORTE 4200'!I169</f>
        <v>5</v>
      </c>
      <c r="J19" s="48">
        <f>'CORTE 4200'!J169</f>
        <v>2</v>
      </c>
      <c r="K19" s="48">
        <f>'CORTE 4200'!K169</f>
        <v>3</v>
      </c>
      <c r="L19" s="48">
        <f>'CORTE 4200'!L169</f>
        <v>4</v>
      </c>
      <c r="M19" s="48">
        <f>'CORTE 4200'!M169</f>
        <v>-5</v>
      </c>
      <c r="N19" s="48">
        <f>'CORTE 4200'!N169</f>
        <v>0</v>
      </c>
      <c r="O19" s="48">
        <f>'CORTE 4200'!O169</f>
        <v>10</v>
      </c>
      <c r="S19" s="519"/>
      <c r="T19" s="546" t="str">
        <f>'CORTE 4200'!A253</f>
        <v>4214-01</v>
      </c>
      <c r="U19" s="39" t="str">
        <f>'CORTE 4200'!B253</f>
        <v>Fecha</v>
      </c>
      <c r="V19" s="39">
        <f>'CORTE 4200'!C253</f>
        <v>0</v>
      </c>
      <c r="W19" s="39" t="str">
        <f>'CORTE 4200'!D253</f>
        <v>B2868-V3</v>
      </c>
      <c r="X19" s="40">
        <f>'CORTE 4200'!E253</f>
        <v>0</v>
      </c>
      <c r="Y19" s="531" t="str">
        <f>'CORTE 4200'!F253</f>
        <v>Venta</v>
      </c>
      <c r="Z19" s="261">
        <f>'CORTE 4200'!G253</f>
        <v>0</v>
      </c>
      <c r="AA19" s="262">
        <f>'CORTE 4200'!H253</f>
        <v>18</v>
      </c>
      <c r="AB19" s="262">
        <f>'CORTE 4200'!I253</f>
        <v>37</v>
      </c>
      <c r="AC19" s="262">
        <f>'CORTE 4200'!J253</f>
        <v>47</v>
      </c>
      <c r="AD19" s="262">
        <f>'CORTE 4200'!K253</f>
        <v>40</v>
      </c>
      <c r="AE19" s="262">
        <f>'CORTE 4200'!L253</f>
        <v>30</v>
      </c>
      <c r="AF19" s="262">
        <f>'CORTE 4200'!M253</f>
        <v>23</v>
      </c>
      <c r="AG19" s="262">
        <f>'CORTE 4200'!N253</f>
        <v>0</v>
      </c>
      <c r="AH19" s="168">
        <f>'CORTE 4200'!O253</f>
        <v>195</v>
      </c>
      <c r="AI19" s="621"/>
      <c r="AJ19" s="27"/>
      <c r="AK19" s="612"/>
      <c r="AL19" s="613"/>
    </row>
    <row r="20" spans="1:38" ht="27.75" thickTop="1" thickBot="1">
      <c r="A20" s="315" t="str">
        <f>'CORTE 4200'!A178</f>
        <v>4210-00</v>
      </c>
      <c r="B20" s="47">
        <f>'CORTE 4200'!B178</f>
        <v>0</v>
      </c>
      <c r="C20" s="47">
        <f>'CORTE 4200'!C178</f>
        <v>0</v>
      </c>
      <c r="D20" s="47">
        <f>'CORTE 4200'!D178</f>
        <v>0</v>
      </c>
      <c r="E20" s="48" t="str">
        <f>'CORTE 4200'!E178</f>
        <v>Saldo</v>
      </c>
      <c r="F20" s="49" t="str">
        <f>'CORTE 4200'!F178</f>
        <v>Ayla</v>
      </c>
      <c r="G20" s="48">
        <f>'CORTE 4200'!G178</f>
        <v>0</v>
      </c>
      <c r="H20" s="48">
        <f>'CORTE 4200'!H178</f>
        <v>-1</v>
      </c>
      <c r="I20" s="48">
        <f>'CORTE 4200'!I178</f>
        <v>-3</v>
      </c>
      <c r="J20" s="48">
        <f>'CORTE 4200'!J178</f>
        <v>-4</v>
      </c>
      <c r="K20" s="48">
        <f>'CORTE 4200'!K178</f>
        <v>-6</v>
      </c>
      <c r="L20" s="48">
        <f>'CORTE 4200'!L178</f>
        <v>-3</v>
      </c>
      <c r="M20" s="48">
        <f>'CORTE 4200'!M178</f>
        <v>-3</v>
      </c>
      <c r="N20" s="48">
        <f>'CORTE 4200'!N178</f>
        <v>0</v>
      </c>
      <c r="O20" s="48">
        <f>'CORTE 4200'!O178</f>
        <v>-20</v>
      </c>
      <c r="S20" s="519"/>
      <c r="T20" s="546" t="str">
        <f>'CORTE 4200'!A262</f>
        <v>4214-02</v>
      </c>
      <c r="U20" s="39" t="str">
        <f>'CORTE 4200'!B262</f>
        <v>Fecha</v>
      </c>
      <c r="V20" s="39">
        <f>'CORTE 4200'!C262</f>
        <v>0</v>
      </c>
      <c r="W20" s="39" t="str">
        <f>'CORTE 4200'!D262</f>
        <v>B2868-V3</v>
      </c>
      <c r="X20" s="40">
        <f>'CORTE 4200'!E262</f>
        <v>0</v>
      </c>
      <c r="Y20" s="531" t="str">
        <f>'CORTE 4200'!F262</f>
        <v>Venta</v>
      </c>
      <c r="Z20" s="261">
        <f>'CORTE 4200'!G262</f>
        <v>0</v>
      </c>
      <c r="AA20" s="262">
        <f>'CORTE 4200'!H262</f>
        <v>20</v>
      </c>
      <c r="AB20" s="262">
        <f>'CORTE 4200'!I262</f>
        <v>49</v>
      </c>
      <c r="AC20" s="262">
        <f>'CORTE 4200'!J262</f>
        <v>50</v>
      </c>
      <c r="AD20" s="262">
        <f>'CORTE 4200'!K262</f>
        <v>48</v>
      </c>
      <c r="AE20" s="262">
        <f>'CORTE 4200'!L262</f>
        <v>35</v>
      </c>
      <c r="AF20" s="262">
        <f>'CORTE 4200'!M262</f>
        <v>29</v>
      </c>
      <c r="AG20" s="262">
        <f>'CORTE 4200'!N262</f>
        <v>0</v>
      </c>
      <c r="AH20" s="168">
        <f>'CORTE 4200'!O262</f>
        <v>231</v>
      </c>
      <c r="AI20" s="621"/>
      <c r="AJ20" s="27"/>
      <c r="AK20" s="612"/>
      <c r="AL20" s="613"/>
    </row>
    <row r="21" spans="1:38" ht="27.75" thickTop="1" thickBot="1">
      <c r="A21" s="315" t="str">
        <f>'CORTE 4200'!A187</f>
        <v>4210-01</v>
      </c>
      <c r="B21" s="47">
        <f>'CORTE 4200'!B187</f>
        <v>0</v>
      </c>
      <c r="C21" s="47">
        <f>'CORTE 4200'!C187</f>
        <v>0</v>
      </c>
      <c r="D21" s="47">
        <f>'CORTE 4200'!D187</f>
        <v>0</v>
      </c>
      <c r="E21" s="48" t="str">
        <f>'CORTE 4200'!E187</f>
        <v>Saldo</v>
      </c>
      <c r="F21" s="49" t="str">
        <f>'CORTE 4200'!F187</f>
        <v>Ayla</v>
      </c>
      <c r="G21" s="48">
        <f>'CORTE 4200'!G187</f>
        <v>0</v>
      </c>
      <c r="H21" s="48">
        <f>'CORTE 4200'!H187</f>
        <v>-3</v>
      </c>
      <c r="I21" s="48">
        <f>'CORTE 4200'!I187</f>
        <v>-7</v>
      </c>
      <c r="J21" s="48">
        <f>'CORTE 4200'!J187</f>
        <v>-7</v>
      </c>
      <c r="K21" s="48">
        <f>'CORTE 4200'!K187</f>
        <v>-3</v>
      </c>
      <c r="L21" s="48">
        <f>'CORTE 4200'!L187</f>
        <v>-2</v>
      </c>
      <c r="M21" s="48">
        <f>'CORTE 4200'!M187</f>
        <v>-1</v>
      </c>
      <c r="N21" s="48">
        <f>'CORTE 4200'!N187</f>
        <v>0</v>
      </c>
      <c r="O21" s="48">
        <f>'CORTE 4200'!O187</f>
        <v>-23</v>
      </c>
      <c r="S21" s="519"/>
      <c r="T21" s="546" t="str">
        <f>'CORTE 4200'!A271</f>
        <v>4214-60</v>
      </c>
      <c r="U21" s="39" t="str">
        <f>'CORTE 4200'!B271</f>
        <v>Fecha</v>
      </c>
      <c r="V21" s="39">
        <f>'CORTE 4200'!C271</f>
        <v>0</v>
      </c>
      <c r="W21" s="39" t="str">
        <f>'CORTE 4200'!D271</f>
        <v>B2868-V3</v>
      </c>
      <c r="X21" s="40">
        <f>'CORTE 4200'!E271</f>
        <v>0</v>
      </c>
      <c r="Y21" s="531" t="str">
        <f>'CORTE 4200'!F271</f>
        <v>Venta</v>
      </c>
      <c r="Z21" s="261">
        <f>'CORTE 4200'!G271</f>
        <v>0</v>
      </c>
      <c r="AA21" s="262">
        <f>'CORTE 4200'!H271</f>
        <v>19</v>
      </c>
      <c r="AB21" s="262">
        <f>'CORTE 4200'!I271</f>
        <v>30</v>
      </c>
      <c r="AC21" s="262">
        <f>'CORTE 4200'!J271</f>
        <v>28</v>
      </c>
      <c r="AD21" s="262">
        <f>'CORTE 4200'!K271</f>
        <v>22</v>
      </c>
      <c r="AE21" s="262">
        <f>'CORTE 4200'!L271</f>
        <v>11</v>
      </c>
      <c r="AF21" s="262">
        <f>'CORTE 4200'!M271</f>
        <v>6</v>
      </c>
      <c r="AG21" s="262">
        <f>'CORTE 4200'!N271</f>
        <v>0</v>
      </c>
      <c r="AH21" s="168">
        <f>'CORTE 4200'!O271</f>
        <v>116</v>
      </c>
      <c r="AI21" s="622">
        <f>+SUM(AH18:AH21)</f>
        <v>1144</v>
      </c>
      <c r="AJ21" s="615">
        <f>+SUM(AH23:AH26)</f>
        <v>76</v>
      </c>
      <c r="AK21" s="612">
        <v>50</v>
      </c>
      <c r="AL21" s="613"/>
    </row>
    <row r="22" spans="1:38" ht="25.5" thickTop="1" thickBot="1">
      <c r="A22" s="320" t="str">
        <f>'CORTE 4200'!A196</f>
        <v>4211-00</v>
      </c>
      <c r="B22" s="47">
        <f>'CORTE 4200'!B196</f>
        <v>0</v>
      </c>
      <c r="C22" s="47">
        <f>'CORTE 4200'!C196</f>
        <v>0</v>
      </c>
      <c r="D22" s="47">
        <f>'CORTE 4200'!D196</f>
        <v>0</v>
      </c>
      <c r="E22" s="48" t="str">
        <f>'CORTE 4200'!E196</f>
        <v>Saldo</v>
      </c>
      <c r="F22" s="49" t="str">
        <f>'CORTE 4200'!F196</f>
        <v>Ayla</v>
      </c>
      <c r="G22" s="48">
        <f>'CORTE 4200'!G196</f>
        <v>0</v>
      </c>
      <c r="H22" s="48">
        <f>'CORTE 4200'!H196</f>
        <v>-14</v>
      </c>
      <c r="I22" s="48">
        <f>'CORTE 4200'!I196</f>
        <v>-17</v>
      </c>
      <c r="J22" s="48">
        <f>'CORTE 4200'!J196</f>
        <v>-21</v>
      </c>
      <c r="K22" s="48">
        <f>'CORTE 4200'!K196</f>
        <v>-23</v>
      </c>
      <c r="L22" s="48">
        <f>'CORTE 4200'!L196</f>
        <v>-24</v>
      </c>
      <c r="M22" s="48">
        <f>'CORTE 4200'!M196</f>
        <v>-11</v>
      </c>
      <c r="N22" s="48">
        <f>'CORTE 4200'!N196</f>
        <v>0</v>
      </c>
      <c r="O22" s="48">
        <f>'CORTE 4200'!O196</f>
        <v>-110</v>
      </c>
      <c r="S22" s="519"/>
      <c r="AI22" s="613"/>
      <c r="AJ22" s="27"/>
      <c r="AK22" s="612"/>
      <c r="AL22" s="613"/>
    </row>
    <row r="23" spans="1:38" ht="25.5" thickTop="1" thickBot="1">
      <c r="A23" s="320" t="str">
        <f>'CORTE 4200'!A205</f>
        <v>4211-01</v>
      </c>
      <c r="B23" s="47">
        <f>'CORTE 4200'!B205</f>
        <v>0</v>
      </c>
      <c r="C23" s="47">
        <f>'CORTE 4200'!C205</f>
        <v>0</v>
      </c>
      <c r="D23" s="47">
        <f>'CORTE 4200'!D205</f>
        <v>0</v>
      </c>
      <c r="E23" s="48" t="str">
        <f>'CORTE 4200'!E205</f>
        <v>Saldo</v>
      </c>
      <c r="F23" s="49" t="str">
        <f>'CORTE 4200'!F205</f>
        <v>Ayla</v>
      </c>
      <c r="G23" s="48">
        <f>'CORTE 4200'!G205</f>
        <v>0</v>
      </c>
      <c r="H23" s="48">
        <f>'CORTE 4200'!H205</f>
        <v>4</v>
      </c>
      <c r="I23" s="48">
        <f>'CORTE 4200'!I205</f>
        <v>7</v>
      </c>
      <c r="J23" s="48">
        <f>'CORTE 4200'!J205</f>
        <v>7</v>
      </c>
      <c r="K23" s="48">
        <f>'CORTE 4200'!K205</f>
        <v>6</v>
      </c>
      <c r="L23" s="48">
        <f>'CORTE 4200'!L205</f>
        <v>5</v>
      </c>
      <c r="M23" s="48">
        <f>'CORTE 4200'!M205</f>
        <v>5</v>
      </c>
      <c r="N23" s="48">
        <f>'CORTE 4200'!N205</f>
        <v>0</v>
      </c>
      <c r="O23" s="48">
        <f>'CORTE 4200'!O205</f>
        <v>34</v>
      </c>
      <c r="S23" s="532" t="s">
        <v>289</v>
      </c>
      <c r="T23" s="547" t="str">
        <f t="shared" ref="T23:AH26" si="2">A28</f>
        <v>4214-00</v>
      </c>
      <c r="U23" s="47">
        <f t="shared" si="2"/>
        <v>0</v>
      </c>
      <c r="V23" s="47">
        <f t="shared" si="2"/>
        <v>0</v>
      </c>
      <c r="W23" s="47">
        <f t="shared" si="2"/>
        <v>0</v>
      </c>
      <c r="X23" s="48" t="str">
        <f t="shared" si="2"/>
        <v>Saldo</v>
      </c>
      <c r="Y23" s="49" t="str">
        <f t="shared" si="2"/>
        <v>B2868-V3</v>
      </c>
      <c r="Z23" s="48">
        <f t="shared" si="2"/>
        <v>0</v>
      </c>
      <c r="AA23" s="48">
        <f t="shared" si="2"/>
        <v>-4</v>
      </c>
      <c r="AB23" s="48">
        <f t="shared" si="2"/>
        <v>18</v>
      </c>
      <c r="AC23" s="48">
        <f t="shared" si="2"/>
        <v>18</v>
      </c>
      <c r="AD23" s="48">
        <f t="shared" si="2"/>
        <v>17</v>
      </c>
      <c r="AE23" s="48">
        <f t="shared" si="2"/>
        <v>2</v>
      </c>
      <c r="AF23" s="48">
        <f t="shared" si="2"/>
        <v>-9</v>
      </c>
      <c r="AG23" s="48">
        <f t="shared" si="2"/>
        <v>0</v>
      </c>
      <c r="AH23" s="631">
        <f t="shared" si="2"/>
        <v>42</v>
      </c>
      <c r="AI23" s="616"/>
      <c r="AJ23" s="27"/>
      <c r="AK23" s="612"/>
      <c r="AL23" s="613"/>
    </row>
    <row r="24" spans="1:38" ht="25.5" thickTop="1" thickBot="1">
      <c r="A24" s="284" t="str">
        <f>'CORTE 4200'!A214</f>
        <v>4212-00</v>
      </c>
      <c r="B24" s="47">
        <f>'CORTE 4200'!B214</f>
        <v>0</v>
      </c>
      <c r="C24" s="47">
        <f>'CORTE 4200'!C214</f>
        <v>0</v>
      </c>
      <c r="D24" s="47">
        <f>'CORTE 4200'!D214</f>
        <v>0</v>
      </c>
      <c r="E24" s="48" t="str">
        <f>'CORTE 4200'!E214</f>
        <v>Saldo</v>
      </c>
      <c r="F24" s="49">
        <f>'CORTE 4200'!F214</f>
        <v>0</v>
      </c>
      <c r="G24" s="48">
        <f>'CORTE 4200'!G214</f>
        <v>0</v>
      </c>
      <c r="H24" s="48">
        <f>'CORTE 4200'!H214</f>
        <v>2</v>
      </c>
      <c r="I24" s="48">
        <f>'CORTE 4200'!I214</f>
        <v>3</v>
      </c>
      <c r="J24" s="48">
        <f>'CORTE 4200'!J214</f>
        <v>3</v>
      </c>
      <c r="K24" s="48">
        <f>'CORTE 4200'!K214</f>
        <v>3</v>
      </c>
      <c r="L24" s="48">
        <f>'CORTE 4200'!L214</f>
        <v>2</v>
      </c>
      <c r="M24" s="48">
        <f>'CORTE 4200'!M214</f>
        <v>1</v>
      </c>
      <c r="N24" s="48">
        <f>'CORTE 4200'!N214</f>
        <v>0</v>
      </c>
      <c r="O24" s="48">
        <f>'CORTE 4200'!O214</f>
        <v>14</v>
      </c>
      <c r="S24" s="532" t="s">
        <v>289</v>
      </c>
      <c r="T24" s="547" t="str">
        <f t="shared" si="2"/>
        <v>4214-01</v>
      </c>
      <c r="U24" s="47">
        <f t="shared" si="2"/>
        <v>0</v>
      </c>
      <c r="V24" s="47">
        <f t="shared" si="2"/>
        <v>0</v>
      </c>
      <c r="W24" s="47">
        <f t="shared" si="2"/>
        <v>0</v>
      </c>
      <c r="X24" s="48" t="str">
        <f t="shared" si="2"/>
        <v>Saldo</v>
      </c>
      <c r="Y24" s="49" t="str">
        <f t="shared" si="2"/>
        <v>B2868-V3</v>
      </c>
      <c r="Z24" s="48">
        <f t="shared" si="2"/>
        <v>0</v>
      </c>
      <c r="AA24" s="48">
        <f t="shared" si="2"/>
        <v>4</v>
      </c>
      <c r="AB24" s="48">
        <f t="shared" si="2"/>
        <v>4</v>
      </c>
      <c r="AC24" s="48">
        <f t="shared" si="2"/>
        <v>4</v>
      </c>
      <c r="AD24" s="48">
        <f t="shared" si="2"/>
        <v>4</v>
      </c>
      <c r="AE24" s="48">
        <f t="shared" si="2"/>
        <v>3</v>
      </c>
      <c r="AF24" s="48">
        <f t="shared" si="2"/>
        <v>3</v>
      </c>
      <c r="AG24" s="48">
        <f t="shared" si="2"/>
        <v>0</v>
      </c>
      <c r="AH24" s="631">
        <f t="shared" si="2"/>
        <v>22</v>
      </c>
      <c r="AI24" s="613"/>
      <c r="AJ24" s="27"/>
      <c r="AK24" s="612"/>
      <c r="AL24" s="613"/>
    </row>
    <row r="25" spans="1:38" ht="25.5" thickTop="1" thickBot="1">
      <c r="A25" s="325" t="str">
        <f>'CORTE 4200'!A223</f>
        <v>4213-00</v>
      </c>
      <c r="B25" s="47">
        <f>'CORTE 4200'!B223</f>
        <v>0</v>
      </c>
      <c r="C25" s="47">
        <f>'CORTE 4200'!C223</f>
        <v>0</v>
      </c>
      <c r="D25" s="47">
        <f>'CORTE 4200'!D223</f>
        <v>0</v>
      </c>
      <c r="E25" s="48" t="str">
        <f>'CORTE 4200'!E223</f>
        <v>Saldo</v>
      </c>
      <c r="F25" s="49" t="str">
        <f>'CORTE 4200'!F223</f>
        <v>B2868-V3</v>
      </c>
      <c r="G25" s="48">
        <f>'CORTE 4200'!G223</f>
        <v>0</v>
      </c>
      <c r="H25" s="48">
        <f>'CORTE 4200'!H223</f>
        <v>-8</v>
      </c>
      <c r="I25" s="48">
        <f>'CORTE 4200'!I223</f>
        <v>5</v>
      </c>
      <c r="J25" s="48">
        <f>'CORTE 4200'!J223</f>
        <v>4</v>
      </c>
      <c r="K25" s="48">
        <f>'CORTE 4200'!K223</f>
        <v>8</v>
      </c>
      <c r="L25" s="48">
        <f>'CORTE 4200'!L223</f>
        <v>6</v>
      </c>
      <c r="M25" s="48">
        <f>'CORTE 4200'!M223</f>
        <v>14</v>
      </c>
      <c r="N25" s="48">
        <f>'CORTE 4200'!N223</f>
        <v>0</v>
      </c>
      <c r="O25" s="48">
        <f>'CORTE 4200'!O223</f>
        <v>29</v>
      </c>
      <c r="S25" s="532" t="s">
        <v>289</v>
      </c>
      <c r="T25" s="547" t="str">
        <f t="shared" si="2"/>
        <v>4214-02</v>
      </c>
      <c r="U25" s="47">
        <f t="shared" si="2"/>
        <v>0</v>
      </c>
      <c r="V25" s="47">
        <f t="shared" si="2"/>
        <v>0</v>
      </c>
      <c r="W25" s="47">
        <f t="shared" si="2"/>
        <v>0</v>
      </c>
      <c r="X25" s="48" t="str">
        <f t="shared" si="2"/>
        <v>Saldo</v>
      </c>
      <c r="Y25" s="49" t="str">
        <f t="shared" si="2"/>
        <v>B2868-V3</v>
      </c>
      <c r="Z25" s="48">
        <f t="shared" si="2"/>
        <v>0</v>
      </c>
      <c r="AA25" s="48">
        <f t="shared" si="2"/>
        <v>0</v>
      </c>
      <c r="AB25" s="48">
        <f t="shared" si="2"/>
        <v>1</v>
      </c>
      <c r="AC25" s="48">
        <f t="shared" si="2"/>
        <v>4</v>
      </c>
      <c r="AD25" s="48">
        <f t="shared" si="2"/>
        <v>1</v>
      </c>
      <c r="AE25" s="48">
        <f t="shared" si="2"/>
        <v>0</v>
      </c>
      <c r="AF25" s="48">
        <f t="shared" si="2"/>
        <v>0</v>
      </c>
      <c r="AG25" s="48">
        <f t="shared" si="2"/>
        <v>0</v>
      </c>
      <c r="AH25" s="631">
        <f t="shared" si="2"/>
        <v>6</v>
      </c>
      <c r="AI25" s="613"/>
      <c r="AJ25" s="27"/>
      <c r="AK25" s="612"/>
      <c r="AL25" s="613"/>
    </row>
    <row r="26" spans="1:38" ht="25.5" thickTop="1" thickBot="1">
      <c r="A26" s="325" t="str">
        <f>'CORTE 4200'!A232</f>
        <v>4213-01</v>
      </c>
      <c r="B26" s="47">
        <f>'CORTE 4200'!B232</f>
        <v>0</v>
      </c>
      <c r="C26" s="47">
        <f>'CORTE 4200'!C232</f>
        <v>0</v>
      </c>
      <c r="D26" s="47">
        <f>'CORTE 4200'!D232</f>
        <v>0</v>
      </c>
      <c r="E26" s="48" t="str">
        <f>'CORTE 4200'!E232</f>
        <v>Saldo</v>
      </c>
      <c r="F26" s="49" t="str">
        <f>'CORTE 4200'!F232</f>
        <v>B2868-V3</v>
      </c>
      <c r="G26" s="48">
        <f>'CORTE 4200'!G232</f>
        <v>0</v>
      </c>
      <c r="H26" s="48">
        <f>'CORTE 4200'!H232</f>
        <v>-3</v>
      </c>
      <c r="I26" s="48">
        <f>'CORTE 4200'!I232</f>
        <v>-3</v>
      </c>
      <c r="J26" s="48">
        <f>'CORTE 4200'!J232</f>
        <v>-7</v>
      </c>
      <c r="K26" s="48">
        <f>'CORTE 4200'!K232</f>
        <v>-3</v>
      </c>
      <c r="L26" s="48">
        <f>'CORTE 4200'!L232</f>
        <v>-6</v>
      </c>
      <c r="M26" s="48">
        <f>'CORTE 4200'!M232</f>
        <v>4</v>
      </c>
      <c r="N26" s="48">
        <f>'CORTE 4200'!N232</f>
        <v>0</v>
      </c>
      <c r="O26" s="48">
        <f>'CORTE 4200'!O232</f>
        <v>-18</v>
      </c>
      <c r="S26" s="533" t="s">
        <v>289</v>
      </c>
      <c r="T26" s="548" t="str">
        <f t="shared" si="2"/>
        <v>4214-60</v>
      </c>
      <c r="U26" s="520">
        <f t="shared" si="2"/>
        <v>0</v>
      </c>
      <c r="V26" s="520">
        <f t="shared" si="2"/>
        <v>0</v>
      </c>
      <c r="W26" s="520">
        <f t="shared" si="2"/>
        <v>0</v>
      </c>
      <c r="X26" s="521" t="str">
        <f t="shared" si="2"/>
        <v>Saldo</v>
      </c>
      <c r="Y26" s="522" t="str">
        <f t="shared" si="2"/>
        <v>B2868-V3</v>
      </c>
      <c r="Z26" s="521">
        <f t="shared" si="2"/>
        <v>0</v>
      </c>
      <c r="AA26" s="521">
        <f t="shared" si="2"/>
        <v>9</v>
      </c>
      <c r="AB26" s="521">
        <f t="shared" si="2"/>
        <v>1</v>
      </c>
      <c r="AC26" s="521">
        <f t="shared" si="2"/>
        <v>-2</v>
      </c>
      <c r="AD26" s="521">
        <f t="shared" si="2"/>
        <v>0</v>
      </c>
      <c r="AE26" s="521">
        <f t="shared" si="2"/>
        <v>-1</v>
      </c>
      <c r="AF26" s="521">
        <f t="shared" si="2"/>
        <v>-1</v>
      </c>
      <c r="AG26" s="521">
        <f t="shared" si="2"/>
        <v>0</v>
      </c>
      <c r="AH26" s="632">
        <f t="shared" si="2"/>
        <v>6</v>
      </c>
      <c r="AI26" s="619"/>
      <c r="AJ26" s="617"/>
      <c r="AK26" s="618"/>
      <c r="AL26" s="619"/>
    </row>
    <row r="27" spans="1:38" ht="25.5" thickTop="1" thickBot="1">
      <c r="A27" s="325" t="str">
        <f>'CORTE 4200'!A241</f>
        <v>4213-02</v>
      </c>
      <c r="B27" s="47">
        <f>'CORTE 4200'!B241</f>
        <v>0</v>
      </c>
      <c r="C27" s="47">
        <f>'CORTE 4200'!C241</f>
        <v>0</v>
      </c>
      <c r="D27" s="47">
        <f>'CORTE 4200'!D241</f>
        <v>0</v>
      </c>
      <c r="E27" s="48" t="str">
        <f>'CORTE 4200'!E241</f>
        <v>Saldo</v>
      </c>
      <c r="F27" s="49" t="str">
        <f>'CORTE 4200'!F241</f>
        <v>B2868-V3</v>
      </c>
      <c r="G27" s="48">
        <f>'CORTE 4200'!G241</f>
        <v>0</v>
      </c>
      <c r="H27" s="48">
        <f>'CORTE 4200'!H241</f>
        <v>2</v>
      </c>
      <c r="I27" s="48">
        <f>'CORTE 4200'!I241</f>
        <v>3</v>
      </c>
      <c r="J27" s="48">
        <f>'CORTE 4200'!J241</f>
        <v>3</v>
      </c>
      <c r="K27" s="48">
        <f>'CORTE 4200'!K241</f>
        <v>3</v>
      </c>
      <c r="L27" s="48">
        <f>'CORTE 4200'!L241</f>
        <v>2</v>
      </c>
      <c r="M27" s="48">
        <f>'CORTE 4200'!M241</f>
        <v>2</v>
      </c>
      <c r="N27" s="48">
        <f>'CORTE 4200'!N241</f>
        <v>0</v>
      </c>
      <c r="O27" s="48">
        <f>'CORTE 4200'!O241</f>
        <v>15</v>
      </c>
      <c r="AI27" s="27"/>
      <c r="AJ27" s="27"/>
      <c r="AK27" s="27"/>
      <c r="AL27" s="27"/>
    </row>
    <row r="28" spans="1:38" ht="27.75" thickTop="1" thickBot="1">
      <c r="A28" s="332" t="str">
        <f>'CORTE 4200'!A250</f>
        <v>4214-00</v>
      </c>
      <c r="B28" s="47">
        <f>'CORTE 4200'!B250</f>
        <v>0</v>
      </c>
      <c r="C28" s="47">
        <f>'CORTE 4200'!C250</f>
        <v>0</v>
      </c>
      <c r="D28" s="47">
        <f>'CORTE 4200'!D250</f>
        <v>0</v>
      </c>
      <c r="E28" s="48" t="str">
        <f>'CORTE 4200'!E250</f>
        <v>Saldo</v>
      </c>
      <c r="F28" s="49" t="str">
        <f>'CORTE 4200'!F250</f>
        <v>B2868-V3</v>
      </c>
      <c r="G28" s="48">
        <f>'CORTE 4200'!G250</f>
        <v>0</v>
      </c>
      <c r="H28" s="48">
        <f>'CORTE 4200'!H250</f>
        <v>-4</v>
      </c>
      <c r="I28" s="48">
        <f>'CORTE 4200'!I250</f>
        <v>18</v>
      </c>
      <c r="J28" s="48">
        <f>'CORTE 4200'!J250</f>
        <v>18</v>
      </c>
      <c r="K28" s="48">
        <f>'CORTE 4200'!K250</f>
        <v>17</v>
      </c>
      <c r="L28" s="48">
        <f>'CORTE 4200'!L250</f>
        <v>2</v>
      </c>
      <c r="M28" s="48">
        <f>'CORTE 4200'!M250</f>
        <v>-9</v>
      </c>
      <c r="N28" s="48">
        <f>'CORTE 4200'!N250</f>
        <v>0</v>
      </c>
      <c r="O28" s="48">
        <f>'CORTE 4200'!O250</f>
        <v>42</v>
      </c>
      <c r="S28" s="606" t="s">
        <v>292</v>
      </c>
      <c r="T28" s="549" t="str">
        <f>'CORTE 4200'!A460</f>
        <v>4227-00</v>
      </c>
      <c r="U28" s="515" t="str">
        <f>'CORTE 4200'!B460</f>
        <v>Fecha</v>
      </c>
      <c r="V28" s="515">
        <f>'CORTE 4200'!C460</f>
        <v>0</v>
      </c>
      <c r="W28" s="515" t="str">
        <f>'CORTE 4200'!D460</f>
        <v>New Glue</v>
      </c>
      <c r="X28" s="516">
        <f>'CORTE 4200'!E460</f>
        <v>0</v>
      </c>
      <c r="Y28" s="530" t="str">
        <f>'CORTE 4200'!F460</f>
        <v>Venta</v>
      </c>
      <c r="Z28" s="517">
        <f>'CORTE 4200'!G460</f>
        <v>0</v>
      </c>
      <c r="AA28" s="518">
        <f>'CORTE 4200'!H460</f>
        <v>43</v>
      </c>
      <c r="AB28" s="518">
        <f>'CORTE 4200'!I460</f>
        <v>103</v>
      </c>
      <c r="AC28" s="518">
        <f>'CORTE 4200'!J460</f>
        <v>110</v>
      </c>
      <c r="AD28" s="518">
        <f>'CORTE 4200'!K460</f>
        <v>105</v>
      </c>
      <c r="AE28" s="518">
        <f>'CORTE 4200'!L460</f>
        <v>77</v>
      </c>
      <c r="AF28" s="518">
        <f>'CORTE 4200'!M460</f>
        <v>56</v>
      </c>
      <c r="AG28" s="518">
        <f>'CORTE 4200'!N460</f>
        <v>0</v>
      </c>
      <c r="AH28" s="629">
        <f>'CORTE 4200'!O460</f>
        <v>494</v>
      </c>
      <c r="AI28" s="610"/>
      <c r="AJ28" s="608"/>
      <c r="AK28" s="609"/>
      <c r="AL28" s="610"/>
    </row>
    <row r="29" spans="1:38" ht="27.75" thickTop="1" thickBot="1">
      <c r="A29" s="332" t="str">
        <f>'CORTE 4200'!A259</f>
        <v>4214-01</v>
      </c>
      <c r="B29" s="47">
        <f>'CORTE 4200'!B259</f>
        <v>0</v>
      </c>
      <c r="C29" s="47">
        <f>'CORTE 4200'!C259</f>
        <v>0</v>
      </c>
      <c r="D29" s="47">
        <f>'CORTE 4200'!D259</f>
        <v>0</v>
      </c>
      <c r="E29" s="48" t="str">
        <f>'CORTE 4200'!E259</f>
        <v>Saldo</v>
      </c>
      <c r="F29" s="49" t="str">
        <f>'CORTE 4200'!F259</f>
        <v>B2868-V3</v>
      </c>
      <c r="G29" s="48">
        <f>'CORTE 4200'!G259</f>
        <v>0</v>
      </c>
      <c r="H29" s="48">
        <f>'CORTE 4200'!H259</f>
        <v>4</v>
      </c>
      <c r="I29" s="48">
        <f>'CORTE 4200'!I259</f>
        <v>4</v>
      </c>
      <c r="J29" s="48">
        <f>'CORTE 4200'!J259</f>
        <v>4</v>
      </c>
      <c r="K29" s="48">
        <f>'CORTE 4200'!K259</f>
        <v>4</v>
      </c>
      <c r="L29" s="48">
        <f>'CORTE 4200'!L259</f>
        <v>3</v>
      </c>
      <c r="M29" s="48">
        <f>'CORTE 4200'!M259</f>
        <v>3</v>
      </c>
      <c r="N29" s="48">
        <f>'CORTE 4200'!N259</f>
        <v>0</v>
      </c>
      <c r="O29" s="48">
        <f>'CORTE 4200'!O259</f>
        <v>22</v>
      </c>
      <c r="S29" s="519"/>
      <c r="T29" s="550" t="str">
        <f>'CORTE 4200'!A469</f>
        <v>4227-01</v>
      </c>
      <c r="U29" s="39" t="str">
        <f>'CORTE 4200'!B469</f>
        <v>Fecha</v>
      </c>
      <c r="V29" s="39">
        <f>'CORTE 4200'!C469</f>
        <v>0</v>
      </c>
      <c r="W29" s="39" t="str">
        <f>'CORTE 4200'!D469</f>
        <v>New Glue</v>
      </c>
      <c r="X29" s="40">
        <f>'CORTE 4200'!E469</f>
        <v>0</v>
      </c>
      <c r="Y29" s="531" t="str">
        <f>'CORTE 4200'!F469</f>
        <v>Venta</v>
      </c>
      <c r="Z29" s="261">
        <f>'CORTE 4200'!G469</f>
        <v>0</v>
      </c>
      <c r="AA29" s="262">
        <f>'CORTE 4200'!H469</f>
        <v>41</v>
      </c>
      <c r="AB29" s="262">
        <f>'CORTE 4200'!I469</f>
        <v>101</v>
      </c>
      <c r="AC29" s="262">
        <f>'CORTE 4200'!J469</f>
        <v>109</v>
      </c>
      <c r="AD29" s="262">
        <f>'CORTE 4200'!K469</f>
        <v>108</v>
      </c>
      <c r="AE29" s="262">
        <f>'CORTE 4200'!L469</f>
        <v>79</v>
      </c>
      <c r="AF29" s="262">
        <f>'CORTE 4200'!M469</f>
        <v>61</v>
      </c>
      <c r="AG29" s="262">
        <f>'CORTE 4200'!N469</f>
        <v>0</v>
      </c>
      <c r="AH29" s="168">
        <f>'CORTE 4200'!O469</f>
        <v>499</v>
      </c>
      <c r="AI29" s="613"/>
      <c r="AJ29" s="27"/>
      <c r="AK29" s="612"/>
      <c r="AL29" s="613"/>
    </row>
    <row r="30" spans="1:38" ht="27.75" thickTop="1" thickBot="1">
      <c r="A30" s="332" t="str">
        <f>'CORTE 4200'!A268</f>
        <v>4214-02</v>
      </c>
      <c r="B30" s="47">
        <f>'CORTE 4200'!B268</f>
        <v>0</v>
      </c>
      <c r="C30" s="47">
        <f>'CORTE 4200'!C268</f>
        <v>0</v>
      </c>
      <c r="D30" s="47">
        <f>'CORTE 4200'!D268</f>
        <v>0</v>
      </c>
      <c r="E30" s="48" t="str">
        <f>'CORTE 4200'!E268</f>
        <v>Saldo</v>
      </c>
      <c r="F30" s="49" t="str">
        <f>'CORTE 4200'!F268</f>
        <v>B2868-V3</v>
      </c>
      <c r="G30" s="48">
        <f>'CORTE 4200'!G268</f>
        <v>0</v>
      </c>
      <c r="H30" s="48">
        <f>'CORTE 4200'!H268</f>
        <v>0</v>
      </c>
      <c r="I30" s="48">
        <f>'CORTE 4200'!I268</f>
        <v>1</v>
      </c>
      <c r="J30" s="48">
        <f>'CORTE 4200'!J268</f>
        <v>4</v>
      </c>
      <c r="K30" s="48">
        <f>'CORTE 4200'!K268</f>
        <v>1</v>
      </c>
      <c r="L30" s="48">
        <f>'CORTE 4200'!L268</f>
        <v>0</v>
      </c>
      <c r="M30" s="48">
        <f>'CORTE 4200'!M268</f>
        <v>0</v>
      </c>
      <c r="N30" s="48">
        <f>'CORTE 4200'!N268</f>
        <v>0</v>
      </c>
      <c r="O30" s="48">
        <f>'CORTE 4200'!O268</f>
        <v>6</v>
      </c>
      <c r="S30" s="519"/>
      <c r="T30" s="550" t="str">
        <f>'CORTE 4200'!A478</f>
        <v>4227-02</v>
      </c>
      <c r="U30" s="39" t="str">
        <f>'CORTE 4200'!B478</f>
        <v>Fecha</v>
      </c>
      <c r="V30" s="39">
        <f>'CORTE 4200'!C478</f>
        <v>0</v>
      </c>
      <c r="W30" s="39" t="str">
        <f>'CORTE 4200'!D478</f>
        <v>New Glue</v>
      </c>
      <c r="X30" s="40">
        <f>'CORTE 4200'!E478</f>
        <v>0</v>
      </c>
      <c r="Y30" s="531" t="str">
        <f>'CORTE 4200'!F478</f>
        <v>Venta</v>
      </c>
      <c r="Z30" s="261">
        <f>'CORTE 4200'!G478</f>
        <v>0</v>
      </c>
      <c r="AA30" s="262">
        <f>'CORTE 4200'!H478</f>
        <v>2</v>
      </c>
      <c r="AB30" s="262">
        <f>'CORTE 4200'!I478</f>
        <v>3</v>
      </c>
      <c r="AC30" s="262">
        <f>'CORTE 4200'!J478</f>
        <v>2</v>
      </c>
      <c r="AD30" s="262">
        <f>'CORTE 4200'!K478</f>
        <v>2</v>
      </c>
      <c r="AE30" s="262">
        <f>'CORTE 4200'!L478</f>
        <v>2</v>
      </c>
      <c r="AF30" s="262">
        <f>'CORTE 4200'!M478</f>
        <v>1</v>
      </c>
      <c r="AG30" s="262">
        <f>'CORTE 4200'!N478</f>
        <v>0</v>
      </c>
      <c r="AH30" s="168">
        <f>'CORTE 4200'!O478</f>
        <v>12</v>
      </c>
      <c r="AI30" s="622">
        <f>+SUM(AH28:AH30)</f>
        <v>1005</v>
      </c>
      <c r="AJ30" s="615">
        <f>+SUM(AH32:AH34)</f>
        <v>-3</v>
      </c>
      <c r="AK30" s="612"/>
      <c r="AL30" s="613"/>
    </row>
    <row r="31" spans="1:38" ht="25.5" thickTop="1" thickBot="1">
      <c r="A31" s="332" t="str">
        <f>'CORTE 4200'!A277</f>
        <v>4214-60</v>
      </c>
      <c r="B31" s="47">
        <f>'CORTE 4200'!B277</f>
        <v>0</v>
      </c>
      <c r="C31" s="47">
        <f>'CORTE 4200'!C277</f>
        <v>0</v>
      </c>
      <c r="D31" s="47">
        <f>'CORTE 4200'!D277</f>
        <v>0</v>
      </c>
      <c r="E31" s="48" t="str">
        <f>'CORTE 4200'!E277</f>
        <v>Saldo</v>
      </c>
      <c r="F31" s="49" t="str">
        <f>'CORTE 4200'!F277</f>
        <v>B2868-V3</v>
      </c>
      <c r="G31" s="48">
        <f>'CORTE 4200'!G277</f>
        <v>0</v>
      </c>
      <c r="H31" s="48">
        <f>'CORTE 4200'!H277</f>
        <v>9</v>
      </c>
      <c r="I31" s="48">
        <f>'CORTE 4200'!I277</f>
        <v>1</v>
      </c>
      <c r="J31" s="48">
        <f>'CORTE 4200'!J277</f>
        <v>-2</v>
      </c>
      <c r="K31" s="48">
        <f>'CORTE 4200'!K277</f>
        <v>0</v>
      </c>
      <c r="L31" s="48">
        <f>'CORTE 4200'!L277</f>
        <v>-1</v>
      </c>
      <c r="M31" s="48">
        <f>'CORTE 4200'!M277</f>
        <v>-1</v>
      </c>
      <c r="N31" s="48">
        <f>'CORTE 4200'!N277</f>
        <v>0</v>
      </c>
      <c r="O31" s="48">
        <f>'CORTE 4200'!O277</f>
        <v>6</v>
      </c>
      <c r="S31" s="523"/>
      <c r="T31" s="551"/>
      <c r="U31" s="514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633"/>
      <c r="AI31" s="621"/>
      <c r="AJ31" s="27"/>
      <c r="AK31" s="623"/>
      <c r="AL31" s="613"/>
    </row>
    <row r="32" spans="1:38" ht="25.5" thickTop="1" thickBot="1">
      <c r="A32" s="284" t="str">
        <f>'CORTE 4200'!A286</f>
        <v>4216-00</v>
      </c>
      <c r="B32" s="47">
        <f>'CORTE 4200'!B286</f>
        <v>0</v>
      </c>
      <c r="C32" s="47">
        <f>'CORTE 4200'!C286</f>
        <v>0</v>
      </c>
      <c r="D32" s="47">
        <f>'CORTE 4200'!D286</f>
        <v>0</v>
      </c>
      <c r="E32" s="48" t="str">
        <f>'CORTE 4200'!E286</f>
        <v>Saldo</v>
      </c>
      <c r="F32" s="49" t="str">
        <f>'CORTE 4200'!F286</f>
        <v>Missy Plus</v>
      </c>
      <c r="G32" s="48">
        <f>'CORTE 4200'!G286</f>
        <v>0</v>
      </c>
      <c r="H32" s="48">
        <f>'CORTE 4200'!H286</f>
        <v>0</v>
      </c>
      <c r="I32" s="48">
        <f>'CORTE 4200'!I286</f>
        <v>5</v>
      </c>
      <c r="J32" s="48">
        <f>'CORTE 4200'!J286</f>
        <v>5</v>
      </c>
      <c r="K32" s="48">
        <f>'CORTE 4200'!K286</f>
        <v>4</v>
      </c>
      <c r="L32" s="48">
        <f>'CORTE 4200'!L286</f>
        <v>3</v>
      </c>
      <c r="M32" s="48">
        <f>'CORTE 4200'!M286</f>
        <v>1</v>
      </c>
      <c r="N32" s="48">
        <f>'CORTE 4200'!N286</f>
        <v>0</v>
      </c>
      <c r="O32" s="48">
        <f>'CORTE 4200'!O286</f>
        <v>18</v>
      </c>
      <c r="S32" s="532" t="s">
        <v>289</v>
      </c>
      <c r="T32" s="552" t="str">
        <f t="shared" ref="T32:AH34" si="3">A52</f>
        <v>4227-00</v>
      </c>
      <c r="U32" s="47">
        <f t="shared" si="3"/>
        <v>0</v>
      </c>
      <c r="V32" s="47">
        <f t="shared" si="3"/>
        <v>0</v>
      </c>
      <c r="W32" s="47">
        <f t="shared" si="3"/>
        <v>0</v>
      </c>
      <c r="X32" s="48" t="str">
        <f t="shared" si="3"/>
        <v>Saldo</v>
      </c>
      <c r="Y32" s="49" t="str">
        <f t="shared" si="3"/>
        <v>New Glue</v>
      </c>
      <c r="Z32" s="48">
        <f t="shared" si="3"/>
        <v>0</v>
      </c>
      <c r="AA32" s="48">
        <f t="shared" si="3"/>
        <v>-7</v>
      </c>
      <c r="AB32" s="48">
        <f t="shared" si="3"/>
        <v>-6</v>
      </c>
      <c r="AC32" s="48">
        <f t="shared" si="3"/>
        <v>-1</v>
      </c>
      <c r="AD32" s="48">
        <f t="shared" si="3"/>
        <v>5</v>
      </c>
      <c r="AE32" s="48">
        <f t="shared" si="3"/>
        <v>6</v>
      </c>
      <c r="AF32" s="48">
        <f t="shared" si="3"/>
        <v>4</v>
      </c>
      <c r="AG32" s="48">
        <f t="shared" si="3"/>
        <v>0</v>
      </c>
      <c r="AH32" s="631">
        <f t="shared" si="3"/>
        <v>1</v>
      </c>
      <c r="AI32" s="621"/>
      <c r="AJ32" s="27"/>
      <c r="AK32" s="623"/>
      <c r="AL32" s="613"/>
    </row>
    <row r="33" spans="1:38" ht="25.5" thickTop="1" thickBot="1">
      <c r="A33" s="284">
        <f>'CORTE 4200'!A295</f>
        <v>4217</v>
      </c>
      <c r="B33" s="47">
        <f>'CORTE 4200'!B295</f>
        <v>0</v>
      </c>
      <c r="C33" s="47">
        <f>'CORTE 4200'!C295</f>
        <v>0</v>
      </c>
      <c r="D33" s="47">
        <f>'CORTE 4200'!D295</f>
        <v>0</v>
      </c>
      <c r="E33" s="48" t="str">
        <f>'CORTE 4200'!E295</f>
        <v>Saldo</v>
      </c>
      <c r="F33" s="49">
        <f>'CORTE 4200'!F295</f>
        <v>0</v>
      </c>
      <c r="G33" s="48">
        <f>'CORTE 4200'!G295</f>
        <v>0</v>
      </c>
      <c r="H33" s="48">
        <f>'CORTE 4200'!H295</f>
        <v>3</v>
      </c>
      <c r="I33" s="48">
        <f>'CORTE 4200'!I295</f>
        <v>7</v>
      </c>
      <c r="J33" s="48">
        <f>'CORTE 4200'!J295</f>
        <v>9</v>
      </c>
      <c r="K33" s="48">
        <f>'CORTE 4200'!K295</f>
        <v>6</v>
      </c>
      <c r="L33" s="48">
        <f>'CORTE 4200'!L295</f>
        <v>3</v>
      </c>
      <c r="M33" s="48">
        <f>'CORTE 4200'!M295</f>
        <v>1</v>
      </c>
      <c r="N33" s="48">
        <f>'CORTE 4200'!N295</f>
        <v>0</v>
      </c>
      <c r="O33" s="48">
        <f>'CORTE 4200'!O295</f>
        <v>29</v>
      </c>
      <c r="S33" s="532" t="s">
        <v>289</v>
      </c>
      <c r="T33" s="552" t="str">
        <f t="shared" si="3"/>
        <v>4227-01</v>
      </c>
      <c r="U33" s="47">
        <f t="shared" si="3"/>
        <v>0</v>
      </c>
      <c r="V33" s="47">
        <f t="shared" si="3"/>
        <v>0</v>
      </c>
      <c r="W33" s="47">
        <f t="shared" si="3"/>
        <v>0</v>
      </c>
      <c r="X33" s="48" t="str">
        <f t="shared" si="3"/>
        <v>Saldo</v>
      </c>
      <c r="Y33" s="49" t="str">
        <f t="shared" si="3"/>
        <v>New Glue</v>
      </c>
      <c r="Z33" s="48">
        <f t="shared" si="3"/>
        <v>0</v>
      </c>
      <c r="AA33" s="48">
        <f t="shared" si="3"/>
        <v>-1</v>
      </c>
      <c r="AB33" s="48">
        <f t="shared" si="3"/>
        <v>-1</v>
      </c>
      <c r="AC33" s="48">
        <f t="shared" si="3"/>
        <v>-2</v>
      </c>
      <c r="AD33" s="48">
        <f t="shared" si="3"/>
        <v>0</v>
      </c>
      <c r="AE33" s="48">
        <f t="shared" si="3"/>
        <v>0</v>
      </c>
      <c r="AF33" s="48">
        <f t="shared" si="3"/>
        <v>0</v>
      </c>
      <c r="AG33" s="48">
        <f t="shared" si="3"/>
        <v>0</v>
      </c>
      <c r="AH33" s="631">
        <f t="shared" si="3"/>
        <v>-4</v>
      </c>
      <c r="AI33" s="621"/>
      <c r="AJ33" s="27"/>
      <c r="AK33" s="623"/>
      <c r="AL33" s="613"/>
    </row>
    <row r="34" spans="1:38" ht="25.5" thickTop="1" thickBot="1">
      <c r="A34" s="341" t="str">
        <f>'CORTE 4200'!A304</f>
        <v>4218-00</v>
      </c>
      <c r="B34" s="47">
        <f>'CORTE 4200'!B304</f>
        <v>0</v>
      </c>
      <c r="C34" s="47">
        <f>'CORTE 4200'!C304</f>
        <v>0</v>
      </c>
      <c r="D34" s="47">
        <f>'CORTE 4200'!D304</f>
        <v>0</v>
      </c>
      <c r="E34" s="48" t="str">
        <f>'CORTE 4200'!E304</f>
        <v>Saldo</v>
      </c>
      <c r="F34" s="49" t="str">
        <f>'CORTE 4200'!F304</f>
        <v>New  Glue</v>
      </c>
      <c r="G34" s="48">
        <f>'CORTE 4200'!G304</f>
        <v>0</v>
      </c>
      <c r="H34" s="48">
        <f>'CORTE 4200'!H304</f>
        <v>-7</v>
      </c>
      <c r="I34" s="48">
        <f>'CORTE 4200'!I304</f>
        <v>-13</v>
      </c>
      <c r="J34" s="48">
        <f>'CORTE 4200'!J304</f>
        <v>-18</v>
      </c>
      <c r="K34" s="48">
        <f>'CORTE 4200'!K304</f>
        <v>-14</v>
      </c>
      <c r="L34" s="48">
        <f>'CORTE 4200'!L304</f>
        <v>-14</v>
      </c>
      <c r="M34" s="48">
        <f>'CORTE 4200'!M304</f>
        <v>-10</v>
      </c>
      <c r="N34" s="48">
        <f>'CORTE 4200'!N304</f>
        <v>0</v>
      </c>
      <c r="O34" s="48">
        <f>'CORTE 4200'!O304</f>
        <v>-76</v>
      </c>
      <c r="S34" s="533" t="s">
        <v>289</v>
      </c>
      <c r="T34" s="553" t="str">
        <f t="shared" si="3"/>
        <v>4227-02</v>
      </c>
      <c r="U34" s="520">
        <f t="shared" si="3"/>
        <v>0</v>
      </c>
      <c r="V34" s="520">
        <f t="shared" si="3"/>
        <v>0</v>
      </c>
      <c r="W34" s="520">
        <f t="shared" si="3"/>
        <v>0</v>
      </c>
      <c r="X34" s="521" t="str">
        <f t="shared" si="3"/>
        <v>Saldo</v>
      </c>
      <c r="Y34" s="522" t="str">
        <f t="shared" si="3"/>
        <v>New Glue</v>
      </c>
      <c r="Z34" s="521">
        <f t="shared" si="3"/>
        <v>0</v>
      </c>
      <c r="AA34" s="521">
        <f t="shared" si="3"/>
        <v>0</v>
      </c>
      <c r="AB34" s="521">
        <f t="shared" si="3"/>
        <v>0</v>
      </c>
      <c r="AC34" s="521">
        <f t="shared" si="3"/>
        <v>0</v>
      </c>
      <c r="AD34" s="521">
        <f t="shared" si="3"/>
        <v>0</v>
      </c>
      <c r="AE34" s="521">
        <f t="shared" si="3"/>
        <v>0</v>
      </c>
      <c r="AF34" s="521">
        <f t="shared" si="3"/>
        <v>0</v>
      </c>
      <c r="AG34" s="521">
        <f t="shared" si="3"/>
        <v>0</v>
      </c>
      <c r="AH34" s="632">
        <f t="shared" si="3"/>
        <v>0</v>
      </c>
      <c r="AI34" s="624"/>
      <c r="AJ34" s="617"/>
      <c r="AK34" s="618"/>
      <c r="AL34" s="619"/>
    </row>
    <row r="35" spans="1:38" ht="25.5" thickTop="1" thickBot="1">
      <c r="A35" s="341" t="str">
        <f>'CORTE 4200'!A313</f>
        <v>4218-01</v>
      </c>
      <c r="B35" s="47">
        <f>'CORTE 4200'!B313</f>
        <v>0</v>
      </c>
      <c r="C35" s="47">
        <f>'CORTE 4200'!C313</f>
        <v>0</v>
      </c>
      <c r="D35" s="47">
        <f>'CORTE 4200'!D313</f>
        <v>0</v>
      </c>
      <c r="E35" s="48" t="str">
        <f>'CORTE 4200'!E313</f>
        <v>Saldo</v>
      </c>
      <c r="F35" s="49" t="str">
        <f>'CORTE 4200'!F313</f>
        <v>New  Glue</v>
      </c>
      <c r="G35" s="48">
        <f>'CORTE 4200'!G313</f>
        <v>0</v>
      </c>
      <c r="H35" s="48">
        <f>'CORTE 4200'!H313</f>
        <v>-4</v>
      </c>
      <c r="I35" s="48">
        <f>'CORTE 4200'!I313</f>
        <v>-3</v>
      </c>
      <c r="J35" s="48">
        <f>'CORTE 4200'!J313</f>
        <v>-10</v>
      </c>
      <c r="K35" s="48">
        <f>'CORTE 4200'!K313</f>
        <v>-9</v>
      </c>
      <c r="L35" s="48">
        <f>'CORTE 4200'!L313</f>
        <v>-4</v>
      </c>
      <c r="M35" s="48">
        <f>'CORTE 4200'!M313</f>
        <v>-4</v>
      </c>
      <c r="N35" s="48">
        <f>'CORTE 4200'!N313</f>
        <v>0</v>
      </c>
      <c r="O35" s="48">
        <f>'CORTE 4200'!O313</f>
        <v>-34</v>
      </c>
      <c r="AI35" s="27"/>
      <c r="AJ35" s="27"/>
      <c r="AK35" s="27"/>
      <c r="AL35" s="27"/>
    </row>
    <row r="36" spans="1:38" ht="27.75" thickTop="1" thickBot="1">
      <c r="A36" s="341" t="str">
        <f>'CORTE 4200'!A322</f>
        <v>4218-02</v>
      </c>
      <c r="B36" s="47">
        <f>'CORTE 4200'!B322</f>
        <v>0</v>
      </c>
      <c r="C36" s="47">
        <f>'CORTE 4200'!C322</f>
        <v>0</v>
      </c>
      <c r="D36" s="47">
        <f>'CORTE 4200'!D322</f>
        <v>0</v>
      </c>
      <c r="E36" s="48" t="str">
        <f>'CORTE 4200'!E322</f>
        <v>Saldo</v>
      </c>
      <c r="F36" s="49" t="str">
        <f>'CORTE 4200'!F322</f>
        <v>New Glue</v>
      </c>
      <c r="G36" s="48">
        <f>'CORTE 4200'!G322</f>
        <v>0</v>
      </c>
      <c r="H36" s="48">
        <f>'CORTE 4200'!H322</f>
        <v>0</v>
      </c>
      <c r="I36" s="48">
        <f>'CORTE 4200'!I322</f>
        <v>0</v>
      </c>
      <c r="J36" s="48">
        <f>'CORTE 4200'!J322</f>
        <v>0</v>
      </c>
      <c r="K36" s="48">
        <f>'CORTE 4200'!K322</f>
        <v>0</v>
      </c>
      <c r="L36" s="48">
        <f>'CORTE 4200'!L322</f>
        <v>0</v>
      </c>
      <c r="M36" s="48">
        <f>'CORTE 4200'!M322</f>
        <v>0</v>
      </c>
      <c r="N36" s="48">
        <f>'CORTE 4200'!N322</f>
        <v>0</v>
      </c>
      <c r="O36" s="48">
        <f>'CORTE 4200'!O322</f>
        <v>0</v>
      </c>
      <c r="S36" s="606" t="s">
        <v>293</v>
      </c>
      <c r="T36" s="554" t="str">
        <f>'CORTE 4200'!A91</f>
        <v>4205-00</v>
      </c>
      <c r="U36" s="515" t="str">
        <f>'CORTE 4200'!B91</f>
        <v>Fecha</v>
      </c>
      <c r="V36" s="515">
        <f>'CORTE 4200'!C91</f>
        <v>0</v>
      </c>
      <c r="W36" s="515" t="str">
        <f>'CORTE 4200'!D91</f>
        <v>Ayla</v>
      </c>
      <c r="X36" s="516">
        <f>'CORTE 4200'!E91</f>
        <v>0</v>
      </c>
      <c r="Y36" s="530" t="str">
        <f>'CORTE 4200'!F91</f>
        <v>Venta</v>
      </c>
      <c r="Z36" s="517">
        <f>'CORTE 4200'!G91</f>
        <v>0</v>
      </c>
      <c r="AA36" s="518">
        <f>'CORTE 4200'!H91</f>
        <v>60</v>
      </c>
      <c r="AB36" s="518">
        <f>'CORTE 4200'!I91</f>
        <v>119</v>
      </c>
      <c r="AC36" s="518">
        <f>'CORTE 4200'!J91</f>
        <v>124</v>
      </c>
      <c r="AD36" s="518">
        <f>'CORTE 4200'!K91</f>
        <v>121</v>
      </c>
      <c r="AE36" s="518">
        <f>'CORTE 4200'!L91</f>
        <v>80</v>
      </c>
      <c r="AF36" s="518">
        <f>'CORTE 4200'!M91</f>
        <v>66</v>
      </c>
      <c r="AG36" s="518">
        <f>'CORTE 4200'!N91</f>
        <v>0</v>
      </c>
      <c r="AH36" s="629">
        <f>'CORTE 4200'!O91</f>
        <v>570</v>
      </c>
      <c r="AI36" s="607"/>
      <c r="AJ36" s="608"/>
      <c r="AK36" s="609"/>
      <c r="AL36" s="610"/>
    </row>
    <row r="37" spans="1:38" ht="27.75" thickTop="1" thickBot="1">
      <c r="A37" s="349" t="str">
        <f>'CORTE 4200'!A331</f>
        <v>4219-00</v>
      </c>
      <c r="B37" s="47">
        <f>'CORTE 4200'!B331</f>
        <v>0</v>
      </c>
      <c r="C37" s="47">
        <f>'CORTE 4200'!C331</f>
        <v>0</v>
      </c>
      <c r="D37" s="47">
        <f>'CORTE 4200'!D331</f>
        <v>0</v>
      </c>
      <c r="E37" s="48" t="str">
        <f>'CORTE 4200'!E331</f>
        <v>Saldo</v>
      </c>
      <c r="F37" s="49" t="str">
        <f>'CORTE 4200'!F331</f>
        <v>Ayla</v>
      </c>
      <c r="G37" s="63">
        <f>'CORTE 4200'!G331</f>
        <v>-73</v>
      </c>
      <c r="H37" s="48">
        <f>'CORTE 4200'!H331</f>
        <v>-97</v>
      </c>
      <c r="I37" s="48">
        <f>'CORTE 4200'!I331</f>
        <v>-107</v>
      </c>
      <c r="J37" s="48">
        <f>'CORTE 4200'!J331</f>
        <v>-105</v>
      </c>
      <c r="K37" s="48">
        <f>'CORTE 4200'!K331</f>
        <v>-93</v>
      </c>
      <c r="L37" s="48">
        <f>'CORTE 4200'!L331</f>
        <v>-72</v>
      </c>
      <c r="M37" s="48">
        <f>'CORTE 4200'!M331</f>
        <v>-36</v>
      </c>
      <c r="N37" s="48">
        <f>'CORTE 4200'!N331</f>
        <v>0</v>
      </c>
      <c r="O37" s="48">
        <f>'CORTE 4200'!O331</f>
        <v>-510</v>
      </c>
      <c r="S37" s="528"/>
      <c r="T37" s="555" t="str">
        <f>'CORTE 4200'!A100</f>
        <v>4205-01</v>
      </c>
      <c r="U37" s="39" t="str">
        <f>'CORTE 4200'!B100</f>
        <v>Fecha</v>
      </c>
      <c r="V37" s="39">
        <f>'CORTE 4200'!C100</f>
        <v>0</v>
      </c>
      <c r="W37" s="39" t="str">
        <f>'CORTE 4200'!D100</f>
        <v>Ayla</v>
      </c>
      <c r="X37" s="40">
        <f>'CORTE 4200'!E100</f>
        <v>0</v>
      </c>
      <c r="Y37" s="531" t="str">
        <f>'CORTE 4200'!F100</f>
        <v>Venta</v>
      </c>
      <c r="Z37" s="261">
        <f>'CORTE 4200'!G100</f>
        <v>0</v>
      </c>
      <c r="AA37" s="262">
        <f>'CORTE 4200'!H100</f>
        <v>35</v>
      </c>
      <c r="AB37" s="262">
        <f>'CORTE 4200'!I100</f>
        <v>78</v>
      </c>
      <c r="AC37" s="262">
        <f>'CORTE 4200'!J100</f>
        <v>87</v>
      </c>
      <c r="AD37" s="262">
        <f>'CORTE 4200'!K100</f>
        <v>85</v>
      </c>
      <c r="AE37" s="262">
        <f>'CORTE 4200'!L100</f>
        <v>62</v>
      </c>
      <c r="AF37" s="262">
        <f>'CORTE 4200'!M100</f>
        <v>54</v>
      </c>
      <c r="AG37" s="262">
        <f>'CORTE 4200'!N100</f>
        <v>0</v>
      </c>
      <c r="AH37" s="168">
        <f>'CORTE 4200'!O100</f>
        <v>401</v>
      </c>
      <c r="AI37" s="613"/>
      <c r="AJ37" s="27"/>
      <c r="AK37" s="612"/>
      <c r="AL37" s="613"/>
    </row>
    <row r="38" spans="1:38" ht="27.75" thickTop="1" thickBot="1">
      <c r="A38" s="349" t="str">
        <f>'CORTE 4200'!A340</f>
        <v>4219-01</v>
      </c>
      <c r="B38" s="47">
        <f>'CORTE 4200'!B340</f>
        <v>0</v>
      </c>
      <c r="C38" s="47">
        <f>'CORTE 4200'!C340</f>
        <v>0</v>
      </c>
      <c r="D38" s="47">
        <f>'CORTE 4200'!D340</f>
        <v>0</v>
      </c>
      <c r="E38" s="48" t="str">
        <f>'CORTE 4200'!E340</f>
        <v>Saldo</v>
      </c>
      <c r="F38" s="49" t="str">
        <f>'CORTE 4200'!F340</f>
        <v>Ayla</v>
      </c>
      <c r="G38" s="63">
        <f>'CORTE 4200'!G340</f>
        <v>0</v>
      </c>
      <c r="H38" s="48">
        <f>'CORTE 4200'!H340</f>
        <v>2</v>
      </c>
      <c r="I38" s="48">
        <f>'CORTE 4200'!I340</f>
        <v>4</v>
      </c>
      <c r="J38" s="48">
        <f>'CORTE 4200'!J340</f>
        <v>4</v>
      </c>
      <c r="K38" s="48">
        <f>'CORTE 4200'!K340</f>
        <v>3</v>
      </c>
      <c r="L38" s="48">
        <f>'CORTE 4200'!L340</f>
        <v>2</v>
      </c>
      <c r="M38" s="48">
        <f>'CORTE 4200'!M340</f>
        <v>1</v>
      </c>
      <c r="N38" s="48">
        <f>'CORTE 4200'!N340</f>
        <v>0</v>
      </c>
      <c r="O38" s="48">
        <f>'CORTE 4200'!O340</f>
        <v>16</v>
      </c>
      <c r="S38" s="519"/>
      <c r="T38" s="555" t="str">
        <f>'CORTE 4200'!A109</f>
        <v>4205-02</v>
      </c>
      <c r="U38" s="39" t="str">
        <f>'CORTE 4200'!B109</f>
        <v>Fecha</v>
      </c>
      <c r="V38" s="39">
        <f>'CORTE 4200'!C109</f>
        <v>0</v>
      </c>
      <c r="W38" s="39" t="str">
        <f>'CORTE 4200'!D109</f>
        <v>Ayla</v>
      </c>
      <c r="X38" s="40">
        <f>'CORTE 4200'!E109</f>
        <v>0</v>
      </c>
      <c r="Y38" s="531" t="str">
        <f>'CORTE 4200'!F109</f>
        <v>Venta</v>
      </c>
      <c r="Z38" s="261">
        <f>'CORTE 4200'!G109</f>
        <v>0</v>
      </c>
      <c r="AA38" s="262">
        <f>'CORTE 4200'!H109</f>
        <v>0</v>
      </c>
      <c r="AB38" s="262">
        <f>'CORTE 4200'!I109</f>
        <v>4</v>
      </c>
      <c r="AC38" s="262">
        <f>'CORTE 4200'!J109</f>
        <v>8</v>
      </c>
      <c r="AD38" s="262">
        <f>'CORTE 4200'!K109</f>
        <v>8</v>
      </c>
      <c r="AE38" s="262">
        <f>'CORTE 4200'!L109</f>
        <v>7</v>
      </c>
      <c r="AF38" s="262">
        <f>'CORTE 4200'!M109</f>
        <v>5</v>
      </c>
      <c r="AG38" s="262">
        <f>'CORTE 4200'!N109</f>
        <v>0</v>
      </c>
      <c r="AH38" s="168">
        <f>'CORTE 4200'!O109</f>
        <v>32</v>
      </c>
      <c r="AI38" s="622">
        <f>+SUM(AH36:AH38)</f>
        <v>1003</v>
      </c>
      <c r="AJ38" s="615">
        <f>+SUM(AH40:AH42)</f>
        <v>-154</v>
      </c>
      <c r="AK38" s="612">
        <v>50</v>
      </c>
      <c r="AL38" s="613"/>
    </row>
    <row r="39" spans="1:38" ht="25.5" thickTop="1" thickBot="1">
      <c r="A39" s="349" t="str">
        <f>'CORTE 4200'!A349</f>
        <v>4219-02</v>
      </c>
      <c r="B39" s="47">
        <f>'CORTE 4200'!B349</f>
        <v>0</v>
      </c>
      <c r="C39" s="47">
        <f>'CORTE 4200'!C349</f>
        <v>0</v>
      </c>
      <c r="D39" s="47">
        <f>'CORTE 4200'!D349</f>
        <v>0</v>
      </c>
      <c r="E39" s="48" t="str">
        <f>'CORTE 4200'!E349</f>
        <v>Saldo</v>
      </c>
      <c r="F39" s="49" t="str">
        <f>'CORTE 4200'!F349</f>
        <v>Ayla</v>
      </c>
      <c r="G39" s="63">
        <f>'CORTE 4200'!G349</f>
        <v>0</v>
      </c>
      <c r="H39" s="48">
        <f>'CORTE 4200'!H349</f>
        <v>0</v>
      </c>
      <c r="I39" s="48">
        <f>'CORTE 4200'!I349</f>
        <v>2</v>
      </c>
      <c r="J39" s="48">
        <f>'CORTE 4200'!J349</f>
        <v>2</v>
      </c>
      <c r="K39" s="48">
        <f>'CORTE 4200'!K349</f>
        <v>2</v>
      </c>
      <c r="L39" s="48">
        <f>'CORTE 4200'!L349</f>
        <v>2</v>
      </c>
      <c r="M39" s="48">
        <f>'CORTE 4200'!M349</f>
        <v>2</v>
      </c>
      <c r="N39" s="48">
        <f>'CORTE 4200'!N349</f>
        <v>0</v>
      </c>
      <c r="O39" s="48">
        <f>'CORTE 4200'!O349</f>
        <v>10</v>
      </c>
      <c r="S39" s="519"/>
      <c r="AI39" s="613"/>
      <c r="AJ39" s="625"/>
      <c r="AK39" s="612"/>
      <c r="AL39" s="613"/>
    </row>
    <row r="40" spans="1:38" ht="25.5" thickTop="1" thickBot="1">
      <c r="A40" s="284" t="str">
        <f>'CORTE 4200'!A358</f>
        <v>4220-00</v>
      </c>
      <c r="B40" s="47">
        <f>'CORTE 4200'!B358</f>
        <v>0</v>
      </c>
      <c r="C40" s="47">
        <f>'CORTE 4200'!C358</f>
        <v>0</v>
      </c>
      <c r="D40" s="47">
        <f>'CORTE 4200'!D358</f>
        <v>0</v>
      </c>
      <c r="E40" s="48" t="str">
        <f>'CORTE 4200'!E358</f>
        <v>Saldo</v>
      </c>
      <c r="F40" s="49" t="str">
        <f>'CORTE 4200'!F358</f>
        <v>Missy Plus</v>
      </c>
      <c r="G40" s="60">
        <f>'CORTE 4200'!G358</f>
        <v>-37</v>
      </c>
      <c r="H40" s="48">
        <f>'CORTE 4200'!H358</f>
        <v>0</v>
      </c>
      <c r="I40" s="48">
        <f>'CORTE 4200'!I358</f>
        <v>-3</v>
      </c>
      <c r="J40" s="48">
        <f>'CORTE 4200'!J358</f>
        <v>-8</v>
      </c>
      <c r="K40" s="48">
        <f>'CORTE 4200'!K358</f>
        <v>8</v>
      </c>
      <c r="L40" s="48">
        <f>'CORTE 4200'!L358</f>
        <v>3</v>
      </c>
      <c r="M40" s="48">
        <f>'CORTE 4200'!M358</f>
        <v>12</v>
      </c>
      <c r="N40" s="48">
        <f>'CORTE 4200'!N358</f>
        <v>0</v>
      </c>
      <c r="O40" s="48">
        <f>'CORTE 4200'!O358</f>
        <v>12</v>
      </c>
      <c r="S40" s="532" t="s">
        <v>289</v>
      </c>
      <c r="T40" s="556" t="str">
        <f t="shared" ref="T40:AH42" si="4">A11</f>
        <v>4205-00</v>
      </c>
      <c r="U40" s="47">
        <f t="shared" si="4"/>
        <v>0</v>
      </c>
      <c r="V40" s="47">
        <f t="shared" si="4"/>
        <v>0</v>
      </c>
      <c r="W40" s="47">
        <f t="shared" si="4"/>
        <v>0</v>
      </c>
      <c r="X40" s="48" t="str">
        <f t="shared" si="4"/>
        <v>Saldo</v>
      </c>
      <c r="Y40" s="49" t="str">
        <f t="shared" si="4"/>
        <v>Ayla</v>
      </c>
      <c r="Z40" s="48">
        <f t="shared" si="4"/>
        <v>0</v>
      </c>
      <c r="AA40" s="48">
        <f t="shared" si="4"/>
        <v>-19</v>
      </c>
      <c r="AB40" s="48">
        <f t="shared" si="4"/>
        <v>-31</v>
      </c>
      <c r="AC40" s="48">
        <f t="shared" si="4"/>
        <v>-30</v>
      </c>
      <c r="AD40" s="48">
        <f t="shared" si="4"/>
        <v>-30</v>
      </c>
      <c r="AE40" s="48">
        <f t="shared" si="4"/>
        <v>-24</v>
      </c>
      <c r="AF40" s="48">
        <f t="shared" si="4"/>
        <v>-14</v>
      </c>
      <c r="AG40" s="48">
        <f t="shared" si="4"/>
        <v>0</v>
      </c>
      <c r="AH40" s="631">
        <f t="shared" si="4"/>
        <v>-148</v>
      </c>
      <c r="AI40" s="616"/>
      <c r="AJ40" s="625"/>
      <c r="AK40" s="612"/>
      <c r="AL40" s="613"/>
    </row>
    <row r="41" spans="1:38" ht="25.5" thickTop="1" thickBot="1">
      <c r="A41" s="299" t="str">
        <f>'CORTE 4200'!A367</f>
        <v>4221-00</v>
      </c>
      <c r="B41" s="47">
        <f>'CORTE 4200'!B367</f>
        <v>0</v>
      </c>
      <c r="C41" s="47">
        <f>'CORTE 4200'!C367</f>
        <v>0</v>
      </c>
      <c r="D41" s="47">
        <f>'CORTE 4200'!D367</f>
        <v>0</v>
      </c>
      <c r="E41" s="48" t="str">
        <f>'CORTE 4200'!E367</f>
        <v>Saldo</v>
      </c>
      <c r="F41" s="49" t="str">
        <f>'CORTE 4200'!F367</f>
        <v>New Glue</v>
      </c>
      <c r="G41" s="48">
        <f>'CORTE 4200'!G367</f>
        <v>0</v>
      </c>
      <c r="H41" s="48">
        <f>'CORTE 4200'!H367</f>
        <v>-3</v>
      </c>
      <c r="I41" s="48">
        <f>'CORTE 4200'!I367</f>
        <v>-12</v>
      </c>
      <c r="J41" s="48">
        <f>'CORTE 4200'!J367</f>
        <v>-17</v>
      </c>
      <c r="K41" s="48">
        <f>'CORTE 4200'!K367</f>
        <v>-12</v>
      </c>
      <c r="L41" s="48">
        <f>'CORTE 4200'!L367</f>
        <v>-17</v>
      </c>
      <c r="M41" s="48">
        <f>'CORTE 4200'!M367</f>
        <v>-14</v>
      </c>
      <c r="N41" s="48">
        <f>'CORTE 4200'!N367</f>
        <v>0</v>
      </c>
      <c r="O41" s="48">
        <f>'CORTE 4200'!O367</f>
        <v>-75</v>
      </c>
      <c r="S41" s="532" t="s">
        <v>289</v>
      </c>
      <c r="T41" s="556" t="str">
        <f t="shared" si="4"/>
        <v>4205-01</v>
      </c>
      <c r="U41" s="47">
        <f t="shared" si="4"/>
        <v>0</v>
      </c>
      <c r="V41" s="47">
        <f t="shared" si="4"/>
        <v>0</v>
      </c>
      <c r="W41" s="47">
        <f t="shared" si="4"/>
        <v>0</v>
      </c>
      <c r="X41" s="48" t="str">
        <f t="shared" si="4"/>
        <v>Saldo</v>
      </c>
      <c r="Y41" s="49" t="str">
        <f t="shared" si="4"/>
        <v>Ayla</v>
      </c>
      <c r="Z41" s="48">
        <f t="shared" si="4"/>
        <v>0</v>
      </c>
      <c r="AA41" s="48">
        <f t="shared" si="4"/>
        <v>-1</v>
      </c>
      <c r="AB41" s="48">
        <f t="shared" si="4"/>
        <v>-1</v>
      </c>
      <c r="AC41" s="48">
        <f t="shared" si="4"/>
        <v>-1</v>
      </c>
      <c r="AD41" s="48">
        <f t="shared" si="4"/>
        <v>-1</v>
      </c>
      <c r="AE41" s="48">
        <f t="shared" si="4"/>
        <v>-1</v>
      </c>
      <c r="AF41" s="48">
        <f t="shared" si="4"/>
        <v>-1</v>
      </c>
      <c r="AG41" s="48">
        <f t="shared" si="4"/>
        <v>0</v>
      </c>
      <c r="AH41" s="631">
        <f t="shared" si="4"/>
        <v>-6</v>
      </c>
      <c r="AI41" s="613"/>
      <c r="AJ41" s="625"/>
      <c r="AK41" s="612"/>
      <c r="AL41" s="613"/>
    </row>
    <row r="42" spans="1:38" ht="25.5" thickTop="1" thickBot="1">
      <c r="A42" s="299" t="str">
        <f>'CORTE 4200'!A376</f>
        <v>4221-01</v>
      </c>
      <c r="B42" s="47">
        <f>'CORTE 4200'!B376</f>
        <v>0</v>
      </c>
      <c r="C42" s="47">
        <f>'CORTE 4200'!C376</f>
        <v>0</v>
      </c>
      <c r="D42" s="47">
        <f>'CORTE 4200'!D376</f>
        <v>0</v>
      </c>
      <c r="E42" s="48" t="str">
        <f>'CORTE 4200'!E376</f>
        <v>Saldo</v>
      </c>
      <c r="F42" s="49" t="str">
        <f>'CORTE 4200'!F376</f>
        <v>New Glue</v>
      </c>
      <c r="G42" s="48">
        <f>'CORTE 4200'!G376</f>
        <v>0</v>
      </c>
      <c r="H42" s="48">
        <f>'CORTE 4200'!H376</f>
        <v>-11</v>
      </c>
      <c r="I42" s="48">
        <f>'CORTE 4200'!I376</f>
        <v>-6</v>
      </c>
      <c r="J42" s="48">
        <f>'CORTE 4200'!J376</f>
        <v>-13</v>
      </c>
      <c r="K42" s="48">
        <f>'CORTE 4200'!K376</f>
        <v>-9</v>
      </c>
      <c r="L42" s="48">
        <f>'CORTE 4200'!L376</f>
        <v>-12</v>
      </c>
      <c r="M42" s="48">
        <f>'CORTE 4200'!M376</f>
        <v>1</v>
      </c>
      <c r="N42" s="48">
        <f>'CORTE 4200'!N376</f>
        <v>0</v>
      </c>
      <c r="O42" s="48">
        <f>'CORTE 4200'!O376</f>
        <v>-50</v>
      </c>
      <c r="S42" s="533" t="s">
        <v>289</v>
      </c>
      <c r="T42" s="557" t="str">
        <f t="shared" si="4"/>
        <v>4205-02</v>
      </c>
      <c r="U42" s="520">
        <f t="shared" si="4"/>
        <v>0</v>
      </c>
      <c r="V42" s="520">
        <f t="shared" si="4"/>
        <v>0</v>
      </c>
      <c r="W42" s="520">
        <f t="shared" si="4"/>
        <v>0</v>
      </c>
      <c r="X42" s="521" t="str">
        <f t="shared" si="4"/>
        <v>Saldo</v>
      </c>
      <c r="Y42" s="522" t="str">
        <f t="shared" si="4"/>
        <v>Ayla</v>
      </c>
      <c r="Z42" s="521">
        <f t="shared" si="4"/>
        <v>0</v>
      </c>
      <c r="AA42" s="521">
        <f t="shared" si="4"/>
        <v>0</v>
      </c>
      <c r="AB42" s="521">
        <f t="shared" si="4"/>
        <v>0</v>
      </c>
      <c r="AC42" s="521">
        <f t="shared" si="4"/>
        <v>0</v>
      </c>
      <c r="AD42" s="521">
        <f t="shared" si="4"/>
        <v>0</v>
      </c>
      <c r="AE42" s="521">
        <f t="shared" si="4"/>
        <v>0</v>
      </c>
      <c r="AF42" s="521">
        <f t="shared" si="4"/>
        <v>0</v>
      </c>
      <c r="AG42" s="521">
        <f t="shared" si="4"/>
        <v>0</v>
      </c>
      <c r="AH42" s="632">
        <f t="shared" si="4"/>
        <v>0</v>
      </c>
      <c r="AI42" s="619"/>
      <c r="AJ42" s="617"/>
      <c r="AK42" s="618"/>
      <c r="AL42" s="619"/>
    </row>
    <row r="43" spans="1:38" ht="25.5" thickTop="1" thickBot="1">
      <c r="A43" s="299" t="str">
        <f>'CORTE 4200'!A385</f>
        <v>4221-90</v>
      </c>
      <c r="B43" s="47">
        <f>'CORTE 4200'!B385</f>
        <v>0</v>
      </c>
      <c r="C43" s="47">
        <f>'CORTE 4200'!C385</f>
        <v>0</v>
      </c>
      <c r="D43" s="47">
        <f>'CORTE 4200'!D385</f>
        <v>0</v>
      </c>
      <c r="E43" s="48" t="str">
        <f>'CORTE 4200'!E385</f>
        <v>Saldo</v>
      </c>
      <c r="F43" s="49" t="str">
        <f>'CORTE 4200'!F385</f>
        <v>New Glue</v>
      </c>
      <c r="G43" s="48">
        <f>'CORTE 4200'!G385</f>
        <v>0</v>
      </c>
      <c r="H43" s="48">
        <f>'CORTE 4200'!H385</f>
        <v>0</v>
      </c>
      <c r="I43" s="48">
        <f>'CORTE 4200'!I385</f>
        <v>0</v>
      </c>
      <c r="J43" s="48">
        <f>'CORTE 4200'!J385</f>
        <v>0</v>
      </c>
      <c r="K43" s="48">
        <f>'CORTE 4200'!K385</f>
        <v>0</v>
      </c>
      <c r="L43" s="48">
        <f>'CORTE 4200'!L385</f>
        <v>0</v>
      </c>
      <c r="M43" s="48">
        <f>'CORTE 4200'!M385</f>
        <v>0</v>
      </c>
      <c r="N43" s="48">
        <f>'CORTE 4200'!N385</f>
        <v>0</v>
      </c>
      <c r="O43" s="48">
        <f>'CORTE 4200'!O385</f>
        <v>0</v>
      </c>
      <c r="AI43" s="27"/>
      <c r="AJ43" s="27"/>
      <c r="AK43" s="27"/>
      <c r="AL43" s="27"/>
    </row>
    <row r="44" spans="1:38" ht="25.5" thickTop="1" thickBot="1">
      <c r="A44" s="284" t="str">
        <f>'CORTE 4200'!A394</f>
        <v>4222-00</v>
      </c>
      <c r="B44" s="47">
        <f>'CORTE 4200'!B394</f>
        <v>0</v>
      </c>
      <c r="C44" s="47">
        <f>'CORTE 4200'!C394</f>
        <v>0</v>
      </c>
      <c r="D44" s="47">
        <f>'CORTE 4200'!D394</f>
        <v>0</v>
      </c>
      <c r="E44" s="48" t="str">
        <f>'CORTE 4200'!E394</f>
        <v>Saldo</v>
      </c>
      <c r="F44" s="49" t="str">
        <f>'CORTE 4200'!F394</f>
        <v>Ayla</v>
      </c>
      <c r="G44" s="48">
        <f>'CORTE 4200'!G394</f>
        <v>0</v>
      </c>
      <c r="H44" s="48">
        <f>'CORTE 4200'!H394</f>
        <v>-15</v>
      </c>
      <c r="I44" s="48">
        <f>'CORTE 4200'!I394</f>
        <v>-35</v>
      </c>
      <c r="J44" s="48">
        <f>'CORTE 4200'!J394</f>
        <v>-37</v>
      </c>
      <c r="K44" s="48">
        <f>'CORTE 4200'!K394</f>
        <v>-33</v>
      </c>
      <c r="L44" s="48">
        <f>'CORTE 4200'!L394</f>
        <v>-28</v>
      </c>
      <c r="M44" s="48">
        <f>'CORTE 4200'!M394</f>
        <v>-2</v>
      </c>
      <c r="N44" s="48">
        <f>'CORTE 4200'!N394</f>
        <v>0</v>
      </c>
      <c r="O44" s="48">
        <f>'CORTE 4200'!O394</f>
        <v>-150</v>
      </c>
      <c r="AI44" s="27"/>
      <c r="AJ44" s="27"/>
      <c r="AK44" s="27"/>
      <c r="AL44" s="27"/>
    </row>
    <row r="45" spans="1:38" ht="27.75" thickTop="1" thickBot="1">
      <c r="A45" s="284" t="str">
        <f>'CORTE 4200'!A403</f>
        <v>4223-00</v>
      </c>
      <c r="B45" s="47">
        <f>'CORTE 4200'!B403</f>
        <v>0</v>
      </c>
      <c r="C45" s="47">
        <f>'CORTE 4200'!C403</f>
        <v>0</v>
      </c>
      <c r="D45" s="47">
        <f>'CORTE 4200'!D403</f>
        <v>0</v>
      </c>
      <c r="E45" s="48" t="str">
        <f>'CORTE 4200'!E403</f>
        <v>Saldo</v>
      </c>
      <c r="F45" s="49" t="str">
        <f>'CORTE 4200'!F403</f>
        <v>B2868-V3</v>
      </c>
      <c r="G45" s="48">
        <f>'CORTE 4200'!G403</f>
        <v>0</v>
      </c>
      <c r="H45" s="48">
        <f>'CORTE 4200'!H403</f>
        <v>-32</v>
      </c>
      <c r="I45" s="48">
        <f>'CORTE 4200'!I403</f>
        <v>-36</v>
      </c>
      <c r="J45" s="48">
        <f>'CORTE 4200'!J403</f>
        <v>-28</v>
      </c>
      <c r="K45" s="48">
        <f>'CORTE 4200'!K403</f>
        <v>-37</v>
      </c>
      <c r="L45" s="48">
        <f>'CORTE 4200'!L403</f>
        <v>-28</v>
      </c>
      <c r="M45" s="48">
        <f>'CORTE 4200'!M403</f>
        <v>-8</v>
      </c>
      <c r="N45" s="48">
        <f>'CORTE 4200'!N403</f>
        <v>0</v>
      </c>
      <c r="O45" s="48">
        <f>'CORTE 4200'!O403</f>
        <v>-169</v>
      </c>
      <c r="S45" s="606" t="s">
        <v>294</v>
      </c>
      <c r="T45" s="558" t="str">
        <f>'CORTE 4200'!A586</f>
        <v>4234-00</v>
      </c>
      <c r="U45" s="515" t="str">
        <f>'CORTE 4200'!B586</f>
        <v>Fecha</v>
      </c>
      <c r="V45" s="515">
        <f>'CORTE 4200'!C586</f>
        <v>0</v>
      </c>
      <c r="W45" s="515" t="str">
        <f>'CORTE 4200'!D586</f>
        <v>Lavinia</v>
      </c>
      <c r="X45" s="516">
        <f>'CORTE 4200'!E586</f>
        <v>0</v>
      </c>
      <c r="Y45" s="530" t="str">
        <f>'CORTE 4200'!F586</f>
        <v>Venta</v>
      </c>
      <c r="Z45" s="517">
        <f>'CORTE 4200'!G586</f>
        <v>0</v>
      </c>
      <c r="AA45" s="518">
        <f>'CORTE 4200'!H586</f>
        <v>3</v>
      </c>
      <c r="AB45" s="518">
        <f>'CORTE 4200'!I586</f>
        <v>4</v>
      </c>
      <c r="AC45" s="518">
        <f>'CORTE 4200'!J586</f>
        <v>2</v>
      </c>
      <c r="AD45" s="518">
        <f>'CORTE 4200'!K586</f>
        <v>2</v>
      </c>
      <c r="AE45" s="518">
        <f>'CORTE 4200'!L586</f>
        <v>1</v>
      </c>
      <c r="AF45" s="518">
        <f>'CORTE 4200'!M586</f>
        <v>0</v>
      </c>
      <c r="AG45" s="518">
        <f>'CORTE 4200'!N586</f>
        <v>0</v>
      </c>
      <c r="AH45" s="629">
        <f>'CORTE 4200'!O586</f>
        <v>12</v>
      </c>
      <c r="AI45" s="610"/>
      <c r="AJ45" s="608"/>
      <c r="AK45" s="609"/>
      <c r="AL45" s="610"/>
    </row>
    <row r="46" spans="1:38" ht="27.75" thickTop="1" thickBot="1">
      <c r="A46" s="357" t="str">
        <f>'CORTE 4200'!A412</f>
        <v>4224-00</v>
      </c>
      <c r="B46" s="47">
        <f>'CORTE 4200'!B412</f>
        <v>0</v>
      </c>
      <c r="C46" s="47">
        <f>'CORTE 4200'!C412</f>
        <v>0</v>
      </c>
      <c r="D46" s="47">
        <f>'CORTE 4200'!D412</f>
        <v>0</v>
      </c>
      <c r="E46" s="48" t="str">
        <f>'CORTE 4200'!E412</f>
        <v>Saldo</v>
      </c>
      <c r="F46" s="49" t="str">
        <f>'CORTE 4200'!F412</f>
        <v>Ayla</v>
      </c>
      <c r="G46" s="48">
        <f>'CORTE 4200'!G412</f>
        <v>0</v>
      </c>
      <c r="H46" s="48">
        <f>'CORTE 4200'!H412</f>
        <v>-4</v>
      </c>
      <c r="I46" s="48">
        <f>'CORTE 4200'!I412</f>
        <v>-9</v>
      </c>
      <c r="J46" s="48">
        <f>'CORTE 4200'!J412</f>
        <v>-8</v>
      </c>
      <c r="K46" s="48">
        <f>'CORTE 4200'!K412</f>
        <v>-7</v>
      </c>
      <c r="L46" s="48">
        <f>'CORTE 4200'!L412</f>
        <v>-4</v>
      </c>
      <c r="M46" s="48">
        <f>'CORTE 4200'!M412</f>
        <v>-3</v>
      </c>
      <c r="N46" s="48">
        <f>'CORTE 4200'!N412</f>
        <v>0</v>
      </c>
      <c r="O46" s="48">
        <f>'CORTE 4200'!O412</f>
        <v>-35</v>
      </c>
      <c r="S46" s="519"/>
      <c r="T46" s="559" t="str">
        <f>'CORTE 4200'!A595</f>
        <v>4234-04</v>
      </c>
      <c r="U46" s="39" t="str">
        <f>'CORTE 4200'!B595</f>
        <v>Fecha</v>
      </c>
      <c r="V46" s="39">
        <f>'CORTE 4200'!C595</f>
        <v>0</v>
      </c>
      <c r="W46" s="39" t="str">
        <f>'CORTE 4200'!D595</f>
        <v>Lavinia</v>
      </c>
      <c r="X46" s="40">
        <f>'CORTE 4200'!E595</f>
        <v>0</v>
      </c>
      <c r="Y46" s="531" t="str">
        <f>'CORTE 4200'!F595</f>
        <v>Venta</v>
      </c>
      <c r="Z46" s="261">
        <f>'CORTE 4200'!G595</f>
        <v>0</v>
      </c>
      <c r="AA46" s="262">
        <f>'CORTE 4200'!H595</f>
        <v>30</v>
      </c>
      <c r="AB46" s="262">
        <f>'CORTE 4200'!I595</f>
        <v>64</v>
      </c>
      <c r="AC46" s="262">
        <f>'CORTE 4200'!J595</f>
        <v>70</v>
      </c>
      <c r="AD46" s="262">
        <f>'CORTE 4200'!K595</f>
        <v>68</v>
      </c>
      <c r="AE46" s="262">
        <f>'CORTE 4200'!L595</f>
        <v>42</v>
      </c>
      <c r="AF46" s="262">
        <f>'CORTE 4200'!M595</f>
        <v>31</v>
      </c>
      <c r="AG46" s="262">
        <f>'CORTE 4200'!N595</f>
        <v>0</v>
      </c>
      <c r="AH46" s="168">
        <f>'CORTE 4200'!O595</f>
        <v>305</v>
      </c>
      <c r="AI46" s="613"/>
      <c r="AJ46" s="27"/>
      <c r="AK46" s="612"/>
      <c r="AL46" s="613"/>
    </row>
    <row r="47" spans="1:38" ht="27.75" thickTop="1" thickBot="1">
      <c r="A47" s="357" t="str">
        <f>'CORTE 4200'!A421</f>
        <v>4224-01</v>
      </c>
      <c r="B47" s="47">
        <f>'CORTE 4200'!B421</f>
        <v>0</v>
      </c>
      <c r="C47" s="47">
        <f>'CORTE 4200'!C421</f>
        <v>0</v>
      </c>
      <c r="D47" s="47">
        <f>'CORTE 4200'!D421</f>
        <v>0</v>
      </c>
      <c r="E47" s="48" t="str">
        <f>'CORTE 4200'!E421</f>
        <v>Saldo</v>
      </c>
      <c r="F47" s="49" t="str">
        <f>'CORTE 4200'!F421</f>
        <v>Ayla</v>
      </c>
      <c r="G47" s="48">
        <f>'CORTE 4200'!G421</f>
        <v>0</v>
      </c>
      <c r="H47" s="48">
        <f>'CORTE 4200'!H421</f>
        <v>-1</v>
      </c>
      <c r="I47" s="48">
        <f>'CORTE 4200'!I421</f>
        <v>-1</v>
      </c>
      <c r="J47" s="48">
        <f>'CORTE 4200'!J421</f>
        <v>-1</v>
      </c>
      <c r="K47" s="48">
        <f>'CORTE 4200'!K421</f>
        <v>-1</v>
      </c>
      <c r="L47" s="48">
        <f>'CORTE 4200'!L421</f>
        <v>-1</v>
      </c>
      <c r="M47" s="48">
        <f>'CORTE 4200'!M421</f>
        <v>-1</v>
      </c>
      <c r="N47" s="48">
        <f>'CORTE 4200'!N421</f>
        <v>0</v>
      </c>
      <c r="O47" s="48">
        <f>'CORTE 4200'!O421</f>
        <v>-6</v>
      </c>
      <c r="S47" s="519"/>
      <c r="T47" s="559" t="str">
        <f>'CORTE 4200'!A604</f>
        <v>4234-08</v>
      </c>
      <c r="U47" s="39" t="str">
        <f>'CORTE 4200'!B604</f>
        <v>Fecha</v>
      </c>
      <c r="V47" s="39">
        <f>'CORTE 4200'!C604</f>
        <v>0</v>
      </c>
      <c r="W47" s="39" t="str">
        <f>'CORTE 4200'!D604</f>
        <v>Lavinia</v>
      </c>
      <c r="X47" s="40">
        <f>'CORTE 4200'!E604</f>
        <v>0</v>
      </c>
      <c r="Y47" s="531" t="str">
        <f>'CORTE 4200'!F604</f>
        <v>Venta</v>
      </c>
      <c r="Z47" s="261">
        <f>'CORTE 4200'!G604</f>
        <v>0</v>
      </c>
      <c r="AA47" s="262">
        <f>'CORTE 4200'!H604</f>
        <v>43</v>
      </c>
      <c r="AB47" s="262">
        <f>'CORTE 4200'!I604</f>
        <v>70</v>
      </c>
      <c r="AC47" s="262">
        <f>'CORTE 4200'!J604</f>
        <v>72</v>
      </c>
      <c r="AD47" s="262">
        <f>'CORTE 4200'!K604</f>
        <v>67</v>
      </c>
      <c r="AE47" s="262">
        <f>'CORTE 4200'!L604</f>
        <v>41</v>
      </c>
      <c r="AF47" s="262">
        <f>'CORTE 4200'!M604</f>
        <v>23</v>
      </c>
      <c r="AG47" s="262">
        <f>'CORTE 4200'!N604</f>
        <v>0</v>
      </c>
      <c r="AH47" s="168">
        <f>'CORTE 4200'!O604</f>
        <v>316</v>
      </c>
      <c r="AI47" s="613"/>
      <c r="AJ47" s="27"/>
      <c r="AK47" s="612"/>
      <c r="AL47" s="613"/>
    </row>
    <row r="48" spans="1:38" ht="27.75" thickTop="1" thickBot="1">
      <c r="A48" s="363" t="str">
        <f>'CORTE 4200'!A430</f>
        <v>4225-00</v>
      </c>
      <c r="B48" s="47">
        <f>'CORTE 4200'!B430</f>
        <v>0</v>
      </c>
      <c r="C48" s="47">
        <f>'CORTE 4200'!C430</f>
        <v>0</v>
      </c>
      <c r="D48" s="47">
        <f>'CORTE 4200'!D430</f>
        <v>0</v>
      </c>
      <c r="E48" s="48" t="str">
        <f>'CORTE 4200'!E430</f>
        <v>Saldo</v>
      </c>
      <c r="F48" s="49" t="str">
        <f>'CORTE 4200'!F430</f>
        <v>B2868-V3</v>
      </c>
      <c r="G48" s="48">
        <f>'CORTE 4200'!G430</f>
        <v>0</v>
      </c>
      <c r="H48" s="48">
        <f>'CORTE 4200'!H430</f>
        <v>-38</v>
      </c>
      <c r="I48" s="48">
        <f>'CORTE 4200'!I430</f>
        <v>-42</v>
      </c>
      <c r="J48" s="48">
        <f>'CORTE 4200'!J430</f>
        <v>-73</v>
      </c>
      <c r="K48" s="48">
        <f>'CORTE 4200'!K430</f>
        <v>-62</v>
      </c>
      <c r="L48" s="48">
        <f>'CORTE 4200'!L430</f>
        <v>-49</v>
      </c>
      <c r="M48" s="48">
        <f>'CORTE 4200'!M430</f>
        <v>-5</v>
      </c>
      <c r="N48" s="48">
        <f>'CORTE 4200'!N430</f>
        <v>0</v>
      </c>
      <c r="O48" s="48">
        <f>'CORTE 4200'!O430</f>
        <v>-269</v>
      </c>
      <c r="S48" s="519"/>
      <c r="T48" s="559" t="str">
        <f>'CORTE 4200'!A613</f>
        <v>4234-09</v>
      </c>
      <c r="U48" s="39" t="str">
        <f>'CORTE 4200'!B613</f>
        <v>Fecha</v>
      </c>
      <c r="V48" s="39">
        <f>'CORTE 4200'!C613</f>
        <v>0</v>
      </c>
      <c r="W48" s="39" t="str">
        <f>'CORTE 4200'!D613</f>
        <v>Lavinia</v>
      </c>
      <c r="X48" s="40">
        <f>'CORTE 4200'!E613</f>
        <v>0</v>
      </c>
      <c r="Y48" s="531" t="str">
        <f>'CORTE 4200'!F613</f>
        <v>Venta</v>
      </c>
      <c r="Z48" s="261">
        <f>'CORTE 4200'!G613</f>
        <v>0</v>
      </c>
      <c r="AA48" s="262">
        <f>'CORTE 4200'!H613</f>
        <v>5</v>
      </c>
      <c r="AB48" s="262">
        <f>'CORTE 4200'!I613</f>
        <v>11</v>
      </c>
      <c r="AC48" s="262">
        <f>'CORTE 4200'!J613</f>
        <v>11</v>
      </c>
      <c r="AD48" s="262">
        <f>'CORTE 4200'!K613</f>
        <v>12</v>
      </c>
      <c r="AE48" s="262">
        <f>'CORTE 4200'!L613</f>
        <v>8</v>
      </c>
      <c r="AF48" s="262">
        <f>'CORTE 4200'!M613</f>
        <v>4</v>
      </c>
      <c r="AG48" s="262">
        <f>'CORTE 4200'!N613</f>
        <v>0</v>
      </c>
      <c r="AH48" s="168">
        <f>'CORTE 4200'!O613</f>
        <v>51</v>
      </c>
      <c r="AI48" s="613"/>
      <c r="AJ48" s="27"/>
      <c r="AK48" s="612"/>
      <c r="AL48" s="613"/>
    </row>
    <row r="49" spans="1:38" ht="27.75" thickTop="1" thickBot="1">
      <c r="A49" s="363" t="str">
        <f>'CORTE 4200'!A439</f>
        <v>4225-01</v>
      </c>
      <c r="B49" s="47">
        <f>'CORTE 4200'!B439</f>
        <v>0</v>
      </c>
      <c r="C49" s="47">
        <f>'CORTE 4200'!C439</f>
        <v>0</v>
      </c>
      <c r="D49" s="47">
        <f>'CORTE 4200'!D439</f>
        <v>0</v>
      </c>
      <c r="E49" s="48" t="str">
        <f>'CORTE 4200'!E439</f>
        <v>Saldo</v>
      </c>
      <c r="F49" s="49" t="str">
        <f>'CORTE 4200'!F439</f>
        <v>B2868-V3</v>
      </c>
      <c r="G49" s="48">
        <f>'CORTE 4200'!G439</f>
        <v>0</v>
      </c>
      <c r="H49" s="48">
        <f>'CORTE 4200'!H439</f>
        <v>0</v>
      </c>
      <c r="I49" s="48">
        <f>'CORTE 4200'!I439</f>
        <v>4</v>
      </c>
      <c r="J49" s="48">
        <f>'CORTE 4200'!J439</f>
        <v>8</v>
      </c>
      <c r="K49" s="48">
        <f>'CORTE 4200'!K439</f>
        <v>8</v>
      </c>
      <c r="L49" s="48">
        <f>'CORTE 4200'!L439</f>
        <v>7</v>
      </c>
      <c r="M49" s="48">
        <f>'CORTE 4200'!M439</f>
        <v>5</v>
      </c>
      <c r="N49" s="48">
        <f>'CORTE 4200'!N439</f>
        <v>0</v>
      </c>
      <c r="O49" s="48">
        <f>'CORTE 4200'!O439</f>
        <v>32</v>
      </c>
      <c r="R49" s="514"/>
      <c r="S49" s="519"/>
      <c r="T49" s="559" t="str">
        <f>'CORTE 4200'!A622</f>
        <v>4234-16</v>
      </c>
      <c r="U49" s="39" t="str">
        <f>'CORTE 4200'!B622</f>
        <v>Fecha</v>
      </c>
      <c r="V49" s="39">
        <f>'CORTE 4200'!C622</f>
        <v>0</v>
      </c>
      <c r="W49" s="39" t="str">
        <f>'CORTE 4200'!D622</f>
        <v>Lavinia</v>
      </c>
      <c r="X49" s="40">
        <f>'CORTE 4200'!E622</f>
        <v>0</v>
      </c>
      <c r="Y49" s="531" t="str">
        <f>'CORTE 4200'!F622</f>
        <v>Venta</v>
      </c>
      <c r="Z49" s="261">
        <f>'CORTE 4200'!G622</f>
        <v>0</v>
      </c>
      <c r="AA49" s="262">
        <f>'CORTE 4200'!H622</f>
        <v>23</v>
      </c>
      <c r="AB49" s="262">
        <f>'CORTE 4200'!I622</f>
        <v>39</v>
      </c>
      <c r="AC49" s="262">
        <f>'CORTE 4200'!J622</f>
        <v>43</v>
      </c>
      <c r="AD49" s="262">
        <f>'CORTE 4200'!K622</f>
        <v>37</v>
      </c>
      <c r="AE49" s="262">
        <f>'CORTE 4200'!L622</f>
        <v>22</v>
      </c>
      <c r="AF49" s="262">
        <f>'CORTE 4200'!M622</f>
        <v>9</v>
      </c>
      <c r="AG49" s="262">
        <f>'CORTE 4200'!N622</f>
        <v>0</v>
      </c>
      <c r="AH49" s="168">
        <f>'CORTE 4200'!O622</f>
        <v>173</v>
      </c>
      <c r="AI49" s="613"/>
      <c r="AJ49" s="27"/>
      <c r="AK49" s="612"/>
      <c r="AL49" s="613"/>
    </row>
    <row r="50" spans="1:38" ht="27.75" thickTop="1" thickBot="1">
      <c r="A50" s="368" t="str">
        <f>'CORTE 4200'!A448</f>
        <v>4226-00</v>
      </c>
      <c r="B50" s="47">
        <f>'CORTE 4200'!B448</f>
        <v>0</v>
      </c>
      <c r="C50" s="47">
        <f>'CORTE 4200'!C448</f>
        <v>0</v>
      </c>
      <c r="D50" s="47">
        <f>'CORTE 4200'!D448</f>
        <v>0</v>
      </c>
      <c r="E50" s="48" t="str">
        <f>'CORTE 4200'!E448</f>
        <v>Saldo</v>
      </c>
      <c r="F50" s="49" t="str">
        <f>'CORTE 4200'!F448</f>
        <v>Ibiza Blue</v>
      </c>
      <c r="G50" s="48">
        <f>'CORTE 4200'!G448</f>
        <v>0</v>
      </c>
      <c r="H50" s="48">
        <f>'CORTE 4200'!H448</f>
        <v>-3</v>
      </c>
      <c r="I50" s="48">
        <f>'CORTE 4200'!I448</f>
        <v>0</v>
      </c>
      <c r="J50" s="48">
        <f>'CORTE 4200'!J448</f>
        <v>2</v>
      </c>
      <c r="K50" s="48">
        <f>'CORTE 4200'!K448</f>
        <v>2</v>
      </c>
      <c r="L50" s="48">
        <f>'CORTE 4200'!L448</f>
        <v>1</v>
      </c>
      <c r="M50" s="48">
        <f>'CORTE 4200'!M448</f>
        <v>0</v>
      </c>
      <c r="N50" s="48">
        <f>'CORTE 4200'!N448</f>
        <v>0</v>
      </c>
      <c r="O50" s="48">
        <f>'CORTE 4200'!O448</f>
        <v>2</v>
      </c>
      <c r="S50" s="519"/>
      <c r="T50" s="559" t="str">
        <f>'CORTE 4200'!A631</f>
        <v>4234-48</v>
      </c>
      <c r="U50" s="39" t="str">
        <f>'CORTE 4200'!B631</f>
        <v>Fecha</v>
      </c>
      <c r="V50" s="39">
        <f>'CORTE 4200'!C631</f>
        <v>0</v>
      </c>
      <c r="W50" s="39" t="str">
        <f>'CORTE 4200'!D631</f>
        <v>Lavinia</v>
      </c>
      <c r="X50" s="40">
        <f>'CORTE 4200'!E631</f>
        <v>0</v>
      </c>
      <c r="Y50" s="531" t="str">
        <f>'CORTE 4200'!F631</f>
        <v>Venta</v>
      </c>
      <c r="Z50" s="261">
        <f>'CORTE 4200'!G631</f>
        <v>0</v>
      </c>
      <c r="AA50" s="262">
        <f>'CORTE 4200'!H631</f>
        <v>10</v>
      </c>
      <c r="AB50" s="262">
        <f>'CORTE 4200'!I631</f>
        <v>17</v>
      </c>
      <c r="AC50" s="262">
        <f>'CORTE 4200'!J631</f>
        <v>17</v>
      </c>
      <c r="AD50" s="262">
        <f>'CORTE 4200'!K631</f>
        <v>17</v>
      </c>
      <c r="AE50" s="262">
        <f>'CORTE 4200'!L631</f>
        <v>11</v>
      </c>
      <c r="AF50" s="262">
        <f>'CORTE 4200'!M631</f>
        <v>4</v>
      </c>
      <c r="AG50" s="262">
        <f>'CORTE 4200'!N631</f>
        <v>0</v>
      </c>
      <c r="AH50" s="168">
        <f>'CORTE 4200'!O631</f>
        <v>76</v>
      </c>
      <c r="AI50" s="622">
        <f>+SUM(AH45:AH50)</f>
        <v>933</v>
      </c>
      <c r="AJ50" s="615">
        <f>+SUM(AH53:AH57)</f>
        <v>-263</v>
      </c>
      <c r="AK50" s="612"/>
      <c r="AL50" s="613"/>
    </row>
    <row r="51" spans="1:38" ht="25.5" thickTop="1" thickBot="1">
      <c r="A51" s="368" t="str">
        <f>'CORTE 4200'!A457</f>
        <v>4226-01</v>
      </c>
      <c r="B51" s="47">
        <f>'CORTE 4200'!B457</f>
        <v>0</v>
      </c>
      <c r="C51" s="47">
        <f>'CORTE 4200'!C457</f>
        <v>0</v>
      </c>
      <c r="D51" s="47">
        <f>'CORTE 4200'!D457</f>
        <v>0</v>
      </c>
      <c r="E51" s="48" t="str">
        <f>'CORTE 4200'!E457</f>
        <v>Saldo</v>
      </c>
      <c r="F51" s="49" t="str">
        <f>'CORTE 4200'!F457</f>
        <v>Ibiza Blue</v>
      </c>
      <c r="G51" s="48">
        <f>'CORTE 4200'!G457</f>
        <v>0</v>
      </c>
      <c r="H51" s="48">
        <f>'CORTE 4200'!H457</f>
        <v>0</v>
      </c>
      <c r="I51" s="48">
        <f>'CORTE 4200'!I457</f>
        <v>7</v>
      </c>
      <c r="J51" s="48">
        <f>'CORTE 4200'!J457</f>
        <v>17</v>
      </c>
      <c r="K51" s="48">
        <f>'CORTE 4200'!K457</f>
        <v>12</v>
      </c>
      <c r="L51" s="48">
        <f>'CORTE 4200'!L457</f>
        <v>4</v>
      </c>
      <c r="M51" s="48">
        <f>'CORTE 4200'!M457</f>
        <v>9</v>
      </c>
      <c r="N51" s="48">
        <f>'CORTE 4200'!N457</f>
        <v>0</v>
      </c>
      <c r="O51" s="48">
        <f>'CORTE 4200'!O457</f>
        <v>49</v>
      </c>
      <c r="S51" s="523"/>
      <c r="T51" s="551"/>
      <c r="U51" s="514"/>
      <c r="V51" s="514"/>
      <c r="W51" s="514"/>
      <c r="X51" s="514"/>
      <c r="Y51" s="514"/>
      <c r="Z51" s="514"/>
      <c r="AA51" s="514"/>
      <c r="AB51" s="514"/>
      <c r="AC51" s="514"/>
      <c r="AD51" s="514"/>
      <c r="AE51" s="514"/>
      <c r="AF51" s="514"/>
      <c r="AG51" s="514"/>
      <c r="AH51" s="633"/>
      <c r="AI51" s="621"/>
      <c r="AJ51" s="27"/>
      <c r="AK51" s="612"/>
      <c r="AL51" s="613"/>
    </row>
    <row r="52" spans="1:38" ht="25.5" thickTop="1" thickBot="1">
      <c r="A52" s="373" t="str">
        <f>'CORTE 4200'!A466</f>
        <v>4227-00</v>
      </c>
      <c r="B52" s="47">
        <f>'CORTE 4200'!B466</f>
        <v>0</v>
      </c>
      <c r="C52" s="47">
        <f>'CORTE 4200'!C466</f>
        <v>0</v>
      </c>
      <c r="D52" s="47">
        <f>'CORTE 4200'!D466</f>
        <v>0</v>
      </c>
      <c r="E52" s="48" t="str">
        <f>'CORTE 4200'!E466</f>
        <v>Saldo</v>
      </c>
      <c r="F52" s="49" t="str">
        <f>'CORTE 4200'!F466</f>
        <v>New Glue</v>
      </c>
      <c r="G52" s="48">
        <f>'CORTE 4200'!G466</f>
        <v>0</v>
      </c>
      <c r="H52" s="48">
        <f>'CORTE 4200'!H466</f>
        <v>-7</v>
      </c>
      <c r="I52" s="48">
        <f>'CORTE 4200'!I466</f>
        <v>-6</v>
      </c>
      <c r="J52" s="48">
        <f>'CORTE 4200'!J466</f>
        <v>-1</v>
      </c>
      <c r="K52" s="48">
        <f>'CORTE 4200'!K466</f>
        <v>5</v>
      </c>
      <c r="L52" s="48">
        <f>'CORTE 4200'!L466</f>
        <v>6</v>
      </c>
      <c r="M52" s="48">
        <f>'CORTE 4200'!M466</f>
        <v>4</v>
      </c>
      <c r="N52" s="48">
        <f>'CORTE 4200'!N466</f>
        <v>0</v>
      </c>
      <c r="O52" s="48">
        <f>'CORTE 4200'!O466</f>
        <v>1</v>
      </c>
      <c r="S52" s="532" t="s">
        <v>289</v>
      </c>
      <c r="T52" s="560" t="str">
        <f t="shared" ref="T52:AH57" si="5">A66</f>
        <v>4234-00</v>
      </c>
      <c r="U52" s="47">
        <f t="shared" si="5"/>
        <v>0</v>
      </c>
      <c r="V52" s="47">
        <f t="shared" si="5"/>
        <v>0</v>
      </c>
      <c r="W52" s="47">
        <f t="shared" si="5"/>
        <v>0</v>
      </c>
      <c r="X52" s="48" t="str">
        <f t="shared" si="5"/>
        <v>Saldo</v>
      </c>
      <c r="Y52" s="49" t="str">
        <f t="shared" si="5"/>
        <v>Lavinia</v>
      </c>
      <c r="Z52" s="48">
        <f t="shared" si="5"/>
        <v>0</v>
      </c>
      <c r="AA52" s="48">
        <f t="shared" si="5"/>
        <v>3</v>
      </c>
      <c r="AB52" s="48">
        <f t="shared" si="5"/>
        <v>4</v>
      </c>
      <c r="AC52" s="48">
        <f t="shared" si="5"/>
        <v>2</v>
      </c>
      <c r="AD52" s="48">
        <f t="shared" si="5"/>
        <v>2</v>
      </c>
      <c r="AE52" s="48">
        <f t="shared" si="5"/>
        <v>1</v>
      </c>
      <c r="AF52" s="48">
        <f t="shared" si="5"/>
        <v>0</v>
      </c>
      <c r="AG52" s="48">
        <f t="shared" si="5"/>
        <v>0</v>
      </c>
      <c r="AH52" s="631">
        <f t="shared" si="5"/>
        <v>12</v>
      </c>
      <c r="AI52" s="621"/>
      <c r="AJ52" s="27"/>
      <c r="AK52" s="612"/>
      <c r="AL52" s="613"/>
    </row>
    <row r="53" spans="1:38" ht="25.5" thickTop="1" thickBot="1">
      <c r="A53" s="373" t="str">
        <f>'CORTE 4200'!A475</f>
        <v>4227-01</v>
      </c>
      <c r="B53" s="47">
        <f>'CORTE 4200'!B475</f>
        <v>0</v>
      </c>
      <c r="C53" s="47">
        <f>'CORTE 4200'!C475</f>
        <v>0</v>
      </c>
      <c r="D53" s="47">
        <f>'CORTE 4200'!D475</f>
        <v>0</v>
      </c>
      <c r="E53" s="48" t="str">
        <f>'CORTE 4200'!E475</f>
        <v>Saldo</v>
      </c>
      <c r="F53" s="49" t="str">
        <f>'CORTE 4200'!F475</f>
        <v>New Glue</v>
      </c>
      <c r="G53" s="48">
        <f>'CORTE 4200'!G475</f>
        <v>0</v>
      </c>
      <c r="H53" s="48">
        <f>'CORTE 4200'!H475</f>
        <v>-1</v>
      </c>
      <c r="I53" s="48">
        <f>'CORTE 4200'!I475</f>
        <v>-1</v>
      </c>
      <c r="J53" s="48">
        <f>'CORTE 4200'!J475</f>
        <v>-2</v>
      </c>
      <c r="K53" s="48">
        <f>'CORTE 4200'!K475</f>
        <v>0</v>
      </c>
      <c r="L53" s="48">
        <f>'CORTE 4200'!L475</f>
        <v>0</v>
      </c>
      <c r="M53" s="48">
        <f>'CORTE 4200'!M475</f>
        <v>0</v>
      </c>
      <c r="N53" s="48">
        <f>'CORTE 4200'!N475</f>
        <v>0</v>
      </c>
      <c r="O53" s="48">
        <f>'CORTE 4200'!O475</f>
        <v>-4</v>
      </c>
      <c r="S53" s="532" t="s">
        <v>289</v>
      </c>
      <c r="T53" s="560" t="str">
        <f t="shared" si="5"/>
        <v>4234-04</v>
      </c>
      <c r="U53" s="47">
        <f t="shared" si="5"/>
        <v>0</v>
      </c>
      <c r="V53" s="47">
        <f t="shared" si="5"/>
        <v>0</v>
      </c>
      <c r="W53" s="47">
        <f t="shared" si="5"/>
        <v>0</v>
      </c>
      <c r="X53" s="48" t="str">
        <f t="shared" si="5"/>
        <v>Saldo</v>
      </c>
      <c r="Y53" s="49" t="str">
        <f t="shared" si="5"/>
        <v>Lavinia</v>
      </c>
      <c r="Z53" s="48">
        <f t="shared" si="5"/>
        <v>0</v>
      </c>
      <c r="AA53" s="48">
        <f t="shared" si="5"/>
        <v>-9</v>
      </c>
      <c r="AB53" s="48">
        <f t="shared" si="5"/>
        <v>-10</v>
      </c>
      <c r="AC53" s="48">
        <f t="shared" si="5"/>
        <v>-18</v>
      </c>
      <c r="AD53" s="48">
        <f t="shared" si="5"/>
        <v>-9</v>
      </c>
      <c r="AE53" s="48">
        <f t="shared" si="5"/>
        <v>-9</v>
      </c>
      <c r="AF53" s="48">
        <f t="shared" si="5"/>
        <v>-9</v>
      </c>
      <c r="AG53" s="48">
        <f t="shared" si="5"/>
        <v>0</v>
      </c>
      <c r="AH53" s="631">
        <f t="shared" si="5"/>
        <v>-64</v>
      </c>
      <c r="AI53" s="621"/>
      <c r="AJ53" s="27"/>
      <c r="AK53" s="612"/>
      <c r="AL53" s="613"/>
    </row>
    <row r="54" spans="1:38" ht="25.5" thickTop="1" thickBot="1">
      <c r="A54" s="373" t="str">
        <f>'CORTE 4200'!A484</f>
        <v>4227-02</v>
      </c>
      <c r="B54" s="47">
        <f>'CORTE 4200'!B484</f>
        <v>0</v>
      </c>
      <c r="C54" s="47">
        <f>'CORTE 4200'!C484</f>
        <v>0</v>
      </c>
      <c r="D54" s="47">
        <f>'CORTE 4200'!D484</f>
        <v>0</v>
      </c>
      <c r="E54" s="48" t="str">
        <f>'CORTE 4200'!E484</f>
        <v>Saldo</v>
      </c>
      <c r="F54" s="49" t="str">
        <f>'CORTE 4200'!F484</f>
        <v>New Glue</v>
      </c>
      <c r="G54" s="48">
        <f>'CORTE 4200'!G484</f>
        <v>0</v>
      </c>
      <c r="H54" s="48">
        <f>'CORTE 4200'!H484</f>
        <v>0</v>
      </c>
      <c r="I54" s="48">
        <f>'CORTE 4200'!I484</f>
        <v>0</v>
      </c>
      <c r="J54" s="48">
        <f>'CORTE 4200'!J484</f>
        <v>0</v>
      </c>
      <c r="K54" s="48">
        <f>'CORTE 4200'!K484</f>
        <v>0</v>
      </c>
      <c r="L54" s="48">
        <f>'CORTE 4200'!L484</f>
        <v>0</v>
      </c>
      <c r="M54" s="48">
        <f>'CORTE 4200'!M484</f>
        <v>0</v>
      </c>
      <c r="N54" s="48">
        <f>'CORTE 4200'!N484</f>
        <v>0</v>
      </c>
      <c r="O54" s="48">
        <f>'CORTE 4200'!O484</f>
        <v>0</v>
      </c>
      <c r="S54" s="532" t="s">
        <v>289</v>
      </c>
      <c r="T54" s="560" t="str">
        <f t="shared" si="5"/>
        <v>4234-08</v>
      </c>
      <c r="U54" s="47">
        <f t="shared" si="5"/>
        <v>0</v>
      </c>
      <c r="V54" s="47">
        <f t="shared" si="5"/>
        <v>0</v>
      </c>
      <c r="W54" s="47">
        <f t="shared" si="5"/>
        <v>0</v>
      </c>
      <c r="X54" s="48" t="str">
        <f t="shared" si="5"/>
        <v>Saldo</v>
      </c>
      <c r="Y54" s="49" t="str">
        <f t="shared" si="5"/>
        <v>Lavinia</v>
      </c>
      <c r="Z54" s="48">
        <f t="shared" si="5"/>
        <v>0</v>
      </c>
      <c r="AA54" s="48">
        <f t="shared" si="5"/>
        <v>-16</v>
      </c>
      <c r="AB54" s="48">
        <f t="shared" si="5"/>
        <v>-27</v>
      </c>
      <c r="AC54" s="48">
        <f t="shared" si="5"/>
        <v>-28</v>
      </c>
      <c r="AD54" s="48">
        <f t="shared" si="5"/>
        <v>-25</v>
      </c>
      <c r="AE54" s="48">
        <f t="shared" si="5"/>
        <v>-17</v>
      </c>
      <c r="AF54" s="48">
        <f t="shared" si="5"/>
        <v>10</v>
      </c>
      <c r="AG54" s="48">
        <f t="shared" si="5"/>
        <v>0</v>
      </c>
      <c r="AH54" s="631">
        <f t="shared" si="5"/>
        <v>-103</v>
      </c>
      <c r="AI54" s="621"/>
      <c r="AJ54" s="27"/>
      <c r="AK54" s="612"/>
      <c r="AL54" s="613"/>
    </row>
    <row r="55" spans="1:38" ht="25.5" thickTop="1" thickBot="1">
      <c r="A55" s="284" t="str">
        <f>'CORTE 4200'!A493</f>
        <v>4228-00</v>
      </c>
      <c r="B55" s="47">
        <f>'CORTE 4200'!B493</f>
        <v>0</v>
      </c>
      <c r="C55" s="47">
        <f>'CORTE 4200'!C493</f>
        <v>0</v>
      </c>
      <c r="D55" s="47">
        <f>'CORTE 4200'!D493</f>
        <v>0</v>
      </c>
      <c r="E55" s="48" t="str">
        <f>'CORTE 4200'!E493</f>
        <v>Saldo</v>
      </c>
      <c r="F55" s="49" t="str">
        <f>'CORTE 4200'!F493</f>
        <v>B2868-V3</v>
      </c>
      <c r="G55" s="48">
        <f>'CORTE 4200'!G493</f>
        <v>0</v>
      </c>
      <c r="H55" s="48">
        <f>'CORTE 4200'!H493</f>
        <v>6</v>
      </c>
      <c r="I55" s="48">
        <f>'CORTE 4200'!I493</f>
        <v>-5</v>
      </c>
      <c r="J55" s="48">
        <f>'CORTE 4200'!J493</f>
        <v>-53</v>
      </c>
      <c r="K55" s="48">
        <f>'CORTE 4200'!K493</f>
        <v>-8</v>
      </c>
      <c r="L55" s="48">
        <f>'CORTE 4200'!L493</f>
        <v>-33</v>
      </c>
      <c r="M55" s="48">
        <f>'CORTE 4200'!M493</f>
        <v>-6</v>
      </c>
      <c r="N55" s="48">
        <f>'CORTE 4200'!N493</f>
        <v>0</v>
      </c>
      <c r="O55" s="48">
        <f>'CORTE 4200'!O493</f>
        <v>-99</v>
      </c>
      <c r="S55" s="532" t="s">
        <v>289</v>
      </c>
      <c r="T55" s="560" t="str">
        <f t="shared" si="5"/>
        <v>4234-09</v>
      </c>
      <c r="U55" s="47">
        <f t="shared" si="5"/>
        <v>0</v>
      </c>
      <c r="V55" s="47">
        <f t="shared" si="5"/>
        <v>0</v>
      </c>
      <c r="W55" s="47">
        <f t="shared" si="5"/>
        <v>0</v>
      </c>
      <c r="X55" s="48" t="str">
        <f t="shared" si="5"/>
        <v>Saldo</v>
      </c>
      <c r="Y55" s="49" t="str">
        <f t="shared" si="5"/>
        <v>Lavinia</v>
      </c>
      <c r="Z55" s="48">
        <f t="shared" si="5"/>
        <v>0</v>
      </c>
      <c r="AA55" s="48">
        <f t="shared" si="5"/>
        <v>-3</v>
      </c>
      <c r="AB55" s="48">
        <f t="shared" si="5"/>
        <v>-4</v>
      </c>
      <c r="AC55" s="48">
        <f t="shared" si="5"/>
        <v>-4</v>
      </c>
      <c r="AD55" s="48">
        <f t="shared" si="5"/>
        <v>-3</v>
      </c>
      <c r="AE55" s="48">
        <f t="shared" si="5"/>
        <v>-3</v>
      </c>
      <c r="AF55" s="48">
        <f t="shared" si="5"/>
        <v>-1</v>
      </c>
      <c r="AG55" s="48">
        <f t="shared" si="5"/>
        <v>0</v>
      </c>
      <c r="AH55" s="631">
        <f t="shared" si="5"/>
        <v>-18</v>
      </c>
      <c r="AI55" s="621"/>
      <c r="AJ55" s="27"/>
      <c r="AK55" s="612"/>
      <c r="AL55" s="613"/>
    </row>
    <row r="56" spans="1:38" ht="25.5" thickTop="1" thickBot="1">
      <c r="A56" s="284" t="str">
        <f>'CORTE 4200'!A502</f>
        <v>4229-00</v>
      </c>
      <c r="B56" s="47">
        <f>'CORTE 4200'!B502</f>
        <v>0</v>
      </c>
      <c r="C56" s="47">
        <f>'CORTE 4200'!C502</f>
        <v>0</v>
      </c>
      <c r="D56" s="47">
        <f>'CORTE 4200'!D502</f>
        <v>0</v>
      </c>
      <c r="E56" s="48" t="str">
        <f>'CORTE 4200'!E502</f>
        <v>Saldo</v>
      </c>
      <c r="F56" s="49" t="str">
        <f>'CORTE 4200'!F502</f>
        <v>New Glue</v>
      </c>
      <c r="G56" s="48">
        <f>'CORTE 4200'!G502</f>
        <v>0</v>
      </c>
      <c r="H56" s="48">
        <f>'CORTE 4200'!H502</f>
        <v>-35</v>
      </c>
      <c r="I56" s="48">
        <f>'CORTE 4200'!I502</f>
        <v>3</v>
      </c>
      <c r="J56" s="48">
        <f>'CORTE 4200'!J502</f>
        <v>12</v>
      </c>
      <c r="K56" s="48">
        <f>'CORTE 4200'!K502</f>
        <v>10</v>
      </c>
      <c r="L56" s="48">
        <f>'CORTE 4200'!L502</f>
        <v>3</v>
      </c>
      <c r="M56" s="48">
        <f>'CORTE 4200'!M502</f>
        <v>15</v>
      </c>
      <c r="N56" s="48">
        <f>'CORTE 4200'!N502</f>
        <v>0</v>
      </c>
      <c r="O56" s="48">
        <f>'CORTE 4200'!O502</f>
        <v>8</v>
      </c>
      <c r="S56" s="532" t="s">
        <v>289</v>
      </c>
      <c r="T56" s="560" t="str">
        <f t="shared" si="5"/>
        <v>4234-16</v>
      </c>
      <c r="U56" s="47">
        <f t="shared" si="5"/>
        <v>0</v>
      </c>
      <c r="V56" s="47">
        <f t="shared" si="5"/>
        <v>0</v>
      </c>
      <c r="W56" s="47">
        <f t="shared" si="5"/>
        <v>0</v>
      </c>
      <c r="X56" s="48" t="str">
        <f t="shared" si="5"/>
        <v>Saldo</v>
      </c>
      <c r="Y56" s="49" t="str">
        <f t="shared" si="5"/>
        <v>Lavinia</v>
      </c>
      <c r="Z56" s="48">
        <f t="shared" si="5"/>
        <v>0</v>
      </c>
      <c r="AA56" s="48">
        <f t="shared" si="5"/>
        <v>-5</v>
      </c>
      <c r="AB56" s="48">
        <f t="shared" si="5"/>
        <v>-2</v>
      </c>
      <c r="AC56" s="48">
        <f t="shared" si="5"/>
        <v>-4</v>
      </c>
      <c r="AD56" s="48">
        <f t="shared" si="5"/>
        <v>-1</v>
      </c>
      <c r="AE56" s="48">
        <f t="shared" si="5"/>
        <v>-3</v>
      </c>
      <c r="AF56" s="48">
        <f t="shared" si="5"/>
        <v>-1</v>
      </c>
      <c r="AG56" s="48">
        <f t="shared" si="5"/>
        <v>0</v>
      </c>
      <c r="AH56" s="631">
        <f t="shared" si="5"/>
        <v>-16</v>
      </c>
      <c r="AI56" s="621"/>
      <c r="AJ56" s="27"/>
      <c r="AK56" s="612"/>
      <c r="AL56" s="613"/>
    </row>
    <row r="57" spans="1:38" ht="25.5" thickTop="1" thickBot="1">
      <c r="A57" s="284" t="str">
        <f>'CORTE 4200'!A511</f>
        <v>4230-00</v>
      </c>
      <c r="B57" s="47">
        <f>'CORTE 4200'!B511</f>
        <v>0</v>
      </c>
      <c r="C57" s="47">
        <f>'CORTE 4200'!C511</f>
        <v>0</v>
      </c>
      <c r="D57" s="47">
        <f>'CORTE 4200'!D511</f>
        <v>0</v>
      </c>
      <c r="E57" s="48" t="str">
        <f>'CORTE 4200'!E511</f>
        <v>Saldo</v>
      </c>
      <c r="F57" s="49" t="str">
        <f>'CORTE 4200'!F511</f>
        <v>Imperio Max</v>
      </c>
      <c r="G57" s="48">
        <f>'CORTE 4200'!G511</f>
        <v>0</v>
      </c>
      <c r="H57" s="48">
        <f>'CORTE 4200'!H511</f>
        <v>-37</v>
      </c>
      <c r="I57" s="48">
        <f>'CORTE 4200'!I511</f>
        <v>-42</v>
      </c>
      <c r="J57" s="48">
        <f>'CORTE 4200'!J511</f>
        <v>-42</v>
      </c>
      <c r="K57" s="48">
        <f>'CORTE 4200'!K511</f>
        <v>-46</v>
      </c>
      <c r="L57" s="48">
        <f>'CORTE 4200'!L511</f>
        <v>-45</v>
      </c>
      <c r="M57" s="48">
        <f>'CORTE 4200'!M511</f>
        <v>-29</v>
      </c>
      <c r="N57" s="48">
        <f>'CORTE 4200'!N511</f>
        <v>0</v>
      </c>
      <c r="O57" s="48">
        <f>'CORTE 4200'!O511</f>
        <v>-241</v>
      </c>
      <c r="S57" s="534" t="s">
        <v>289</v>
      </c>
      <c r="T57" s="561" t="str">
        <f t="shared" si="5"/>
        <v>4234-48</v>
      </c>
      <c r="U57" s="520">
        <f t="shared" si="5"/>
        <v>0</v>
      </c>
      <c r="V57" s="520">
        <f t="shared" si="5"/>
        <v>0</v>
      </c>
      <c r="W57" s="520">
        <f t="shared" si="5"/>
        <v>0</v>
      </c>
      <c r="X57" s="521" t="str">
        <f t="shared" si="5"/>
        <v>Saldo</v>
      </c>
      <c r="Y57" s="522" t="str">
        <f t="shared" si="5"/>
        <v>Lavinia</v>
      </c>
      <c r="Z57" s="521">
        <f t="shared" si="5"/>
        <v>0</v>
      </c>
      <c r="AA57" s="521">
        <f t="shared" si="5"/>
        <v>-10</v>
      </c>
      <c r="AB57" s="521">
        <f t="shared" si="5"/>
        <v>-15</v>
      </c>
      <c r="AC57" s="521">
        <f t="shared" si="5"/>
        <v>-13</v>
      </c>
      <c r="AD57" s="521">
        <f t="shared" si="5"/>
        <v>-11</v>
      </c>
      <c r="AE57" s="521">
        <f t="shared" si="5"/>
        <v>-10</v>
      </c>
      <c r="AF57" s="521">
        <f t="shared" si="5"/>
        <v>-3</v>
      </c>
      <c r="AG57" s="521">
        <f t="shared" si="5"/>
        <v>0</v>
      </c>
      <c r="AH57" s="632">
        <f t="shared" si="5"/>
        <v>-62</v>
      </c>
      <c r="AI57" s="624"/>
      <c r="AJ57" s="617"/>
      <c r="AK57" s="618"/>
      <c r="AL57" s="619"/>
    </row>
    <row r="58" spans="1:38" ht="25.5" thickTop="1" thickBot="1">
      <c r="A58" s="284" t="str">
        <f>'CORTE 4200'!A520</f>
        <v>4231-00</v>
      </c>
      <c r="B58" s="47">
        <f>'CORTE 4200'!B520</f>
        <v>0</v>
      </c>
      <c r="C58" s="47">
        <f>'CORTE 4200'!C520</f>
        <v>0</v>
      </c>
      <c r="D58" s="47">
        <f>'CORTE 4200'!D520</f>
        <v>0</v>
      </c>
      <c r="E58" s="48" t="str">
        <f>'CORTE 4200'!E520</f>
        <v>Saldo</v>
      </c>
      <c r="F58" s="49">
        <f>'CORTE 4200'!F520</f>
        <v>0</v>
      </c>
      <c r="G58" s="48">
        <f>'CORTE 4200'!G520</f>
        <v>0</v>
      </c>
      <c r="H58" s="48">
        <f>'CORTE 4200'!H520</f>
        <v>0</v>
      </c>
      <c r="I58" s="48">
        <f>'CORTE 4200'!I520</f>
        <v>0</v>
      </c>
      <c r="J58" s="48">
        <f>'CORTE 4200'!J520</f>
        <v>0</v>
      </c>
      <c r="K58" s="48">
        <f>'CORTE 4200'!K520</f>
        <v>0</v>
      </c>
      <c r="L58" s="48">
        <f>'CORTE 4200'!L520</f>
        <v>0</v>
      </c>
      <c r="M58" s="48">
        <f>'CORTE 4200'!M520</f>
        <v>0</v>
      </c>
      <c r="N58" s="48">
        <f>'CORTE 4200'!N520</f>
        <v>0</v>
      </c>
      <c r="O58" s="48">
        <f>'CORTE 4200'!O520</f>
        <v>0</v>
      </c>
      <c r="S58" s="514"/>
      <c r="T58" s="551"/>
      <c r="U58" s="514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633"/>
      <c r="AI58" s="626"/>
      <c r="AJ58" s="27"/>
      <c r="AK58" s="27"/>
      <c r="AL58" s="27"/>
    </row>
    <row r="59" spans="1:38" ht="27.75" thickTop="1" thickBot="1">
      <c r="A59" s="284" t="str">
        <f>'CORTE 4200'!A529</f>
        <v>4232-00</v>
      </c>
      <c r="B59" s="47">
        <f>'CORTE 4200'!B529</f>
        <v>0</v>
      </c>
      <c r="C59" s="47">
        <f>'CORTE 4200'!C529</f>
        <v>0</v>
      </c>
      <c r="D59" s="47">
        <f>'CORTE 4200'!D529</f>
        <v>0</v>
      </c>
      <c r="E59" s="48" t="str">
        <f>'CORTE 4200'!E529</f>
        <v>Saldo</v>
      </c>
      <c r="F59" s="49" t="str">
        <f>'CORTE 4200'!F529</f>
        <v>Ayla</v>
      </c>
      <c r="G59" s="48">
        <f>'CORTE 4200'!G529</f>
        <v>0</v>
      </c>
      <c r="H59" s="48">
        <f>'CORTE 4200'!H529</f>
        <v>-21</v>
      </c>
      <c r="I59" s="48">
        <f>'CORTE 4200'!I529</f>
        <v>-26</v>
      </c>
      <c r="J59" s="48">
        <f>'CORTE 4200'!J529</f>
        <v>-30</v>
      </c>
      <c r="K59" s="48">
        <f>'CORTE 4200'!K529</f>
        <v>-27</v>
      </c>
      <c r="L59" s="48">
        <f>'CORTE 4200'!L529</f>
        <v>-17</v>
      </c>
      <c r="M59" s="48">
        <f>'CORTE 4200'!M529</f>
        <v>-19</v>
      </c>
      <c r="N59" s="48">
        <f>'CORTE 4200'!N529</f>
        <v>0</v>
      </c>
      <c r="O59" s="48">
        <f>'CORTE 4200'!O529</f>
        <v>-140</v>
      </c>
      <c r="S59" s="606" t="s">
        <v>295</v>
      </c>
      <c r="T59" s="562">
        <f>'CORTE 4200'!A37</f>
        <v>4202</v>
      </c>
      <c r="U59" s="515" t="str">
        <f>'CORTE 4200'!B37</f>
        <v>Fecha</v>
      </c>
      <c r="V59" s="515">
        <f>'CORTE 4200'!C37</f>
        <v>0</v>
      </c>
      <c r="W59" s="515" t="str">
        <f>'CORTE 4200'!D37</f>
        <v>Ibiza Blue</v>
      </c>
      <c r="X59" s="516">
        <f>'CORTE 4200'!E37</f>
        <v>0</v>
      </c>
      <c r="Y59" s="530" t="str">
        <f>'CORTE 4200'!F37</f>
        <v>Venta</v>
      </c>
      <c r="Z59" s="517">
        <f>'CORTE 4200'!G37</f>
        <v>0</v>
      </c>
      <c r="AA59" s="518">
        <f>'CORTE 4200'!H37</f>
        <v>85</v>
      </c>
      <c r="AB59" s="518">
        <f>'CORTE 4200'!I37</f>
        <v>181</v>
      </c>
      <c r="AC59" s="518">
        <f>'CORTE 4200'!J37</f>
        <v>196</v>
      </c>
      <c r="AD59" s="518">
        <f>'CORTE 4200'!K37</f>
        <v>188</v>
      </c>
      <c r="AE59" s="518">
        <f>'CORTE 4200'!L37</f>
        <v>127</v>
      </c>
      <c r="AF59" s="518">
        <f>'CORTE 4200'!M37</f>
        <v>99</v>
      </c>
      <c r="AG59" s="518">
        <f>'CORTE 4200'!N37</f>
        <v>0</v>
      </c>
      <c r="AH59" s="629">
        <f>'CORTE 4200'!O37</f>
        <v>876</v>
      </c>
      <c r="AI59" s="622">
        <f>+AH59</f>
        <v>876</v>
      </c>
      <c r="AJ59" s="627">
        <f>+AH61</f>
        <v>-35</v>
      </c>
      <c r="AK59" s="609">
        <v>50</v>
      </c>
      <c r="AL59" s="610"/>
    </row>
    <row r="60" spans="1:38" ht="25.5" thickTop="1" thickBot="1">
      <c r="A60" s="373" t="str">
        <f>'CORTE 4200'!A538</f>
        <v>4233-00</v>
      </c>
      <c r="B60" s="47">
        <f>'CORTE 4200'!B538</f>
        <v>0</v>
      </c>
      <c r="C60" s="47">
        <f>'CORTE 4200'!C538</f>
        <v>0</v>
      </c>
      <c r="D60" s="47">
        <f>'CORTE 4200'!D538</f>
        <v>0</v>
      </c>
      <c r="E60" s="48" t="str">
        <f>'CORTE 4200'!E538</f>
        <v>Saldo</v>
      </c>
      <c r="F60" s="49" t="str">
        <f>'CORTE 4200'!F538</f>
        <v>Lavinia</v>
      </c>
      <c r="G60" s="48">
        <f>'CORTE 4200'!G538</f>
        <v>0</v>
      </c>
      <c r="H60" s="48">
        <f>'CORTE 4200'!H538</f>
        <v>0</v>
      </c>
      <c r="I60" s="48">
        <f>'CORTE 4200'!I538</f>
        <v>0</v>
      </c>
      <c r="J60" s="48">
        <f>'CORTE 4200'!J538</f>
        <v>0</v>
      </c>
      <c r="K60" s="48">
        <f>'CORTE 4200'!K538</f>
        <v>0</v>
      </c>
      <c r="L60" s="48">
        <f>'CORTE 4200'!L538</f>
        <v>0</v>
      </c>
      <c r="M60" s="48">
        <f>'CORTE 4200'!M538</f>
        <v>0</v>
      </c>
      <c r="N60" s="48">
        <f>'CORTE 4200'!N538</f>
        <v>0</v>
      </c>
      <c r="O60" s="48">
        <f>'CORTE 4200'!O538</f>
        <v>0</v>
      </c>
      <c r="R60" s="514"/>
      <c r="S60" s="528"/>
      <c r="T60" s="551"/>
      <c r="U60" s="514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633"/>
      <c r="AI60" s="621"/>
      <c r="AJ60" s="27"/>
      <c r="AK60" s="612"/>
      <c r="AL60" s="613"/>
    </row>
    <row r="61" spans="1:38" ht="25.5" thickTop="1" thickBot="1">
      <c r="A61" s="373" t="str">
        <f>'CORTE 4200'!A547</f>
        <v>4233-04</v>
      </c>
      <c r="B61" s="47">
        <f>'CORTE 4200'!B547</f>
        <v>0</v>
      </c>
      <c r="C61" s="47">
        <f>'CORTE 4200'!C547</f>
        <v>0</v>
      </c>
      <c r="D61" s="47">
        <f>'CORTE 4200'!D547</f>
        <v>0</v>
      </c>
      <c r="E61" s="48" t="str">
        <f>'CORTE 4200'!E547</f>
        <v>Saldo</v>
      </c>
      <c r="F61" s="49" t="str">
        <f>'CORTE 4200'!F547</f>
        <v>Lavinia</v>
      </c>
      <c r="G61" s="48">
        <f>'CORTE 4200'!G547</f>
        <v>0</v>
      </c>
      <c r="H61" s="48">
        <f>'CORTE 4200'!H547</f>
        <v>-10</v>
      </c>
      <c r="I61" s="48">
        <f>'CORTE 4200'!I547</f>
        <v>-17</v>
      </c>
      <c r="J61" s="48">
        <f>'CORTE 4200'!J547</f>
        <v>-17</v>
      </c>
      <c r="K61" s="48">
        <f>'CORTE 4200'!K547</f>
        <v>-13</v>
      </c>
      <c r="L61" s="48">
        <f>'CORTE 4200'!L547</f>
        <v>-13</v>
      </c>
      <c r="M61" s="48">
        <f>'CORTE 4200'!M547</f>
        <v>-7</v>
      </c>
      <c r="N61" s="48">
        <f>'CORTE 4200'!N547</f>
        <v>0</v>
      </c>
      <c r="O61" s="48">
        <f>'CORTE 4200'!O547</f>
        <v>-77</v>
      </c>
      <c r="R61" s="514"/>
      <c r="S61" s="533" t="s">
        <v>289</v>
      </c>
      <c r="T61" s="563">
        <f t="shared" ref="T61:AH61" si="6">A5</f>
        <v>4202</v>
      </c>
      <c r="U61" s="520">
        <f t="shared" si="6"/>
        <v>0</v>
      </c>
      <c r="V61" s="520">
        <f t="shared" si="6"/>
        <v>0</v>
      </c>
      <c r="W61" s="520">
        <f t="shared" si="6"/>
        <v>0</v>
      </c>
      <c r="X61" s="521" t="str">
        <f t="shared" si="6"/>
        <v>Saldo</v>
      </c>
      <c r="Y61" s="522" t="str">
        <f t="shared" si="6"/>
        <v>Ibiza Blue</v>
      </c>
      <c r="Z61" s="521">
        <f t="shared" si="6"/>
        <v>0</v>
      </c>
      <c r="AA61" s="521">
        <f t="shared" si="6"/>
        <v>7</v>
      </c>
      <c r="AB61" s="521">
        <f t="shared" si="6"/>
        <v>-9</v>
      </c>
      <c r="AC61" s="521">
        <f t="shared" si="6"/>
        <v>6</v>
      </c>
      <c r="AD61" s="521">
        <f t="shared" si="6"/>
        <v>-12</v>
      </c>
      <c r="AE61" s="521">
        <f t="shared" si="6"/>
        <v>-16</v>
      </c>
      <c r="AF61" s="521">
        <f t="shared" si="6"/>
        <v>-11</v>
      </c>
      <c r="AG61" s="521">
        <f t="shared" si="6"/>
        <v>0</v>
      </c>
      <c r="AH61" s="632">
        <f t="shared" si="6"/>
        <v>-35</v>
      </c>
      <c r="AI61" s="628"/>
      <c r="AJ61" s="617"/>
      <c r="AK61" s="618"/>
      <c r="AL61" s="619"/>
    </row>
    <row r="62" spans="1:38" ht="25.5" thickTop="1" thickBot="1">
      <c r="A62" s="373" t="str">
        <f>'CORTE 4200'!A556</f>
        <v>4233-08</v>
      </c>
      <c r="B62" s="47">
        <f>'CORTE 4200'!B556</f>
        <v>0</v>
      </c>
      <c r="C62" s="47">
        <f>'CORTE 4200'!C556</f>
        <v>0</v>
      </c>
      <c r="D62" s="47">
        <f>'CORTE 4200'!D556</f>
        <v>0</v>
      </c>
      <c r="E62" s="48" t="str">
        <f>'CORTE 4200'!E556</f>
        <v>Saldo</v>
      </c>
      <c r="F62" s="49" t="str">
        <f>'CORTE 4200'!F556</f>
        <v>Lavinia</v>
      </c>
      <c r="G62" s="48">
        <f>'CORTE 4200'!G556</f>
        <v>0</v>
      </c>
      <c r="H62" s="48">
        <f>'CORTE 4200'!H556</f>
        <v>-5</v>
      </c>
      <c r="I62" s="48">
        <f>'CORTE 4200'!I556</f>
        <v>-13</v>
      </c>
      <c r="J62" s="48">
        <f>'CORTE 4200'!J556</f>
        <v>-13</v>
      </c>
      <c r="K62" s="48">
        <f>'CORTE 4200'!K556</f>
        <v>-11</v>
      </c>
      <c r="L62" s="48">
        <f>'CORTE 4200'!L556</f>
        <v>-12</v>
      </c>
      <c r="M62" s="48">
        <f>'CORTE 4200'!M556</f>
        <v>-3</v>
      </c>
      <c r="N62" s="48">
        <f>'CORTE 4200'!N556</f>
        <v>0</v>
      </c>
      <c r="O62" s="48">
        <f>'CORTE 4200'!O556</f>
        <v>-57</v>
      </c>
      <c r="S62" s="501"/>
      <c r="T62" s="564"/>
      <c r="U62" s="513"/>
      <c r="V62" s="513"/>
      <c r="W62" s="513"/>
      <c r="X62" s="513"/>
      <c r="Y62" s="513"/>
      <c r="Z62" s="513"/>
      <c r="AA62" s="513"/>
      <c r="AB62" s="513"/>
      <c r="AC62" s="513"/>
      <c r="AD62" s="513"/>
      <c r="AE62" s="513"/>
      <c r="AF62" s="513"/>
      <c r="AG62" s="513"/>
      <c r="AH62" s="634"/>
      <c r="AI62" s="625"/>
      <c r="AJ62" s="27"/>
      <c r="AK62" s="27"/>
      <c r="AL62" s="27"/>
    </row>
    <row r="63" spans="1:38" ht="27.75" thickTop="1" thickBot="1">
      <c r="A63" s="373" t="str">
        <f>'CORTE 4200'!A565</f>
        <v>4233-09</v>
      </c>
      <c r="B63" s="47">
        <f>'CORTE 4200'!B565</f>
        <v>0</v>
      </c>
      <c r="C63" s="47">
        <f>'CORTE 4200'!C565</f>
        <v>0</v>
      </c>
      <c r="D63" s="47">
        <f>'CORTE 4200'!D565</f>
        <v>0</v>
      </c>
      <c r="E63" s="48" t="str">
        <f>'CORTE 4200'!E565</f>
        <v>Saldo</v>
      </c>
      <c r="F63" s="49" t="str">
        <f>'CORTE 4200'!F565</f>
        <v>Lavinia</v>
      </c>
      <c r="G63" s="48">
        <f>'CORTE 4200'!G565</f>
        <v>0</v>
      </c>
      <c r="H63" s="48">
        <f>'CORTE 4200'!H565</f>
        <v>0</v>
      </c>
      <c r="I63" s="48">
        <f>'CORTE 4200'!I565</f>
        <v>-1</v>
      </c>
      <c r="J63" s="48">
        <f>'CORTE 4200'!J565</f>
        <v>-1</v>
      </c>
      <c r="K63" s="48">
        <f>'CORTE 4200'!K565</f>
        <v>-1</v>
      </c>
      <c r="L63" s="48">
        <f>'CORTE 4200'!L565</f>
        <v>-1</v>
      </c>
      <c r="M63" s="48">
        <f>'CORTE 4200'!M565</f>
        <v>0</v>
      </c>
      <c r="N63" s="48">
        <f>'CORTE 4200'!N565</f>
        <v>0</v>
      </c>
      <c r="O63" s="48">
        <f>'CORTE 4200'!O565</f>
        <v>-4</v>
      </c>
      <c r="S63" s="606" t="s">
        <v>296</v>
      </c>
      <c r="T63" s="565" t="str">
        <f>'CORTE 4200'!A640</f>
        <v>4235-00</v>
      </c>
      <c r="U63" s="515" t="str">
        <f>'CORTE 4200'!B640</f>
        <v>Fecha</v>
      </c>
      <c r="V63" s="515">
        <f>'CORTE 4200'!C640</f>
        <v>0</v>
      </c>
      <c r="W63" s="515" t="str">
        <f>'CORTE 4200'!D640</f>
        <v>Ibiza Blue</v>
      </c>
      <c r="X63" s="516">
        <f>'CORTE 4200'!E640</f>
        <v>0</v>
      </c>
      <c r="Y63" s="530" t="str">
        <f>'CORTE 4200'!F640</f>
        <v>Venta</v>
      </c>
      <c r="Z63" s="517">
        <f>'CORTE 4200'!G640</f>
        <v>0</v>
      </c>
      <c r="AA63" s="518">
        <f>'CORTE 4200'!H640</f>
        <v>68</v>
      </c>
      <c r="AB63" s="518">
        <f>'CORTE 4200'!I640</f>
        <v>123</v>
      </c>
      <c r="AC63" s="518">
        <f>'CORTE 4200'!J640</f>
        <v>126</v>
      </c>
      <c r="AD63" s="518">
        <f>'CORTE 4200'!K640</f>
        <v>121</v>
      </c>
      <c r="AE63" s="518">
        <f>'CORTE 4200'!L640</f>
        <v>80</v>
      </c>
      <c r="AF63" s="518">
        <f>'CORTE 4200'!M640</f>
        <v>57</v>
      </c>
      <c r="AG63" s="518">
        <f>'CORTE 4200'!N640</f>
        <v>0</v>
      </c>
      <c r="AH63" s="629">
        <f>'CORTE 4200'!O640</f>
        <v>575</v>
      </c>
      <c r="AI63" s="610"/>
      <c r="AJ63" s="608"/>
      <c r="AK63" s="609"/>
      <c r="AL63" s="610"/>
    </row>
    <row r="64" spans="1:38" ht="27.75" thickTop="1" thickBot="1">
      <c r="A64" s="373" t="str">
        <f>'CORTE 4200'!A574</f>
        <v>4233-16</v>
      </c>
      <c r="B64" s="47">
        <f>'CORTE 4200'!B574</f>
        <v>0</v>
      </c>
      <c r="C64" s="47">
        <f>'CORTE 4200'!C574</f>
        <v>0</v>
      </c>
      <c r="D64" s="47">
        <f>'CORTE 4200'!D574</f>
        <v>0</v>
      </c>
      <c r="E64" s="48" t="str">
        <f>'CORTE 4200'!E574</f>
        <v>Saldo</v>
      </c>
      <c r="F64" s="49" t="str">
        <f>'CORTE 4200'!F574</f>
        <v>Lavinia</v>
      </c>
      <c r="G64" s="48">
        <f>'CORTE 4200'!G574</f>
        <v>0</v>
      </c>
      <c r="H64" s="48">
        <f>'CORTE 4200'!H574</f>
        <v>-2</v>
      </c>
      <c r="I64" s="48">
        <f>'CORTE 4200'!I574</f>
        <v>-4</v>
      </c>
      <c r="J64" s="48">
        <f>'CORTE 4200'!J574</f>
        <v>-4</v>
      </c>
      <c r="K64" s="48">
        <f>'CORTE 4200'!K574</f>
        <v>-3</v>
      </c>
      <c r="L64" s="48">
        <f>'CORTE 4200'!L574</f>
        <v>-2</v>
      </c>
      <c r="M64" s="48">
        <f>'CORTE 4200'!M574</f>
        <v>-1</v>
      </c>
      <c r="N64" s="48">
        <f>'CORTE 4200'!N574</f>
        <v>0</v>
      </c>
      <c r="O64" s="48">
        <f>'CORTE 4200'!O574</f>
        <v>-16</v>
      </c>
      <c r="S64" s="524"/>
      <c r="T64" s="566" t="str">
        <f>'CORTE 4200'!A649</f>
        <v>4235-01</v>
      </c>
      <c r="U64" s="39" t="str">
        <f>'CORTE 4200'!B649</f>
        <v>Fecha</v>
      </c>
      <c r="V64" s="39">
        <f>'CORTE 4200'!C649</f>
        <v>0</v>
      </c>
      <c r="W64" s="39" t="str">
        <f>'CORTE 4200'!D649</f>
        <v>Ibiza Blue</v>
      </c>
      <c r="X64" s="40">
        <f>'CORTE 4200'!E649</f>
        <v>0</v>
      </c>
      <c r="Y64" s="531" t="str">
        <f>'CORTE 4200'!F649</f>
        <v>Venta</v>
      </c>
      <c r="Z64" s="261">
        <f>'CORTE 4200'!G649</f>
        <v>0</v>
      </c>
      <c r="AA64" s="262">
        <f>'CORTE 4200'!H649</f>
        <v>27</v>
      </c>
      <c r="AB64" s="262">
        <f>'CORTE 4200'!I649</f>
        <v>46</v>
      </c>
      <c r="AC64" s="262">
        <f>'CORTE 4200'!J649</f>
        <v>51</v>
      </c>
      <c r="AD64" s="262">
        <f>'CORTE 4200'!K649</f>
        <v>49</v>
      </c>
      <c r="AE64" s="262">
        <f>'CORTE 4200'!L649</f>
        <v>37</v>
      </c>
      <c r="AF64" s="262">
        <f>'CORTE 4200'!M649</f>
        <v>27</v>
      </c>
      <c r="AG64" s="262">
        <f>'CORTE 4200'!N649</f>
        <v>0</v>
      </c>
      <c r="AH64" s="168">
        <f>'CORTE 4200'!O649</f>
        <v>237</v>
      </c>
      <c r="AI64" s="622">
        <f>+SUM(AH63:AH64)</f>
        <v>812</v>
      </c>
      <c r="AJ64" s="615">
        <f>+SUM(AH66:AH67)</f>
        <v>-290</v>
      </c>
      <c r="AK64" s="612">
        <v>50</v>
      </c>
      <c r="AL64" s="613"/>
    </row>
    <row r="65" spans="1:38" ht="25.5" thickTop="1" thickBot="1">
      <c r="A65" s="373" t="str">
        <f>'CORTE 4200'!A583</f>
        <v>4233-48</v>
      </c>
      <c r="B65" s="47">
        <f>'CORTE 4200'!B583</f>
        <v>0</v>
      </c>
      <c r="C65" s="47">
        <f>'CORTE 4200'!C583</f>
        <v>0</v>
      </c>
      <c r="D65" s="47">
        <f>'CORTE 4200'!D583</f>
        <v>0</v>
      </c>
      <c r="E65" s="48" t="str">
        <f>'CORTE 4200'!E583</f>
        <v>Saldo</v>
      </c>
      <c r="F65" s="49" t="str">
        <f>'CORTE 4200'!F583</f>
        <v>Lavinia</v>
      </c>
      <c r="G65" s="48">
        <f>'CORTE 4200'!G583</f>
        <v>0</v>
      </c>
      <c r="H65" s="48">
        <f>'CORTE 4200'!H583</f>
        <v>-2</v>
      </c>
      <c r="I65" s="48">
        <f>'CORTE 4200'!I583</f>
        <v>-4</v>
      </c>
      <c r="J65" s="48">
        <f>'CORTE 4200'!J583</f>
        <v>-4</v>
      </c>
      <c r="K65" s="48">
        <f>'CORTE 4200'!K583</f>
        <v>-3</v>
      </c>
      <c r="L65" s="48">
        <f>'CORTE 4200'!L583</f>
        <v>-3</v>
      </c>
      <c r="M65" s="48">
        <f>'CORTE 4200'!M583</f>
        <v>-1</v>
      </c>
      <c r="N65" s="48">
        <f>'CORTE 4200'!N583</f>
        <v>0</v>
      </c>
      <c r="O65" s="48">
        <f>'CORTE 4200'!O583</f>
        <v>-17</v>
      </c>
      <c r="S65" s="523"/>
      <c r="T65" s="551"/>
      <c r="U65" s="514"/>
      <c r="V65" s="514"/>
      <c r="W65" s="514"/>
      <c r="X65" s="514"/>
      <c r="Y65" s="514"/>
      <c r="Z65" s="514"/>
      <c r="AA65" s="514"/>
      <c r="AB65" s="514"/>
      <c r="AC65" s="514"/>
      <c r="AD65" s="514"/>
      <c r="AE65" s="514"/>
      <c r="AF65" s="514"/>
      <c r="AG65" s="514"/>
      <c r="AH65" s="633"/>
      <c r="AI65" s="621"/>
      <c r="AJ65" s="27"/>
      <c r="AK65" s="612"/>
      <c r="AL65" s="613"/>
    </row>
    <row r="66" spans="1:38" ht="25.5" thickTop="1" thickBot="1">
      <c r="A66" s="380" t="str">
        <f>'CORTE 4200'!A592</f>
        <v>4234-00</v>
      </c>
      <c r="B66" s="47">
        <f>'CORTE 4200'!B592</f>
        <v>0</v>
      </c>
      <c r="C66" s="47">
        <f>'CORTE 4200'!C592</f>
        <v>0</v>
      </c>
      <c r="D66" s="47">
        <f>'CORTE 4200'!D592</f>
        <v>0</v>
      </c>
      <c r="E66" s="48" t="str">
        <f>'CORTE 4200'!E592</f>
        <v>Saldo</v>
      </c>
      <c r="F66" s="49" t="str">
        <f>'CORTE 4200'!F592</f>
        <v>Lavinia</v>
      </c>
      <c r="G66" s="48">
        <f>'CORTE 4200'!G592</f>
        <v>0</v>
      </c>
      <c r="H66" s="48">
        <f>'CORTE 4200'!H592</f>
        <v>3</v>
      </c>
      <c r="I66" s="48">
        <f>'CORTE 4200'!I592</f>
        <v>4</v>
      </c>
      <c r="J66" s="48">
        <f>'CORTE 4200'!J592</f>
        <v>2</v>
      </c>
      <c r="K66" s="48">
        <f>'CORTE 4200'!K592</f>
        <v>2</v>
      </c>
      <c r="L66" s="48">
        <f>'CORTE 4200'!L592</f>
        <v>1</v>
      </c>
      <c r="M66" s="48">
        <f>'CORTE 4200'!M592</f>
        <v>0</v>
      </c>
      <c r="N66" s="48">
        <f>'CORTE 4200'!N592</f>
        <v>0</v>
      </c>
      <c r="O66" s="48">
        <f>'CORTE 4200'!O592</f>
        <v>12</v>
      </c>
      <c r="S66" s="532" t="s">
        <v>289</v>
      </c>
      <c r="T66" s="567" t="str">
        <f t="shared" ref="T66:V67" si="7">A72</f>
        <v>4235-00</v>
      </c>
      <c r="U66" s="47">
        <f t="shared" si="7"/>
        <v>0</v>
      </c>
      <c r="V66" s="47">
        <f t="shared" si="7"/>
        <v>0</v>
      </c>
      <c r="W66" s="47">
        <f t="shared" ref="W66:AH67" si="8">D72</f>
        <v>0</v>
      </c>
      <c r="X66" s="48" t="str">
        <f t="shared" si="8"/>
        <v>Saldo</v>
      </c>
      <c r="Y66" s="49" t="str">
        <f t="shared" si="8"/>
        <v>Ibiza Blue</v>
      </c>
      <c r="Z66" s="48">
        <f t="shared" si="8"/>
        <v>0</v>
      </c>
      <c r="AA66" s="48">
        <f t="shared" si="8"/>
        <v>-28</v>
      </c>
      <c r="AB66" s="48">
        <f t="shared" si="8"/>
        <v>-58</v>
      </c>
      <c r="AC66" s="48">
        <f t="shared" si="8"/>
        <v>-60</v>
      </c>
      <c r="AD66" s="48">
        <f t="shared" si="8"/>
        <v>-56</v>
      </c>
      <c r="AE66" s="48">
        <f t="shared" si="8"/>
        <v>-43</v>
      </c>
      <c r="AF66" s="48">
        <f t="shared" si="8"/>
        <v>-23</v>
      </c>
      <c r="AG66" s="48">
        <f t="shared" si="8"/>
        <v>0</v>
      </c>
      <c r="AH66" s="631">
        <f t="shared" si="8"/>
        <v>-268</v>
      </c>
      <c r="AI66" s="616"/>
      <c r="AJ66" s="27"/>
      <c r="AK66" s="612"/>
      <c r="AL66" s="613"/>
    </row>
    <row r="67" spans="1:38" ht="25.5" thickTop="1" thickBot="1">
      <c r="A67" s="380" t="str">
        <f>'CORTE 4200'!A601</f>
        <v>4234-04</v>
      </c>
      <c r="B67" s="47">
        <f>'CORTE 4200'!B601</f>
        <v>0</v>
      </c>
      <c r="C67" s="47">
        <f>'CORTE 4200'!C601</f>
        <v>0</v>
      </c>
      <c r="D67" s="47">
        <f>'CORTE 4200'!D601</f>
        <v>0</v>
      </c>
      <c r="E67" s="48" t="str">
        <f>'CORTE 4200'!E601</f>
        <v>Saldo</v>
      </c>
      <c r="F67" s="49" t="str">
        <f>'CORTE 4200'!F601</f>
        <v>Lavinia</v>
      </c>
      <c r="G67" s="48">
        <f>'CORTE 4200'!G601</f>
        <v>0</v>
      </c>
      <c r="H67" s="48">
        <f>'CORTE 4200'!H601</f>
        <v>-9</v>
      </c>
      <c r="I67" s="48">
        <f>'CORTE 4200'!I601</f>
        <v>-10</v>
      </c>
      <c r="J67" s="48">
        <f>'CORTE 4200'!J601</f>
        <v>-18</v>
      </c>
      <c r="K67" s="48">
        <f>'CORTE 4200'!K601</f>
        <v>-9</v>
      </c>
      <c r="L67" s="48">
        <f>'CORTE 4200'!L601</f>
        <v>-9</v>
      </c>
      <c r="M67" s="48">
        <f>'CORTE 4200'!M601</f>
        <v>-9</v>
      </c>
      <c r="N67" s="48">
        <f>'CORTE 4200'!N601</f>
        <v>0</v>
      </c>
      <c r="O67" s="48">
        <f>'CORTE 4200'!O601</f>
        <v>-64</v>
      </c>
      <c r="S67" s="533" t="s">
        <v>289</v>
      </c>
      <c r="T67" s="568" t="str">
        <f t="shared" si="7"/>
        <v>4235-01</v>
      </c>
      <c r="U67" s="520">
        <f t="shared" si="7"/>
        <v>0</v>
      </c>
      <c r="V67" s="520">
        <f t="shared" si="7"/>
        <v>0</v>
      </c>
      <c r="W67" s="520">
        <f t="shared" si="8"/>
        <v>0</v>
      </c>
      <c r="X67" s="521" t="str">
        <f t="shared" si="8"/>
        <v>Saldo</v>
      </c>
      <c r="Y67" s="522" t="str">
        <f t="shared" si="8"/>
        <v>Ibiza Blue</v>
      </c>
      <c r="Z67" s="521">
        <f t="shared" si="8"/>
        <v>0</v>
      </c>
      <c r="AA67" s="521">
        <f t="shared" si="8"/>
        <v>-3</v>
      </c>
      <c r="AB67" s="521">
        <f t="shared" si="8"/>
        <v>-4</v>
      </c>
      <c r="AC67" s="521">
        <f t="shared" si="8"/>
        <v>-4</v>
      </c>
      <c r="AD67" s="521">
        <f t="shared" si="8"/>
        <v>-5</v>
      </c>
      <c r="AE67" s="521">
        <f t="shared" si="8"/>
        <v>-4</v>
      </c>
      <c r="AF67" s="521">
        <f t="shared" si="8"/>
        <v>-2</v>
      </c>
      <c r="AG67" s="521">
        <f t="shared" si="8"/>
        <v>0</v>
      </c>
      <c r="AH67" s="632">
        <f t="shared" si="8"/>
        <v>-22</v>
      </c>
      <c r="AI67" s="624"/>
      <c r="AJ67" s="617"/>
      <c r="AK67" s="618"/>
      <c r="AL67" s="619"/>
    </row>
    <row r="68" spans="1:38" ht="25.5" thickTop="1" thickBot="1">
      <c r="A68" s="380" t="str">
        <f>'CORTE 4200'!A610</f>
        <v>4234-08</v>
      </c>
      <c r="B68" s="47">
        <f>'CORTE 4200'!B610</f>
        <v>0</v>
      </c>
      <c r="C68" s="47">
        <f>'CORTE 4200'!C610</f>
        <v>0</v>
      </c>
      <c r="D68" s="47">
        <f>'CORTE 4200'!D610</f>
        <v>0</v>
      </c>
      <c r="E68" s="48" t="str">
        <f>'CORTE 4200'!E610</f>
        <v>Saldo</v>
      </c>
      <c r="F68" s="49" t="str">
        <f>'CORTE 4200'!F610</f>
        <v>Lavinia</v>
      </c>
      <c r="G68" s="48">
        <f>'CORTE 4200'!G610</f>
        <v>0</v>
      </c>
      <c r="H68" s="48">
        <f>'CORTE 4200'!H610</f>
        <v>-16</v>
      </c>
      <c r="I68" s="48">
        <f>'CORTE 4200'!I610</f>
        <v>-27</v>
      </c>
      <c r="J68" s="48">
        <f>'CORTE 4200'!J610</f>
        <v>-28</v>
      </c>
      <c r="K68" s="48">
        <f>'CORTE 4200'!K610</f>
        <v>-25</v>
      </c>
      <c r="L68" s="48">
        <f>'CORTE 4200'!L610</f>
        <v>-17</v>
      </c>
      <c r="M68" s="48">
        <f>'CORTE 4200'!M610</f>
        <v>10</v>
      </c>
      <c r="N68" s="48">
        <f>'CORTE 4200'!N610</f>
        <v>0</v>
      </c>
      <c r="O68" s="48">
        <f>'CORTE 4200'!O610</f>
        <v>-103</v>
      </c>
      <c r="AI68" s="27"/>
      <c r="AJ68" s="27"/>
      <c r="AK68" s="27"/>
      <c r="AL68" s="27"/>
    </row>
    <row r="69" spans="1:38" ht="25.5" thickTop="1" thickBot="1">
      <c r="A69" s="380" t="str">
        <f>'CORTE 4200'!A619</f>
        <v>4234-09</v>
      </c>
      <c r="B69" s="47">
        <f>'CORTE 4200'!B619</f>
        <v>0</v>
      </c>
      <c r="C69" s="47">
        <f>'CORTE 4200'!C619</f>
        <v>0</v>
      </c>
      <c r="D69" s="47">
        <f>'CORTE 4200'!D619</f>
        <v>0</v>
      </c>
      <c r="E69" s="48" t="str">
        <f>'CORTE 4200'!E619</f>
        <v>Saldo</v>
      </c>
      <c r="F69" s="49" t="str">
        <f>'CORTE 4200'!F619</f>
        <v>Lavinia</v>
      </c>
      <c r="G69" s="48">
        <f>'CORTE 4200'!G619</f>
        <v>0</v>
      </c>
      <c r="H69" s="48">
        <f>'CORTE 4200'!H619</f>
        <v>-3</v>
      </c>
      <c r="I69" s="48">
        <f>'CORTE 4200'!I619</f>
        <v>-4</v>
      </c>
      <c r="J69" s="48">
        <f>'CORTE 4200'!J619</f>
        <v>-4</v>
      </c>
      <c r="K69" s="48">
        <f>'CORTE 4200'!K619</f>
        <v>-3</v>
      </c>
      <c r="L69" s="48">
        <f>'CORTE 4200'!L619</f>
        <v>-3</v>
      </c>
      <c r="M69" s="48">
        <f>'CORTE 4200'!M619</f>
        <v>-1</v>
      </c>
      <c r="N69" s="48">
        <f>'CORTE 4200'!N619</f>
        <v>0</v>
      </c>
      <c r="O69" s="48">
        <f>'CORTE 4200'!O619</f>
        <v>-18</v>
      </c>
      <c r="AI69" s="27"/>
      <c r="AJ69" s="27"/>
      <c r="AK69" s="27"/>
      <c r="AL69" s="27"/>
    </row>
    <row r="70" spans="1:38" ht="27.75" thickTop="1" thickBot="1">
      <c r="A70" s="380" t="str">
        <f>'CORTE 4200'!A628</f>
        <v>4234-16</v>
      </c>
      <c r="B70" s="47">
        <f>'CORTE 4200'!B628</f>
        <v>0</v>
      </c>
      <c r="C70" s="47">
        <f>'CORTE 4200'!C628</f>
        <v>0</v>
      </c>
      <c r="D70" s="47">
        <f>'CORTE 4200'!D628</f>
        <v>0</v>
      </c>
      <c r="E70" s="48" t="str">
        <f>'CORTE 4200'!E628</f>
        <v>Saldo</v>
      </c>
      <c r="F70" s="49" t="str">
        <f>'CORTE 4200'!F628</f>
        <v>Lavinia</v>
      </c>
      <c r="G70" s="48">
        <f>'CORTE 4200'!G628</f>
        <v>0</v>
      </c>
      <c r="H70" s="48">
        <f>'CORTE 4200'!H628</f>
        <v>-5</v>
      </c>
      <c r="I70" s="48">
        <f>'CORTE 4200'!I628</f>
        <v>-2</v>
      </c>
      <c r="J70" s="48">
        <f>'CORTE 4200'!J628</f>
        <v>-4</v>
      </c>
      <c r="K70" s="48">
        <f>'CORTE 4200'!K628</f>
        <v>-1</v>
      </c>
      <c r="L70" s="48">
        <f>'CORTE 4200'!L628</f>
        <v>-3</v>
      </c>
      <c r="M70" s="48">
        <f>'CORTE 4200'!M628</f>
        <v>-1</v>
      </c>
      <c r="N70" s="48">
        <f>'CORTE 4200'!N628</f>
        <v>0</v>
      </c>
      <c r="O70" s="48">
        <f>'CORTE 4200'!O628</f>
        <v>-16</v>
      </c>
      <c r="S70" s="606" t="s">
        <v>297</v>
      </c>
      <c r="T70" s="569" t="str">
        <f>'CORTE 4200'!A442</f>
        <v>4226-00</v>
      </c>
      <c r="U70" s="515" t="str">
        <f>'CORTE 4200'!B442</f>
        <v>Fecha</v>
      </c>
      <c r="V70" s="515">
        <f>'CORTE 4200'!C442</f>
        <v>0</v>
      </c>
      <c r="W70" s="515" t="str">
        <f>'CORTE 4200'!D442</f>
        <v>Ibiza Blue</v>
      </c>
      <c r="X70" s="516">
        <f>'CORTE 4200'!E442</f>
        <v>0</v>
      </c>
      <c r="Y70" s="530" t="str">
        <f>'CORTE 4200'!F442</f>
        <v>Venta</v>
      </c>
      <c r="Z70" s="517">
        <f>'CORTE 4200'!G442</f>
        <v>0</v>
      </c>
      <c r="AA70" s="518">
        <f>'CORTE 4200'!H442</f>
        <v>51</v>
      </c>
      <c r="AB70" s="518">
        <f>'CORTE 4200'!I442</f>
        <v>113</v>
      </c>
      <c r="AC70" s="518">
        <f>'CORTE 4200'!J442</f>
        <v>127</v>
      </c>
      <c r="AD70" s="518">
        <f>'CORTE 4200'!K442</f>
        <v>120</v>
      </c>
      <c r="AE70" s="518">
        <f>'CORTE 4200'!L442</f>
        <v>81</v>
      </c>
      <c r="AF70" s="518">
        <f>'CORTE 4200'!M442</f>
        <v>59</v>
      </c>
      <c r="AG70" s="518">
        <f>'CORTE 4200'!N442</f>
        <v>0</v>
      </c>
      <c r="AH70" s="629">
        <f>'CORTE 4200'!O442</f>
        <v>551</v>
      </c>
      <c r="AI70" s="610"/>
      <c r="AJ70" s="608"/>
      <c r="AK70" s="609"/>
      <c r="AL70" s="610"/>
    </row>
    <row r="71" spans="1:38" ht="27.75" thickTop="1" thickBot="1">
      <c r="A71" s="380" t="str">
        <f>'CORTE 4200'!A637</f>
        <v>4234-48</v>
      </c>
      <c r="B71" s="47">
        <f>'CORTE 4200'!B637</f>
        <v>0</v>
      </c>
      <c r="C71" s="47">
        <f>'CORTE 4200'!C637</f>
        <v>0</v>
      </c>
      <c r="D71" s="47">
        <f>'CORTE 4200'!D637</f>
        <v>0</v>
      </c>
      <c r="E71" s="48" t="str">
        <f>'CORTE 4200'!E637</f>
        <v>Saldo</v>
      </c>
      <c r="F71" s="49" t="str">
        <f>'CORTE 4200'!F637</f>
        <v>Lavinia</v>
      </c>
      <c r="G71" s="48">
        <f>'CORTE 4200'!G637</f>
        <v>0</v>
      </c>
      <c r="H71" s="48">
        <f>'CORTE 4200'!H637</f>
        <v>-10</v>
      </c>
      <c r="I71" s="48">
        <f>'CORTE 4200'!I637</f>
        <v>-15</v>
      </c>
      <c r="J71" s="48">
        <f>'CORTE 4200'!J637</f>
        <v>-13</v>
      </c>
      <c r="K71" s="48">
        <f>'CORTE 4200'!K637</f>
        <v>-11</v>
      </c>
      <c r="L71" s="48">
        <f>'CORTE 4200'!L637</f>
        <v>-10</v>
      </c>
      <c r="M71" s="48">
        <f>'CORTE 4200'!M637</f>
        <v>-3</v>
      </c>
      <c r="N71" s="48">
        <f>'CORTE 4200'!N637</f>
        <v>0</v>
      </c>
      <c r="O71" s="48">
        <f>'CORTE 4200'!O637</f>
        <v>-62</v>
      </c>
      <c r="S71" s="519"/>
      <c r="T71" s="570" t="str">
        <f>'CORTE 4200'!A451</f>
        <v>4226-01</v>
      </c>
      <c r="U71" s="39" t="str">
        <f>'CORTE 4200'!B451</f>
        <v>Fecha</v>
      </c>
      <c r="V71" s="39">
        <f>'CORTE 4200'!C451</f>
        <v>0</v>
      </c>
      <c r="W71" s="39" t="str">
        <f>'CORTE 4200'!D451</f>
        <v>Ibiza Blue</v>
      </c>
      <c r="X71" s="40">
        <f>'CORTE 4200'!E451</f>
        <v>0</v>
      </c>
      <c r="Y71" s="531" t="str">
        <f>'CORTE 4200'!F451</f>
        <v>Venta</v>
      </c>
      <c r="Z71" s="261">
        <f>'CORTE 4200'!G451</f>
        <v>0</v>
      </c>
      <c r="AA71" s="262">
        <f>'CORTE 4200'!H451</f>
        <v>32</v>
      </c>
      <c r="AB71" s="262">
        <f>'CORTE 4200'!I451</f>
        <v>51</v>
      </c>
      <c r="AC71" s="262">
        <f>'CORTE 4200'!J451</f>
        <v>58</v>
      </c>
      <c r="AD71" s="262">
        <f>'CORTE 4200'!K451</f>
        <v>51</v>
      </c>
      <c r="AE71" s="262">
        <f>'CORTE 4200'!L451</f>
        <v>39</v>
      </c>
      <c r="AF71" s="262">
        <f>'CORTE 4200'!M451</f>
        <v>24</v>
      </c>
      <c r="AG71" s="262">
        <f>'CORTE 4200'!N451</f>
        <v>0</v>
      </c>
      <c r="AH71" s="168">
        <f>'CORTE 4200'!O451</f>
        <v>255</v>
      </c>
      <c r="AI71" s="622">
        <f>+SUM(AH70:AH71)</f>
        <v>806</v>
      </c>
      <c r="AJ71" s="615">
        <f>+SUM(AH73:AH74)</f>
        <v>51</v>
      </c>
      <c r="AK71" s="612">
        <v>50</v>
      </c>
      <c r="AL71" s="613"/>
    </row>
    <row r="72" spans="1:38" ht="25.5" thickTop="1" thickBot="1">
      <c r="A72" s="385" t="str">
        <f>'CORTE 4200'!A646</f>
        <v>4235-00</v>
      </c>
      <c r="B72" s="47">
        <f>'CORTE 4200'!B646</f>
        <v>0</v>
      </c>
      <c r="C72" s="47">
        <f>'CORTE 4200'!C646</f>
        <v>0</v>
      </c>
      <c r="D72" s="47">
        <f>'CORTE 4200'!D646</f>
        <v>0</v>
      </c>
      <c r="E72" s="48" t="str">
        <f>'CORTE 4200'!E646</f>
        <v>Saldo</v>
      </c>
      <c r="F72" s="49" t="str">
        <f>'CORTE 4200'!F646</f>
        <v>Ibiza Blue</v>
      </c>
      <c r="G72" s="48">
        <f>'CORTE 4200'!G646</f>
        <v>0</v>
      </c>
      <c r="H72" s="48">
        <f>'CORTE 4200'!H646</f>
        <v>-28</v>
      </c>
      <c r="I72" s="48">
        <f>'CORTE 4200'!I646</f>
        <v>-58</v>
      </c>
      <c r="J72" s="48">
        <f>'CORTE 4200'!J646</f>
        <v>-60</v>
      </c>
      <c r="K72" s="48">
        <f>'CORTE 4200'!K646</f>
        <v>-56</v>
      </c>
      <c r="L72" s="48">
        <f>'CORTE 4200'!L646</f>
        <v>-43</v>
      </c>
      <c r="M72" s="48">
        <f>'CORTE 4200'!M646</f>
        <v>-23</v>
      </c>
      <c r="N72" s="48">
        <f>'CORTE 4200'!N646</f>
        <v>0</v>
      </c>
      <c r="O72" s="48">
        <f>'CORTE 4200'!O646</f>
        <v>-268</v>
      </c>
      <c r="S72" s="523"/>
      <c r="T72" s="551"/>
      <c r="U72" s="514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633"/>
      <c r="AI72" s="621"/>
      <c r="AJ72" s="27"/>
      <c r="AK72" s="612"/>
      <c r="AL72" s="613"/>
    </row>
    <row r="73" spans="1:38" ht="25.5" thickTop="1" thickBot="1">
      <c r="A73" s="385" t="str">
        <f>'CORTE 4200'!A655</f>
        <v>4235-01</v>
      </c>
      <c r="B73" s="47">
        <f>'CORTE 4200'!B655</f>
        <v>0</v>
      </c>
      <c r="C73" s="47">
        <f>'CORTE 4200'!C655</f>
        <v>0</v>
      </c>
      <c r="D73" s="47">
        <f>'CORTE 4200'!D655</f>
        <v>0</v>
      </c>
      <c r="E73" s="48" t="str">
        <f>'CORTE 4200'!E655</f>
        <v>Saldo</v>
      </c>
      <c r="F73" s="49" t="str">
        <f>'CORTE 4200'!F655</f>
        <v>Ibiza Blue</v>
      </c>
      <c r="G73" s="48">
        <f>'CORTE 4200'!G655</f>
        <v>0</v>
      </c>
      <c r="H73" s="48">
        <f>'CORTE 4200'!H655</f>
        <v>-3</v>
      </c>
      <c r="I73" s="48">
        <f>'CORTE 4200'!I655</f>
        <v>-4</v>
      </c>
      <c r="J73" s="48">
        <f>'CORTE 4200'!J655</f>
        <v>-4</v>
      </c>
      <c r="K73" s="48">
        <f>'CORTE 4200'!K655</f>
        <v>-5</v>
      </c>
      <c r="L73" s="48">
        <f>'CORTE 4200'!L655</f>
        <v>-4</v>
      </c>
      <c r="M73" s="48">
        <f>'CORTE 4200'!M655</f>
        <v>-2</v>
      </c>
      <c r="N73" s="48">
        <f>'CORTE 4200'!N655</f>
        <v>0</v>
      </c>
      <c r="O73" s="48">
        <f>'CORTE 4200'!O655</f>
        <v>-22</v>
      </c>
      <c r="S73" s="532" t="s">
        <v>289</v>
      </c>
      <c r="T73" s="571" t="str">
        <f t="shared" ref="T73:AH74" si="9">A50</f>
        <v>4226-00</v>
      </c>
      <c r="U73" s="47">
        <f t="shared" si="9"/>
        <v>0</v>
      </c>
      <c r="V73" s="47">
        <f t="shared" si="9"/>
        <v>0</v>
      </c>
      <c r="W73" s="47">
        <f t="shared" si="9"/>
        <v>0</v>
      </c>
      <c r="X73" s="48" t="str">
        <f t="shared" si="9"/>
        <v>Saldo</v>
      </c>
      <c r="Y73" s="49" t="str">
        <f t="shared" si="9"/>
        <v>Ibiza Blue</v>
      </c>
      <c r="Z73" s="48">
        <f t="shared" si="9"/>
        <v>0</v>
      </c>
      <c r="AA73" s="48">
        <f t="shared" si="9"/>
        <v>-3</v>
      </c>
      <c r="AB73" s="48">
        <f t="shared" si="9"/>
        <v>0</v>
      </c>
      <c r="AC73" s="48">
        <f t="shared" si="9"/>
        <v>2</v>
      </c>
      <c r="AD73" s="48">
        <f t="shared" si="9"/>
        <v>2</v>
      </c>
      <c r="AE73" s="48">
        <f t="shared" si="9"/>
        <v>1</v>
      </c>
      <c r="AF73" s="48">
        <f t="shared" si="9"/>
        <v>0</v>
      </c>
      <c r="AG73" s="48">
        <f t="shared" si="9"/>
        <v>0</v>
      </c>
      <c r="AH73" s="631">
        <f t="shared" si="9"/>
        <v>2</v>
      </c>
      <c r="AI73" s="616"/>
      <c r="AJ73" s="27"/>
      <c r="AK73" s="612"/>
      <c r="AL73" s="613"/>
    </row>
    <row r="74" spans="1:38" ht="25.5" thickTop="1" thickBot="1">
      <c r="A74" s="284" t="str">
        <f>'CORTE 4200'!A664</f>
        <v>4236-00</v>
      </c>
      <c r="B74" s="47">
        <f>'CORTE 4200'!B664</f>
        <v>0</v>
      </c>
      <c r="C74" s="47">
        <f>'CORTE 4200'!C664</f>
        <v>0</v>
      </c>
      <c r="D74" s="47">
        <f>'CORTE 4200'!D664</f>
        <v>0</v>
      </c>
      <c r="E74" s="48" t="str">
        <f>'CORTE 4200'!E664</f>
        <v>Saldo</v>
      </c>
      <c r="F74" s="49" t="str">
        <f>'CORTE 4200'!F664</f>
        <v>Missy Plus</v>
      </c>
      <c r="G74" s="48">
        <f>'CORTE 4200'!G664</f>
        <v>0</v>
      </c>
      <c r="H74" s="48">
        <f>'CORTE 4200'!H664</f>
        <v>-15</v>
      </c>
      <c r="I74" s="48">
        <f>'CORTE 4200'!I664</f>
        <v>-31</v>
      </c>
      <c r="J74" s="48">
        <f>'CORTE 4200'!J664</f>
        <v>-32</v>
      </c>
      <c r="K74" s="48">
        <f>'CORTE 4200'!K664</f>
        <v>-26</v>
      </c>
      <c r="L74" s="48">
        <f>'CORTE 4200'!L664</f>
        <v>-19</v>
      </c>
      <c r="M74" s="48">
        <f>'CORTE 4200'!M664</f>
        <v>-14</v>
      </c>
      <c r="N74" s="48">
        <f>'CORTE 4200'!N664</f>
        <v>0</v>
      </c>
      <c r="O74" s="48">
        <f>'CORTE 4200'!O664</f>
        <v>-137</v>
      </c>
      <c r="S74" s="533" t="s">
        <v>289</v>
      </c>
      <c r="T74" s="572" t="str">
        <f t="shared" si="9"/>
        <v>4226-01</v>
      </c>
      <c r="U74" s="520">
        <f t="shared" si="9"/>
        <v>0</v>
      </c>
      <c r="V74" s="520">
        <f t="shared" si="9"/>
        <v>0</v>
      </c>
      <c r="W74" s="520">
        <f t="shared" si="9"/>
        <v>0</v>
      </c>
      <c r="X74" s="521" t="str">
        <f t="shared" si="9"/>
        <v>Saldo</v>
      </c>
      <c r="Y74" s="522" t="str">
        <f t="shared" si="9"/>
        <v>Ibiza Blue</v>
      </c>
      <c r="Z74" s="521">
        <f t="shared" si="9"/>
        <v>0</v>
      </c>
      <c r="AA74" s="521">
        <f t="shared" si="9"/>
        <v>0</v>
      </c>
      <c r="AB74" s="521">
        <f t="shared" si="9"/>
        <v>7</v>
      </c>
      <c r="AC74" s="521">
        <f t="shared" si="9"/>
        <v>17</v>
      </c>
      <c r="AD74" s="521">
        <f t="shared" si="9"/>
        <v>12</v>
      </c>
      <c r="AE74" s="521">
        <f t="shared" si="9"/>
        <v>4</v>
      </c>
      <c r="AF74" s="521">
        <f t="shared" si="9"/>
        <v>9</v>
      </c>
      <c r="AG74" s="521">
        <f t="shared" si="9"/>
        <v>0</v>
      </c>
      <c r="AH74" s="632">
        <f t="shared" si="9"/>
        <v>49</v>
      </c>
      <c r="AI74" s="624"/>
      <c r="AJ74" s="617"/>
      <c r="AK74" s="618"/>
      <c r="AL74" s="619"/>
    </row>
    <row r="75" spans="1:38" ht="25.5" thickTop="1" thickBot="1">
      <c r="A75" s="284" t="str">
        <f>'CORTE 4200'!A673</f>
        <v>4238-00</v>
      </c>
      <c r="B75" s="47">
        <f>'CORTE 4200'!B673</f>
        <v>0</v>
      </c>
      <c r="C75" s="47">
        <f>'CORTE 4200'!C673</f>
        <v>0</v>
      </c>
      <c r="D75" s="47">
        <f>'CORTE 4200'!D673</f>
        <v>0</v>
      </c>
      <c r="E75" s="48" t="str">
        <f>'CORTE 4200'!E673</f>
        <v>Saldo</v>
      </c>
      <c r="F75" s="49" t="str">
        <f>'CORTE 4200'!F673</f>
        <v>X206-B1</v>
      </c>
      <c r="G75" s="48">
        <f>'CORTE 4200'!G673</f>
        <v>0</v>
      </c>
      <c r="H75" s="48">
        <f>'CORTE 4200'!H673</f>
        <v>-1</v>
      </c>
      <c r="I75" s="48">
        <f>'CORTE 4200'!I673</f>
        <v>-4</v>
      </c>
      <c r="J75" s="48">
        <f>'CORTE 4200'!J673</f>
        <v>-4</v>
      </c>
      <c r="K75" s="48">
        <f>'CORTE 4200'!K673</f>
        <v>-2</v>
      </c>
      <c r="L75" s="48">
        <f>'CORTE 4200'!L673</f>
        <v>1</v>
      </c>
      <c r="M75" s="48">
        <f>'CORTE 4200'!M673</f>
        <v>0</v>
      </c>
      <c r="N75" s="48">
        <f>'CORTE 4200'!N673</f>
        <v>0</v>
      </c>
      <c r="O75" s="48">
        <f>'CORTE 4200'!O673</f>
        <v>-10</v>
      </c>
      <c r="AI75" s="27"/>
      <c r="AJ75" s="27"/>
      <c r="AK75" s="27"/>
      <c r="AL75" s="27"/>
    </row>
    <row r="76" spans="1:38" ht="25.5" thickTop="1" thickBot="1">
      <c r="A76" s="284" t="str">
        <f>'CORTE 4200'!A682</f>
        <v>4239-00</v>
      </c>
      <c r="B76" s="47">
        <f>'CORTE 4200'!B682</f>
        <v>0</v>
      </c>
      <c r="C76" s="47">
        <f>'CORTE 4200'!C682</f>
        <v>0</v>
      </c>
      <c r="D76" s="47">
        <f>'CORTE 4200'!D682</f>
        <v>0</v>
      </c>
      <c r="E76" s="48" t="str">
        <f>'CORTE 4200'!E682</f>
        <v>Saldo</v>
      </c>
      <c r="F76" s="49" t="str">
        <f>'CORTE 4200'!F682</f>
        <v>B2868-V3</v>
      </c>
      <c r="G76" s="48">
        <f>'CORTE 4200'!G682</f>
        <v>0</v>
      </c>
      <c r="H76" s="48">
        <f>'CORTE 4200'!H682</f>
        <v>-8</v>
      </c>
      <c r="I76" s="48">
        <f>'CORTE 4200'!I682</f>
        <v>-20</v>
      </c>
      <c r="J76" s="48">
        <f>'CORTE 4200'!J682</f>
        <v>-26</v>
      </c>
      <c r="K76" s="48">
        <f>'CORTE 4200'!K682</f>
        <v>-22</v>
      </c>
      <c r="L76" s="48">
        <f>'CORTE 4200'!L682</f>
        <v>-21</v>
      </c>
      <c r="M76" s="48">
        <f>'CORTE 4200'!M682</f>
        <v>-10</v>
      </c>
      <c r="N76" s="48">
        <f>'CORTE 4200'!N682</f>
        <v>0</v>
      </c>
      <c r="O76" s="48">
        <f>'CORTE 4200'!O682</f>
        <v>-107</v>
      </c>
      <c r="AI76" s="27"/>
      <c r="AJ76" s="27"/>
      <c r="AK76" s="27"/>
      <c r="AL76" s="27"/>
    </row>
    <row r="77" spans="1:38" ht="27.75" thickTop="1" thickBot="1">
      <c r="A77" s="284" t="str">
        <f>'CORTE 4200'!A691</f>
        <v>4240-00</v>
      </c>
      <c r="B77" s="47">
        <f>'CORTE 4200'!B691</f>
        <v>0</v>
      </c>
      <c r="C77" s="47">
        <f>'CORTE 4200'!C691</f>
        <v>0</v>
      </c>
      <c r="D77" s="47">
        <f>'CORTE 4200'!D691</f>
        <v>0</v>
      </c>
      <c r="E77" s="48" t="str">
        <f>'CORTE 4200'!E691</f>
        <v>Saldo</v>
      </c>
      <c r="F77" s="49" t="str">
        <f>'CORTE 4200'!F691</f>
        <v>B2868-V3</v>
      </c>
      <c r="G77" s="48">
        <f>'CORTE 4200'!G691</f>
        <v>0</v>
      </c>
      <c r="H77" s="48">
        <f>'CORTE 4200'!H691</f>
        <v>-29</v>
      </c>
      <c r="I77" s="48">
        <f>'CORTE 4200'!I691</f>
        <v>0</v>
      </c>
      <c r="J77" s="48">
        <f>'CORTE 4200'!J691</f>
        <v>-12</v>
      </c>
      <c r="K77" s="48">
        <f>'CORTE 4200'!K691</f>
        <v>-1</v>
      </c>
      <c r="L77" s="48">
        <f>'CORTE 4200'!L691</f>
        <v>-16</v>
      </c>
      <c r="M77" s="48">
        <f>'CORTE 4200'!M691</f>
        <v>4</v>
      </c>
      <c r="N77" s="48">
        <f>'CORTE 4200'!N691</f>
        <v>0</v>
      </c>
      <c r="O77" s="48">
        <f>'CORTE 4200'!O691</f>
        <v>-54</v>
      </c>
      <c r="S77" s="606" t="s">
        <v>298</v>
      </c>
      <c r="T77" s="573" t="str">
        <f>'CORTE 4200'!A64</f>
        <v>4204-00</v>
      </c>
      <c r="U77" s="515" t="str">
        <f>'CORTE 4200'!B64</f>
        <v>Fecha</v>
      </c>
      <c r="V77" s="515">
        <f>'CORTE 4200'!C64</f>
        <v>0</v>
      </c>
      <c r="W77" s="515" t="str">
        <f>'CORTE 4200'!D64</f>
        <v>B2868-V3</v>
      </c>
      <c r="X77" s="516">
        <f>'CORTE 4200'!E64</f>
        <v>0</v>
      </c>
      <c r="Y77" s="530" t="str">
        <f>'CORTE 4200'!F64</f>
        <v>Venta</v>
      </c>
      <c r="Z77" s="517">
        <f>'CORTE 4200'!G64</f>
        <v>0</v>
      </c>
      <c r="AA77" s="518">
        <f>'CORTE 4200'!H64</f>
        <v>39</v>
      </c>
      <c r="AB77" s="518">
        <f>'CORTE 4200'!I64</f>
        <v>82</v>
      </c>
      <c r="AC77" s="518">
        <f>'CORTE 4200'!J64</f>
        <v>90</v>
      </c>
      <c r="AD77" s="518">
        <f>'CORTE 4200'!K64</f>
        <v>81</v>
      </c>
      <c r="AE77" s="518">
        <f>'CORTE 4200'!L64</f>
        <v>54</v>
      </c>
      <c r="AF77" s="518">
        <f>'CORTE 4200'!M64</f>
        <v>40</v>
      </c>
      <c r="AG77" s="518">
        <f>'CORTE 4200'!N64</f>
        <v>0</v>
      </c>
      <c r="AH77" s="629">
        <f>'CORTE 4200'!O64</f>
        <v>386</v>
      </c>
      <c r="AI77" s="607"/>
      <c r="AJ77" s="608"/>
      <c r="AK77" s="609"/>
      <c r="AL77" s="610"/>
    </row>
    <row r="78" spans="1:38" ht="27.75" thickTop="1" thickBot="1">
      <c r="A78" s="284" t="str">
        <f>'CORTE 4200'!A700</f>
        <v>4242-00</v>
      </c>
      <c r="B78" s="47">
        <f>'CORTE 4200'!B700</f>
        <v>0</v>
      </c>
      <c r="C78" s="47">
        <f>'CORTE 4200'!C700</f>
        <v>0</v>
      </c>
      <c r="D78" s="47">
        <f>'CORTE 4200'!D700</f>
        <v>0</v>
      </c>
      <c r="E78" s="48" t="str">
        <f>'CORTE 4200'!E700</f>
        <v>Saldo</v>
      </c>
      <c r="F78" s="49" t="str">
        <f>'CORTE 4200'!F700</f>
        <v>X206-B1</v>
      </c>
      <c r="G78" s="48">
        <f>'CORTE 4200'!G700</f>
        <v>0</v>
      </c>
      <c r="H78" s="48">
        <f>'CORTE 4200'!H700</f>
        <v>-5</v>
      </c>
      <c r="I78" s="48">
        <f>'CORTE 4200'!I700</f>
        <v>-11</v>
      </c>
      <c r="J78" s="48">
        <f>'CORTE 4200'!J700</f>
        <v>-4</v>
      </c>
      <c r="K78" s="48">
        <f>'CORTE 4200'!K700</f>
        <v>-9</v>
      </c>
      <c r="L78" s="48">
        <f>'CORTE 4200'!L700</f>
        <v>1</v>
      </c>
      <c r="M78" s="48">
        <f>'CORTE 4200'!M700</f>
        <v>-2</v>
      </c>
      <c r="N78" s="48">
        <f>'CORTE 4200'!N700</f>
        <v>0</v>
      </c>
      <c r="O78" s="48">
        <f>'CORTE 4200'!O700</f>
        <v>-30</v>
      </c>
      <c r="S78" s="528" t="s">
        <v>299</v>
      </c>
      <c r="T78" s="574" t="str">
        <f>'CORTE 4200'!A73</f>
        <v>4204-01</v>
      </c>
      <c r="U78" s="39" t="str">
        <f>'CORTE 4200'!B73</f>
        <v>Fecha</v>
      </c>
      <c r="V78" s="39">
        <f>'CORTE 4200'!C73</f>
        <v>0</v>
      </c>
      <c r="W78" s="39" t="str">
        <f>'CORTE 4200'!D73</f>
        <v>B2868-V3</v>
      </c>
      <c r="X78" s="40">
        <f>'CORTE 4200'!E73</f>
        <v>0</v>
      </c>
      <c r="Y78" s="531" t="str">
        <f>'CORTE 4200'!F73</f>
        <v>Venta</v>
      </c>
      <c r="Z78" s="261">
        <f>'CORTE 4200'!G73</f>
        <v>0</v>
      </c>
      <c r="AA78" s="262">
        <f>'CORTE 4200'!H73</f>
        <v>2</v>
      </c>
      <c r="AB78" s="262">
        <f>'CORTE 4200'!I73</f>
        <v>6</v>
      </c>
      <c r="AC78" s="262">
        <f>'CORTE 4200'!J73</f>
        <v>9</v>
      </c>
      <c r="AD78" s="262">
        <f>'CORTE 4200'!K73</f>
        <v>8</v>
      </c>
      <c r="AE78" s="262">
        <f>'CORTE 4200'!L73</f>
        <v>7</v>
      </c>
      <c r="AF78" s="262">
        <f>'CORTE 4200'!M73</f>
        <v>5</v>
      </c>
      <c r="AG78" s="262">
        <f>'CORTE 4200'!N73</f>
        <v>0</v>
      </c>
      <c r="AH78" s="168">
        <f>'CORTE 4200'!O73</f>
        <v>37</v>
      </c>
      <c r="AI78" s="613"/>
      <c r="AJ78" s="27"/>
      <c r="AK78" s="612"/>
      <c r="AL78" s="613"/>
    </row>
    <row r="79" spans="1:38" ht="27.75" thickTop="1" thickBot="1">
      <c r="A79" s="284" t="str">
        <f>'CORTE 4200'!A709</f>
        <v>4243-00</v>
      </c>
      <c r="B79" s="47">
        <f>'CORTE 4200'!B709</f>
        <v>0</v>
      </c>
      <c r="C79" s="47">
        <f>'CORTE 4200'!C709</f>
        <v>0</v>
      </c>
      <c r="D79" s="47">
        <f>'CORTE 4200'!D709</f>
        <v>0</v>
      </c>
      <c r="E79" s="48" t="str">
        <f>'CORTE 4200'!E709</f>
        <v>Saldo</v>
      </c>
      <c r="F79" s="49" t="str">
        <f>'CORTE 4200'!F709</f>
        <v>New Glue</v>
      </c>
      <c r="G79" s="48">
        <f>'CORTE 4200'!G709</f>
        <v>0</v>
      </c>
      <c r="H79" s="48">
        <f>'CORTE 4200'!H709</f>
        <v>-5</v>
      </c>
      <c r="I79" s="48">
        <f>'CORTE 4200'!I709</f>
        <v>-10</v>
      </c>
      <c r="J79" s="48">
        <f>'CORTE 4200'!J709</f>
        <v>-12</v>
      </c>
      <c r="K79" s="48">
        <f>'CORTE 4200'!K709</f>
        <v>-9</v>
      </c>
      <c r="L79" s="48">
        <f>'CORTE 4200'!L709</f>
        <v>-3</v>
      </c>
      <c r="M79" s="48">
        <f>'CORTE 4200'!M709</f>
        <v>-3</v>
      </c>
      <c r="N79" s="48">
        <f>'CORTE 4200'!N709</f>
        <v>0</v>
      </c>
      <c r="O79" s="48">
        <f>'CORTE 4200'!O709</f>
        <v>-42</v>
      </c>
      <c r="S79" s="519"/>
      <c r="T79" s="574" t="str">
        <f>'CORTE 4200'!A82</f>
        <v>4204-02</v>
      </c>
      <c r="U79" s="39" t="str">
        <f>'CORTE 4200'!B82</f>
        <v>Fecha</v>
      </c>
      <c r="V79" s="39">
        <f>'CORTE 4200'!C82</f>
        <v>0</v>
      </c>
      <c r="W79" s="39" t="str">
        <f>'CORTE 4200'!D82</f>
        <v>B2868-V3</v>
      </c>
      <c r="X79" s="40">
        <f>'CORTE 4200'!E82</f>
        <v>0</v>
      </c>
      <c r="Y79" s="531" t="str">
        <f>'CORTE 4200'!F82</f>
        <v>Venta</v>
      </c>
      <c r="Z79" s="261">
        <f>'CORTE 4200'!G82</f>
        <v>0</v>
      </c>
      <c r="AA79" s="262">
        <f>'CORTE 4200'!H82</f>
        <v>31</v>
      </c>
      <c r="AB79" s="262">
        <f>'CORTE 4200'!I82</f>
        <v>78</v>
      </c>
      <c r="AC79" s="262">
        <f>'CORTE 4200'!J82</f>
        <v>83</v>
      </c>
      <c r="AD79" s="262">
        <f>'CORTE 4200'!K82</f>
        <v>80</v>
      </c>
      <c r="AE79" s="262">
        <f>'CORTE 4200'!L82</f>
        <v>56</v>
      </c>
      <c r="AF79" s="262">
        <f>'CORTE 4200'!M82</f>
        <v>48</v>
      </c>
      <c r="AG79" s="262">
        <f>'CORTE 4200'!N82</f>
        <v>0</v>
      </c>
      <c r="AH79" s="168">
        <f>'CORTE 4200'!O82</f>
        <v>376</v>
      </c>
      <c r="AI79" s="622">
        <f>+SUM(AH77:AH79)</f>
        <v>799</v>
      </c>
      <c r="AJ79" s="615">
        <f>+SUM(AH81:AH83)</f>
        <v>-41</v>
      </c>
      <c r="AK79" s="612">
        <v>50</v>
      </c>
      <c r="AL79" s="613"/>
    </row>
    <row r="80" spans="1:38" ht="25.5" thickTop="1" thickBot="1">
      <c r="A80" s="284" t="str">
        <f>'CORTE 4200'!A718</f>
        <v>4244-00</v>
      </c>
      <c r="B80" s="47">
        <f>'CORTE 4200'!B718</f>
        <v>0</v>
      </c>
      <c r="C80" s="47">
        <f>'CORTE 4200'!C718</f>
        <v>0</v>
      </c>
      <c r="D80" s="47">
        <f>'CORTE 4200'!D718</f>
        <v>0</v>
      </c>
      <c r="E80" s="48" t="str">
        <f>'CORTE 4200'!E718</f>
        <v>Saldo</v>
      </c>
      <c r="F80" s="49" t="str">
        <f>'CORTE 4200'!F718</f>
        <v>Ibiza Blue</v>
      </c>
      <c r="G80" s="48">
        <f>'CORTE 4200'!G718</f>
        <v>0</v>
      </c>
      <c r="H80" s="48">
        <f>'CORTE 4200'!H718</f>
        <v>-34</v>
      </c>
      <c r="I80" s="48">
        <f>'CORTE 4200'!I718</f>
        <v>-37</v>
      </c>
      <c r="J80" s="48">
        <f>'CORTE 4200'!J718</f>
        <v>-34</v>
      </c>
      <c r="K80" s="48">
        <f>'CORTE 4200'!K718</f>
        <v>-39</v>
      </c>
      <c r="L80" s="48">
        <f>'CORTE 4200'!L718</f>
        <v>-9</v>
      </c>
      <c r="M80" s="48">
        <f>'CORTE 4200'!M718</f>
        <v>2</v>
      </c>
      <c r="N80" s="48">
        <f>'CORTE 4200'!N718</f>
        <v>0</v>
      </c>
      <c r="O80" s="48">
        <f>'CORTE 4200'!O718</f>
        <v>-151</v>
      </c>
      <c r="S80" s="523"/>
      <c r="T80" s="551"/>
      <c r="U80" s="514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633"/>
      <c r="AI80" s="621"/>
      <c r="AJ80" s="27"/>
      <c r="AK80" s="612"/>
      <c r="AL80" s="613"/>
    </row>
    <row r="81" spans="1:38" ht="25.5" thickTop="1" thickBot="1">
      <c r="A81" s="284" t="str">
        <f>'CORTE 4200'!A727</f>
        <v>4245-00</v>
      </c>
      <c r="B81" s="47">
        <f>'CORTE 4200'!B727</f>
        <v>0</v>
      </c>
      <c r="C81" s="47">
        <f>'CORTE 4200'!C727</f>
        <v>0</v>
      </c>
      <c r="D81" s="47">
        <f>'CORTE 4200'!D727</f>
        <v>0</v>
      </c>
      <c r="E81" s="48" t="str">
        <f>'CORTE 4200'!E727</f>
        <v>Saldo</v>
      </c>
      <c r="F81" s="49" t="str">
        <f>'CORTE 4200'!F727</f>
        <v>B2868-V3</v>
      </c>
      <c r="G81" s="48">
        <f>'CORTE 4200'!G727</f>
        <v>0</v>
      </c>
      <c r="H81" s="48">
        <f>'CORTE 4200'!H727</f>
        <v>-7</v>
      </c>
      <c r="I81" s="48">
        <f>'CORTE 4200'!I727</f>
        <v>-3</v>
      </c>
      <c r="J81" s="48">
        <f>'CORTE 4200'!J727</f>
        <v>-4</v>
      </c>
      <c r="K81" s="48">
        <f>'CORTE 4200'!K727</f>
        <v>-6</v>
      </c>
      <c r="L81" s="48">
        <f>'CORTE 4200'!L727</f>
        <v>-8</v>
      </c>
      <c r="M81" s="48">
        <f>'CORTE 4200'!M727</f>
        <v>6</v>
      </c>
      <c r="N81" s="48">
        <f>'CORTE 4200'!N727</f>
        <v>0</v>
      </c>
      <c r="O81" s="48">
        <f>'CORTE 4200'!O727</f>
        <v>-22</v>
      </c>
      <c r="S81" s="532" t="s">
        <v>289</v>
      </c>
      <c r="T81" s="575" t="str">
        <f t="shared" ref="T81:AH83" si="10">A8</f>
        <v>4204-00</v>
      </c>
      <c r="U81" s="47">
        <f t="shared" si="10"/>
        <v>0</v>
      </c>
      <c r="V81" s="47">
        <f t="shared" si="10"/>
        <v>0</v>
      </c>
      <c r="W81" s="47">
        <f t="shared" si="10"/>
        <v>0</v>
      </c>
      <c r="X81" s="48" t="str">
        <f t="shared" si="10"/>
        <v>Saldo</v>
      </c>
      <c r="Y81" s="49" t="str">
        <f t="shared" si="10"/>
        <v>B2868-V3</v>
      </c>
      <c r="Z81" s="48">
        <f t="shared" si="10"/>
        <v>0</v>
      </c>
      <c r="AA81" s="48">
        <f t="shared" si="10"/>
        <v>-15</v>
      </c>
      <c r="AB81" s="48">
        <f t="shared" si="10"/>
        <v>-1</v>
      </c>
      <c r="AC81" s="48">
        <f t="shared" si="10"/>
        <v>-3</v>
      </c>
      <c r="AD81" s="48">
        <f t="shared" si="10"/>
        <v>-1</v>
      </c>
      <c r="AE81" s="48">
        <f t="shared" si="10"/>
        <v>-6</v>
      </c>
      <c r="AF81" s="48">
        <f t="shared" si="10"/>
        <v>-1</v>
      </c>
      <c r="AG81" s="48">
        <f t="shared" si="10"/>
        <v>0</v>
      </c>
      <c r="AH81" s="631">
        <f t="shared" si="10"/>
        <v>-27</v>
      </c>
      <c r="AI81" s="621"/>
      <c r="AJ81" s="27"/>
      <c r="AK81" s="612"/>
      <c r="AL81" s="613"/>
    </row>
    <row r="82" spans="1:38" ht="25.5" thickTop="1" thickBot="1">
      <c r="A82" s="284" t="str">
        <f>'CORTE 4200'!A736</f>
        <v>4246-00</v>
      </c>
      <c r="B82" s="47">
        <f>'CORTE 4200'!B736</f>
        <v>0</v>
      </c>
      <c r="C82" s="47">
        <f>'CORTE 4200'!C736</f>
        <v>0</v>
      </c>
      <c r="D82" s="47">
        <f>'CORTE 4200'!D736</f>
        <v>0</v>
      </c>
      <c r="E82" s="48" t="str">
        <f>'CORTE 4200'!E736</f>
        <v>Saldo</v>
      </c>
      <c r="F82" s="49" t="str">
        <f>'CORTE 4200'!F736</f>
        <v>Ayla</v>
      </c>
      <c r="G82" s="48">
        <f>'CORTE 4200'!G736</f>
        <v>0</v>
      </c>
      <c r="H82" s="48">
        <f>'CORTE 4200'!H736</f>
        <v>-9</v>
      </c>
      <c r="I82" s="48">
        <f>'CORTE 4200'!I736</f>
        <v>-11</v>
      </c>
      <c r="J82" s="48">
        <f>'CORTE 4200'!J736</f>
        <v>-29</v>
      </c>
      <c r="K82" s="48">
        <f>'CORTE 4200'!K736</f>
        <v>-22</v>
      </c>
      <c r="L82" s="48">
        <f>'CORTE 4200'!L736</f>
        <v>-17</v>
      </c>
      <c r="M82" s="48">
        <f>'CORTE 4200'!M736</f>
        <v>-6</v>
      </c>
      <c r="N82" s="48">
        <f>'CORTE 4200'!N736</f>
        <v>0</v>
      </c>
      <c r="O82" s="48">
        <f>'CORTE 4200'!O736</f>
        <v>-94</v>
      </c>
      <c r="S82" s="532" t="s">
        <v>289</v>
      </c>
      <c r="T82" s="575" t="str">
        <f t="shared" si="10"/>
        <v>4204-01</v>
      </c>
      <c r="U82" s="47">
        <f t="shared" si="10"/>
        <v>0</v>
      </c>
      <c r="V82" s="47">
        <f t="shared" si="10"/>
        <v>0</v>
      </c>
      <c r="W82" s="47">
        <f t="shared" si="10"/>
        <v>0</v>
      </c>
      <c r="X82" s="48" t="str">
        <f t="shared" si="10"/>
        <v>Saldo</v>
      </c>
      <c r="Y82" s="49" t="str">
        <f t="shared" si="10"/>
        <v>B2868-V3</v>
      </c>
      <c r="Z82" s="48">
        <f t="shared" si="10"/>
        <v>0</v>
      </c>
      <c r="AA82" s="48">
        <f t="shared" si="10"/>
        <v>2</v>
      </c>
      <c r="AB82" s="48">
        <f t="shared" si="10"/>
        <v>0</v>
      </c>
      <c r="AC82" s="48">
        <f t="shared" si="10"/>
        <v>0</v>
      </c>
      <c r="AD82" s="48">
        <f t="shared" si="10"/>
        <v>0</v>
      </c>
      <c r="AE82" s="48">
        <f t="shared" si="10"/>
        <v>0</v>
      </c>
      <c r="AF82" s="48">
        <f t="shared" si="10"/>
        <v>0</v>
      </c>
      <c r="AG82" s="48">
        <f t="shared" si="10"/>
        <v>0</v>
      </c>
      <c r="AH82" s="631">
        <f t="shared" si="10"/>
        <v>2</v>
      </c>
      <c r="AI82" s="621"/>
      <c r="AJ82" s="27"/>
      <c r="AK82" s="612"/>
      <c r="AL82" s="613"/>
    </row>
    <row r="83" spans="1:38" ht="25.5" thickTop="1" thickBot="1">
      <c r="A83" s="284" t="str">
        <f>'CORTE 4200'!A745</f>
        <v>4247-00</v>
      </c>
      <c r="B83" s="47">
        <f>'CORTE 4200'!B745</f>
        <v>0</v>
      </c>
      <c r="C83" s="47">
        <f>'CORTE 4200'!C745</f>
        <v>0</v>
      </c>
      <c r="D83" s="47">
        <f>'CORTE 4200'!D745</f>
        <v>0</v>
      </c>
      <c r="E83" s="48" t="str">
        <f>'CORTE 4200'!E745</f>
        <v>Saldo</v>
      </c>
      <c r="F83" s="49" t="str">
        <f>'CORTE 4200'!F745</f>
        <v>Ibiza Blue</v>
      </c>
      <c r="G83" s="48">
        <f>'CORTE 4200'!G745</f>
        <v>0</v>
      </c>
      <c r="H83" s="48">
        <f>'CORTE 4200'!H745</f>
        <v>-48</v>
      </c>
      <c r="I83" s="48">
        <f>'CORTE 4200'!I745</f>
        <v>-58</v>
      </c>
      <c r="J83" s="48">
        <f>'CORTE 4200'!J745</f>
        <v>-78</v>
      </c>
      <c r="K83" s="48">
        <f>'CORTE 4200'!K745</f>
        <v>-41</v>
      </c>
      <c r="L83" s="48">
        <f>'CORTE 4200'!L745</f>
        <v>-63</v>
      </c>
      <c r="M83" s="48">
        <f>'CORTE 4200'!M745</f>
        <v>-13</v>
      </c>
      <c r="N83" s="48">
        <f>'CORTE 4200'!N745</f>
        <v>0</v>
      </c>
      <c r="O83" s="48">
        <f>'CORTE 4200'!O745</f>
        <v>-301</v>
      </c>
      <c r="S83" s="533" t="s">
        <v>289</v>
      </c>
      <c r="T83" s="576" t="str">
        <f t="shared" si="10"/>
        <v>4204-02</v>
      </c>
      <c r="U83" s="520">
        <f t="shared" si="10"/>
        <v>0</v>
      </c>
      <c r="V83" s="520">
        <f t="shared" si="10"/>
        <v>0</v>
      </c>
      <c r="W83" s="520">
        <f t="shared" si="10"/>
        <v>0</v>
      </c>
      <c r="X83" s="521" t="str">
        <f t="shared" si="10"/>
        <v>Saldo</v>
      </c>
      <c r="Y83" s="522" t="str">
        <f t="shared" si="10"/>
        <v>B2868-V3</v>
      </c>
      <c r="Z83" s="521">
        <f t="shared" si="10"/>
        <v>0</v>
      </c>
      <c r="AA83" s="521">
        <f t="shared" si="10"/>
        <v>-3</v>
      </c>
      <c r="AB83" s="521">
        <f t="shared" si="10"/>
        <v>-5</v>
      </c>
      <c r="AC83" s="521">
        <f t="shared" si="10"/>
        <v>-5</v>
      </c>
      <c r="AD83" s="521">
        <f t="shared" si="10"/>
        <v>-2</v>
      </c>
      <c r="AE83" s="521">
        <f t="shared" si="10"/>
        <v>-1</v>
      </c>
      <c r="AF83" s="521">
        <f t="shared" si="10"/>
        <v>0</v>
      </c>
      <c r="AG83" s="521">
        <f t="shared" si="10"/>
        <v>0</v>
      </c>
      <c r="AH83" s="632">
        <f t="shared" si="10"/>
        <v>-16</v>
      </c>
      <c r="AI83" s="624"/>
      <c r="AJ83" s="617"/>
      <c r="AK83" s="618"/>
      <c r="AL83" s="619"/>
    </row>
    <row r="84" spans="1:38" ht="25.5" thickTop="1" thickBot="1">
      <c r="A84" s="454" t="str">
        <f>'CORTE 4200'!A754</f>
        <v>4248-00</v>
      </c>
      <c r="B84" s="47">
        <f>'CORTE 4200'!B754</f>
        <v>0</v>
      </c>
      <c r="C84" s="47">
        <f>'CORTE 4200'!C754</f>
        <v>0</v>
      </c>
      <c r="D84" s="47">
        <f>'CORTE 4200'!D754</f>
        <v>0</v>
      </c>
      <c r="E84" s="48" t="str">
        <f>'CORTE 4200'!E754</f>
        <v>Saldo</v>
      </c>
      <c r="F84" s="49" t="str">
        <f>'CORTE 4200'!F754</f>
        <v>B2868-V3</v>
      </c>
      <c r="G84" s="48">
        <f>'CORTE 4200'!G754</f>
        <v>0</v>
      </c>
      <c r="H84" s="48">
        <f>'CORTE 4200'!H754</f>
        <v>0</v>
      </c>
      <c r="I84" s="48">
        <f>'CORTE 4200'!I754</f>
        <v>0</v>
      </c>
      <c r="J84" s="48">
        <f>'CORTE 4200'!J754</f>
        <v>0</v>
      </c>
      <c r="K84" s="48">
        <f>'CORTE 4200'!K754</f>
        <v>0</v>
      </c>
      <c r="L84" s="48">
        <f>'CORTE 4200'!L754</f>
        <v>0</v>
      </c>
      <c r="M84" s="48">
        <f>'CORTE 4200'!M754</f>
        <v>0</v>
      </c>
      <c r="N84" s="48">
        <f>'CORTE 4200'!N754</f>
        <v>0</v>
      </c>
      <c r="O84" s="48">
        <f>'CORTE 4200'!O754</f>
        <v>0</v>
      </c>
      <c r="S84" s="514"/>
      <c r="T84" s="551"/>
      <c r="U84" s="514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633"/>
      <c r="AI84" s="626"/>
      <c r="AJ84" s="27"/>
      <c r="AK84" s="27"/>
      <c r="AL84" s="27"/>
    </row>
    <row r="85" spans="1:38" ht="27.75" thickTop="1" thickBot="1">
      <c r="A85" s="454" t="str">
        <f>'CORTE 4200'!A763</f>
        <v>4248-01</v>
      </c>
      <c r="B85" s="47">
        <f>'CORTE 4200'!B763</f>
        <v>0</v>
      </c>
      <c r="C85" s="47">
        <f>'CORTE 4200'!C763</f>
        <v>0</v>
      </c>
      <c r="D85" s="47">
        <f>'CORTE 4200'!D763</f>
        <v>0</v>
      </c>
      <c r="E85" s="48" t="str">
        <f>'CORTE 4200'!E763</f>
        <v>Saldo</v>
      </c>
      <c r="F85" s="49" t="str">
        <f>'CORTE 4200'!F763</f>
        <v>B2868-V3</v>
      </c>
      <c r="G85" s="48">
        <f>'CORTE 4200'!G763</f>
        <v>0</v>
      </c>
      <c r="H85" s="48">
        <f>'CORTE 4200'!H763</f>
        <v>-5</v>
      </c>
      <c r="I85" s="48">
        <f>'CORTE 4200'!I763</f>
        <v>-10</v>
      </c>
      <c r="J85" s="48">
        <f>'CORTE 4200'!J763</f>
        <v>-9</v>
      </c>
      <c r="K85" s="48">
        <f>'CORTE 4200'!K763</f>
        <v>-9</v>
      </c>
      <c r="L85" s="48">
        <f>'CORTE 4200'!L763</f>
        <v>-12</v>
      </c>
      <c r="M85" s="48">
        <f>'CORTE 4200'!M763</f>
        <v>-5</v>
      </c>
      <c r="N85" s="48">
        <f>'CORTE 4200'!N763</f>
        <v>0</v>
      </c>
      <c r="O85" s="48">
        <f>'CORTE 4200'!O763</f>
        <v>-50</v>
      </c>
      <c r="S85" s="606" t="s">
        <v>300</v>
      </c>
      <c r="T85" s="573" t="str">
        <f>'CORTE 4200'!A361</f>
        <v>4221-00</v>
      </c>
      <c r="U85" s="515" t="str">
        <f>'CORTE 4200'!B361</f>
        <v>Fecha</v>
      </c>
      <c r="V85" s="515">
        <f>'CORTE 4200'!C361</f>
        <v>0</v>
      </c>
      <c r="W85" s="515" t="str">
        <f>'CORTE 4200'!D361</f>
        <v>New Glue</v>
      </c>
      <c r="X85" s="516">
        <f>'CORTE 4200'!E361</f>
        <v>0</v>
      </c>
      <c r="Y85" s="530" t="str">
        <f>'CORTE 4200'!F361</f>
        <v>Venta</v>
      </c>
      <c r="Z85" s="517">
        <f>'CORTE 4200'!G361</f>
        <v>0</v>
      </c>
      <c r="AA85" s="518">
        <f>'CORTE 4200'!H361</f>
        <v>43</v>
      </c>
      <c r="AB85" s="518">
        <f>'CORTE 4200'!I361</f>
        <v>105</v>
      </c>
      <c r="AC85" s="518">
        <f>'CORTE 4200'!J361</f>
        <v>108</v>
      </c>
      <c r="AD85" s="518">
        <f>'CORTE 4200'!K361</f>
        <v>103</v>
      </c>
      <c r="AE85" s="518">
        <f>'CORTE 4200'!L361</f>
        <v>72</v>
      </c>
      <c r="AF85" s="518">
        <f>'CORTE 4200'!M361</f>
        <v>65</v>
      </c>
      <c r="AG85" s="518">
        <f>'CORTE 4200'!N361</f>
        <v>0</v>
      </c>
      <c r="AH85" s="629">
        <f>'CORTE 4200'!O361</f>
        <v>496</v>
      </c>
      <c r="AI85" s="610"/>
      <c r="AJ85" s="608"/>
      <c r="AK85" s="609"/>
      <c r="AL85" s="610"/>
    </row>
    <row r="86" spans="1:38" ht="27.75" thickTop="1" thickBot="1">
      <c r="A86" s="390" t="str">
        <f>'CORTE 4200'!A772</f>
        <v>4249-00</v>
      </c>
      <c r="B86" s="47">
        <f>'CORTE 4200'!B772</f>
        <v>0</v>
      </c>
      <c r="C86" s="47">
        <f>'CORTE 4200'!C772</f>
        <v>0</v>
      </c>
      <c r="D86" s="47">
        <f>'CORTE 4200'!D772</f>
        <v>0</v>
      </c>
      <c r="E86" s="48" t="str">
        <f>'CORTE 4200'!E772</f>
        <v>Saldo</v>
      </c>
      <c r="F86" s="49" t="str">
        <f>'CORTE 4200'!F772</f>
        <v>Outlander Black</v>
      </c>
      <c r="G86" s="48">
        <f>'CORTE 4200'!G772</f>
        <v>0</v>
      </c>
      <c r="H86" s="48">
        <f>'CORTE 4200'!H772</f>
        <v>-4</v>
      </c>
      <c r="I86" s="48">
        <f>'CORTE 4200'!I772</f>
        <v>-4</v>
      </c>
      <c r="J86" s="48">
        <f>'CORTE 4200'!J772</f>
        <v>-10</v>
      </c>
      <c r="K86" s="48">
        <f>'CORTE 4200'!K772</f>
        <v>4</v>
      </c>
      <c r="L86" s="48">
        <f>'CORTE 4200'!L772</f>
        <v>-1</v>
      </c>
      <c r="M86" s="48">
        <f>'CORTE 4200'!M772</f>
        <v>13</v>
      </c>
      <c r="N86" s="48">
        <f>'CORTE 4200'!N772</f>
        <v>0</v>
      </c>
      <c r="O86" s="48">
        <f>'CORTE 4200'!O772</f>
        <v>-2</v>
      </c>
      <c r="S86" s="519"/>
      <c r="T86" s="574" t="str">
        <f>'CORTE 4200'!A370</f>
        <v>4221-01</v>
      </c>
      <c r="U86" s="39" t="str">
        <f>'CORTE 4200'!B370</f>
        <v>Fecha</v>
      </c>
      <c r="V86" s="39">
        <f>'CORTE 4200'!C370</f>
        <v>0</v>
      </c>
      <c r="W86" s="39" t="str">
        <f>'CORTE 4200'!D370</f>
        <v>New Glue</v>
      </c>
      <c r="X86" s="40">
        <f>'CORTE 4200'!E370</f>
        <v>0</v>
      </c>
      <c r="Y86" s="531" t="str">
        <f>'CORTE 4200'!F370</f>
        <v>Venta</v>
      </c>
      <c r="Z86" s="261">
        <f>'CORTE 4200'!G370</f>
        <v>0</v>
      </c>
      <c r="AA86" s="262">
        <f>'CORTE 4200'!H370</f>
        <v>24</v>
      </c>
      <c r="AB86" s="262">
        <f>'CORTE 4200'!I370</f>
        <v>39</v>
      </c>
      <c r="AC86" s="262">
        <f>'CORTE 4200'!J370</f>
        <v>42</v>
      </c>
      <c r="AD86" s="262">
        <f>'CORTE 4200'!K370</f>
        <v>36</v>
      </c>
      <c r="AE86" s="262">
        <f>'CORTE 4200'!L370</f>
        <v>28</v>
      </c>
      <c r="AF86" s="262">
        <f>'CORTE 4200'!M370</f>
        <v>21</v>
      </c>
      <c r="AG86" s="262">
        <f>'CORTE 4200'!N370</f>
        <v>0</v>
      </c>
      <c r="AH86" s="168">
        <f>'CORTE 4200'!O370</f>
        <v>190</v>
      </c>
      <c r="AI86" s="613"/>
      <c r="AJ86" s="27"/>
      <c r="AK86" s="612"/>
      <c r="AL86" s="613"/>
    </row>
    <row r="87" spans="1:38" ht="27.75" thickTop="1" thickBot="1">
      <c r="A87" s="390" t="str">
        <f>'CORTE 4200'!A781</f>
        <v>4249-60</v>
      </c>
      <c r="B87" s="47">
        <f>'CORTE 4200'!B781</f>
        <v>0</v>
      </c>
      <c r="C87" s="47">
        <f>'CORTE 4200'!C781</f>
        <v>0</v>
      </c>
      <c r="D87" s="47">
        <f>'CORTE 4200'!D781</f>
        <v>0</v>
      </c>
      <c r="E87" s="48" t="str">
        <f>'CORTE 4200'!E781</f>
        <v>Saldo</v>
      </c>
      <c r="F87" s="49" t="str">
        <f>'CORTE 4200'!F781</f>
        <v>Outlander Black</v>
      </c>
      <c r="G87" s="48">
        <f>'CORTE 4200'!G781</f>
        <v>0</v>
      </c>
      <c r="H87" s="48">
        <f>'CORTE 4200'!H781</f>
        <v>6</v>
      </c>
      <c r="I87" s="48">
        <f>'CORTE 4200'!I781</f>
        <v>9</v>
      </c>
      <c r="J87" s="48">
        <f>'CORTE 4200'!J781</f>
        <v>11</v>
      </c>
      <c r="K87" s="48">
        <f>'CORTE 4200'!K781</f>
        <v>9</v>
      </c>
      <c r="L87" s="48">
        <f>'CORTE 4200'!L781</f>
        <v>7</v>
      </c>
      <c r="M87" s="48">
        <f>'CORTE 4200'!M781</f>
        <v>4</v>
      </c>
      <c r="N87" s="48">
        <f>'CORTE 4200'!N781</f>
        <v>0</v>
      </c>
      <c r="O87" s="48">
        <f>'CORTE 4200'!O781</f>
        <v>46</v>
      </c>
      <c r="S87" s="519"/>
      <c r="T87" s="574" t="str">
        <f>'CORTE 4200'!A379</f>
        <v>4221-90</v>
      </c>
      <c r="U87" s="39" t="str">
        <f>'CORTE 4200'!B379</f>
        <v>Fecha</v>
      </c>
      <c r="V87" s="39">
        <f>'CORTE 4200'!C379</f>
        <v>0</v>
      </c>
      <c r="W87" s="39" t="str">
        <f>'CORTE 4200'!D379</f>
        <v>New Glue</v>
      </c>
      <c r="X87" s="40">
        <f>'CORTE 4200'!E379</f>
        <v>0</v>
      </c>
      <c r="Y87" s="531" t="str">
        <f>'CORTE 4200'!F379</f>
        <v>Venta</v>
      </c>
      <c r="Z87" s="261">
        <f>'CORTE 4200'!G379</f>
        <v>0</v>
      </c>
      <c r="AA87" s="262">
        <f>'CORTE 4200'!H379</f>
        <v>5</v>
      </c>
      <c r="AB87" s="262">
        <f>'CORTE 4200'!I379</f>
        <v>12</v>
      </c>
      <c r="AC87" s="262">
        <f>'CORTE 4200'!J379</f>
        <v>14</v>
      </c>
      <c r="AD87" s="262">
        <f>'CORTE 4200'!K379</f>
        <v>14</v>
      </c>
      <c r="AE87" s="262">
        <f>'CORTE 4200'!L379</f>
        <v>11</v>
      </c>
      <c r="AF87" s="262">
        <f>'CORTE 4200'!M379</f>
        <v>9</v>
      </c>
      <c r="AG87" s="262">
        <f>'CORTE 4200'!N379</f>
        <v>0</v>
      </c>
      <c r="AH87" s="168">
        <f>'CORTE 4200'!O379</f>
        <v>65</v>
      </c>
      <c r="AI87" s="622">
        <f>+SUM(AH85:AH87)</f>
        <v>751</v>
      </c>
      <c r="AJ87" s="615">
        <f>+SUM(AH89:AH91)</f>
        <v>-125</v>
      </c>
      <c r="AK87" s="612"/>
      <c r="AL87" s="613"/>
    </row>
    <row r="88" spans="1:38" ht="25.5" thickTop="1" thickBot="1">
      <c r="A88" s="284" t="str">
        <f>'CORTE 4200'!A790</f>
        <v>4251-60</v>
      </c>
      <c r="B88" s="47">
        <f>'CORTE 4200'!B790</f>
        <v>0</v>
      </c>
      <c r="C88" s="47">
        <f>'CORTE 4200'!C790</f>
        <v>0</v>
      </c>
      <c r="D88" s="47">
        <f>'CORTE 4200'!D790</f>
        <v>0</v>
      </c>
      <c r="E88" s="48" t="str">
        <f>'CORTE 4200'!E790</f>
        <v>Saldo</v>
      </c>
      <c r="F88" s="49">
        <f>'CORTE 4200'!F790</f>
        <v>0</v>
      </c>
      <c r="G88" s="48">
        <f>'CORTE 4200'!G790</f>
        <v>0</v>
      </c>
      <c r="H88" s="48">
        <f>'CORTE 4200'!H790</f>
        <v>0</v>
      </c>
      <c r="I88" s="48">
        <f>'CORTE 4200'!I790</f>
        <v>0</v>
      </c>
      <c r="J88" s="48">
        <f>'CORTE 4200'!J790</f>
        <v>0</v>
      </c>
      <c r="K88" s="48">
        <f>'CORTE 4200'!K790</f>
        <v>0</v>
      </c>
      <c r="L88" s="48">
        <f>'CORTE 4200'!L790</f>
        <v>0</v>
      </c>
      <c r="M88" s="48">
        <f>'CORTE 4200'!M790</f>
        <v>0</v>
      </c>
      <c r="N88" s="48">
        <f>'CORTE 4200'!N790</f>
        <v>0</v>
      </c>
      <c r="O88" s="48">
        <f>'CORTE 4200'!O790</f>
        <v>0</v>
      </c>
      <c r="S88" s="523"/>
      <c r="T88" s="551"/>
      <c r="U88" s="514"/>
      <c r="V88" s="514"/>
      <c r="W88" s="514"/>
      <c r="X88" s="514"/>
      <c r="Y88" s="514"/>
      <c r="Z88" s="514"/>
      <c r="AA88" s="514"/>
      <c r="AB88" s="514"/>
      <c r="AC88" s="514"/>
      <c r="AD88" s="514"/>
      <c r="AE88" s="514"/>
      <c r="AF88" s="514"/>
      <c r="AG88" s="514"/>
      <c r="AH88" s="633"/>
      <c r="AI88" s="621"/>
      <c r="AJ88" s="27"/>
      <c r="AK88" s="612"/>
      <c r="AL88" s="613"/>
    </row>
    <row r="89" spans="1:38" ht="25.5" thickTop="1" thickBot="1">
      <c r="A89" s="284" t="str">
        <f>'CORTE 4200'!A799</f>
        <v>4252-00</v>
      </c>
      <c r="B89" s="47">
        <f>'CORTE 4200'!B799</f>
        <v>0</v>
      </c>
      <c r="C89" s="47">
        <f>'CORTE 4200'!C799</f>
        <v>0</v>
      </c>
      <c r="D89" s="47">
        <f>'CORTE 4200'!D799</f>
        <v>0</v>
      </c>
      <c r="E89" s="48" t="str">
        <f>'CORTE 4200'!E799</f>
        <v>Saldo</v>
      </c>
      <c r="F89" s="49">
        <f>'CORTE 4200'!F799</f>
        <v>0</v>
      </c>
      <c r="G89" s="48">
        <f>'CORTE 4200'!G799</f>
        <v>0</v>
      </c>
      <c r="H89" s="48">
        <f>'CORTE 4200'!H799</f>
        <v>3</v>
      </c>
      <c r="I89" s="48">
        <f>'CORTE 4200'!I799</f>
        <v>5</v>
      </c>
      <c r="J89" s="48">
        <f>'CORTE 4200'!J799</f>
        <v>5</v>
      </c>
      <c r="K89" s="48">
        <f>'CORTE 4200'!K799</f>
        <v>6</v>
      </c>
      <c r="L89" s="48">
        <f>'CORTE 4200'!L799</f>
        <v>5</v>
      </c>
      <c r="M89" s="48">
        <f>'CORTE 4200'!M799</f>
        <v>3</v>
      </c>
      <c r="N89" s="48">
        <f>'CORTE 4200'!N799</f>
        <v>0</v>
      </c>
      <c r="O89" s="48">
        <f>'CORTE 4200'!O799</f>
        <v>27</v>
      </c>
      <c r="S89" s="532" t="s">
        <v>289</v>
      </c>
      <c r="T89" s="575" t="str">
        <f t="shared" ref="T89:AH91" si="11">A41</f>
        <v>4221-00</v>
      </c>
      <c r="U89" s="47">
        <f t="shared" si="11"/>
        <v>0</v>
      </c>
      <c r="V89" s="47">
        <f t="shared" si="11"/>
        <v>0</v>
      </c>
      <c r="W89" s="47">
        <f t="shared" si="11"/>
        <v>0</v>
      </c>
      <c r="X89" s="48" t="str">
        <f t="shared" si="11"/>
        <v>Saldo</v>
      </c>
      <c r="Y89" s="49" t="str">
        <f t="shared" si="11"/>
        <v>New Glue</v>
      </c>
      <c r="Z89" s="48">
        <f t="shared" si="11"/>
        <v>0</v>
      </c>
      <c r="AA89" s="48">
        <f t="shared" si="11"/>
        <v>-3</v>
      </c>
      <c r="AB89" s="48">
        <f t="shared" si="11"/>
        <v>-12</v>
      </c>
      <c r="AC89" s="48">
        <f t="shared" si="11"/>
        <v>-17</v>
      </c>
      <c r="AD89" s="48">
        <f t="shared" si="11"/>
        <v>-12</v>
      </c>
      <c r="AE89" s="48">
        <f t="shared" si="11"/>
        <v>-17</v>
      </c>
      <c r="AF89" s="48">
        <f t="shared" si="11"/>
        <v>-14</v>
      </c>
      <c r="AG89" s="48">
        <f t="shared" si="11"/>
        <v>0</v>
      </c>
      <c r="AH89" s="631">
        <f t="shared" si="11"/>
        <v>-75</v>
      </c>
      <c r="AI89" s="621"/>
      <c r="AJ89" s="27"/>
      <c r="AK89" s="612"/>
      <c r="AL89" s="613"/>
    </row>
    <row r="90" spans="1:38" ht="25.5" thickTop="1" thickBot="1">
      <c r="A90" s="284" t="str">
        <f>'CORTE 4200'!A808</f>
        <v>4256-00</v>
      </c>
      <c r="B90" s="47">
        <f>'CORTE 4200'!B808</f>
        <v>0</v>
      </c>
      <c r="C90" s="47">
        <f>'CORTE 4200'!C808</f>
        <v>0</v>
      </c>
      <c r="D90" s="47">
        <f>'CORTE 4200'!D808</f>
        <v>0</v>
      </c>
      <c r="E90" s="48" t="str">
        <f>'CORTE 4200'!E808</f>
        <v>Saldo</v>
      </c>
      <c r="F90" s="49" t="str">
        <f>'CORTE 4200'!F808</f>
        <v>Missy Plus</v>
      </c>
      <c r="G90" s="48">
        <f>'CORTE 4200'!G808</f>
        <v>0</v>
      </c>
      <c r="H90" s="48">
        <f>'CORTE 4200'!H808</f>
        <v>-5</v>
      </c>
      <c r="I90" s="48">
        <f>'CORTE 4200'!I808</f>
        <v>-9</v>
      </c>
      <c r="J90" s="48">
        <f>'CORTE 4200'!J808</f>
        <v>-7</v>
      </c>
      <c r="K90" s="48">
        <f>'CORTE 4200'!K808</f>
        <v>-8</v>
      </c>
      <c r="L90" s="48">
        <f>'CORTE 4200'!L808</f>
        <v>-2</v>
      </c>
      <c r="M90" s="48">
        <f>'CORTE 4200'!M808</f>
        <v>-3</v>
      </c>
      <c r="N90" s="48">
        <f>'CORTE 4200'!N808</f>
        <v>0</v>
      </c>
      <c r="O90" s="48">
        <f>'CORTE 4200'!O808</f>
        <v>-34</v>
      </c>
      <c r="S90" s="532" t="s">
        <v>289</v>
      </c>
      <c r="T90" s="575" t="str">
        <f t="shared" si="11"/>
        <v>4221-01</v>
      </c>
      <c r="U90" s="47">
        <f t="shared" si="11"/>
        <v>0</v>
      </c>
      <c r="V90" s="47">
        <f t="shared" si="11"/>
        <v>0</v>
      </c>
      <c r="W90" s="47">
        <f t="shared" si="11"/>
        <v>0</v>
      </c>
      <c r="X90" s="48" t="str">
        <f t="shared" si="11"/>
        <v>Saldo</v>
      </c>
      <c r="Y90" s="49" t="str">
        <f t="shared" si="11"/>
        <v>New Glue</v>
      </c>
      <c r="Z90" s="48">
        <f t="shared" si="11"/>
        <v>0</v>
      </c>
      <c r="AA90" s="48">
        <f t="shared" si="11"/>
        <v>-11</v>
      </c>
      <c r="AB90" s="48">
        <f t="shared" si="11"/>
        <v>-6</v>
      </c>
      <c r="AC90" s="48">
        <f t="shared" si="11"/>
        <v>-13</v>
      </c>
      <c r="AD90" s="48">
        <f t="shared" si="11"/>
        <v>-9</v>
      </c>
      <c r="AE90" s="48">
        <f t="shared" si="11"/>
        <v>-12</v>
      </c>
      <c r="AF90" s="48">
        <f t="shared" si="11"/>
        <v>1</v>
      </c>
      <c r="AG90" s="48">
        <f t="shared" si="11"/>
        <v>0</v>
      </c>
      <c r="AH90" s="631">
        <f t="shared" si="11"/>
        <v>-50</v>
      </c>
      <c r="AI90" s="621"/>
      <c r="AJ90" s="27"/>
      <c r="AK90" s="612"/>
      <c r="AL90" s="613"/>
    </row>
    <row r="91" spans="1:38" ht="25.5" thickTop="1" thickBot="1">
      <c r="A91" s="395" t="str">
        <f>'CORTE 4200'!A817</f>
        <v>4257-04</v>
      </c>
      <c r="B91" s="47">
        <f>'CORTE 4200'!B817</f>
        <v>0</v>
      </c>
      <c r="C91" s="47">
        <f>'CORTE 4200'!C817</f>
        <v>0</v>
      </c>
      <c r="D91" s="47">
        <f>'CORTE 4200'!D817</f>
        <v>0</v>
      </c>
      <c r="E91" s="48" t="str">
        <f>'CORTE 4200'!E817</f>
        <v>Saldo</v>
      </c>
      <c r="F91" s="49" t="str">
        <f>'CORTE 4200'!F817</f>
        <v>Lavinia</v>
      </c>
      <c r="G91" s="48">
        <f>'CORTE 4200'!G817</f>
        <v>0</v>
      </c>
      <c r="H91" s="48">
        <f>'CORTE 4200'!H817</f>
        <v>4</v>
      </c>
      <c r="I91" s="48">
        <f>'CORTE 4200'!I817</f>
        <v>8</v>
      </c>
      <c r="J91" s="48">
        <f>'CORTE 4200'!J817</f>
        <v>11</v>
      </c>
      <c r="K91" s="48">
        <f>'CORTE 4200'!K817</f>
        <v>10</v>
      </c>
      <c r="L91" s="48">
        <f>'CORTE 4200'!L817</f>
        <v>7</v>
      </c>
      <c r="M91" s="48">
        <f>'CORTE 4200'!M817</f>
        <v>5</v>
      </c>
      <c r="N91" s="48">
        <f>'CORTE 4200'!N817</f>
        <v>0</v>
      </c>
      <c r="O91" s="48">
        <f>'CORTE 4200'!O817</f>
        <v>45</v>
      </c>
      <c r="P91" s="397" t="s">
        <v>301</v>
      </c>
      <c r="S91" s="533" t="s">
        <v>289</v>
      </c>
      <c r="T91" s="576" t="str">
        <f t="shared" si="11"/>
        <v>4221-90</v>
      </c>
      <c r="U91" s="520">
        <f t="shared" si="11"/>
        <v>0</v>
      </c>
      <c r="V91" s="520">
        <f t="shared" si="11"/>
        <v>0</v>
      </c>
      <c r="W91" s="520">
        <f t="shared" si="11"/>
        <v>0</v>
      </c>
      <c r="X91" s="521" t="str">
        <f t="shared" si="11"/>
        <v>Saldo</v>
      </c>
      <c r="Y91" s="522" t="str">
        <f t="shared" si="11"/>
        <v>New Glue</v>
      </c>
      <c r="Z91" s="521">
        <f t="shared" si="11"/>
        <v>0</v>
      </c>
      <c r="AA91" s="521">
        <f t="shared" si="11"/>
        <v>0</v>
      </c>
      <c r="AB91" s="521">
        <f t="shared" si="11"/>
        <v>0</v>
      </c>
      <c r="AC91" s="521">
        <f t="shared" si="11"/>
        <v>0</v>
      </c>
      <c r="AD91" s="521">
        <f t="shared" si="11"/>
        <v>0</v>
      </c>
      <c r="AE91" s="521">
        <f t="shared" si="11"/>
        <v>0</v>
      </c>
      <c r="AF91" s="521">
        <f t="shared" si="11"/>
        <v>0</v>
      </c>
      <c r="AG91" s="521">
        <f t="shared" si="11"/>
        <v>0</v>
      </c>
      <c r="AH91" s="632">
        <f t="shared" si="11"/>
        <v>0</v>
      </c>
      <c r="AI91" s="624"/>
      <c r="AJ91" s="617"/>
      <c r="AK91" s="618"/>
      <c r="AL91" s="619"/>
    </row>
    <row r="92" spans="1:38" ht="25.5" thickTop="1" thickBot="1">
      <c r="A92" s="395" t="str">
        <f>'CORTE 4200'!A826</f>
        <v>4257-08</v>
      </c>
      <c r="B92" s="47">
        <f>'CORTE 4200'!B826</f>
        <v>0</v>
      </c>
      <c r="C92" s="47">
        <f>'CORTE 4200'!C826</f>
        <v>0</v>
      </c>
      <c r="D92" s="47">
        <f>'CORTE 4200'!D826</f>
        <v>0</v>
      </c>
      <c r="E92" s="48" t="str">
        <f>'CORTE 4200'!E826</f>
        <v>Saldo</v>
      </c>
      <c r="F92" s="49" t="str">
        <f>'CORTE 4200'!F826</f>
        <v>Lavinia</v>
      </c>
      <c r="G92" s="48">
        <f>'CORTE 4200'!G826</f>
        <v>0</v>
      </c>
      <c r="H92" s="48">
        <f>'CORTE 4200'!H826</f>
        <v>6</v>
      </c>
      <c r="I92" s="48">
        <f>'CORTE 4200'!I826</f>
        <v>8</v>
      </c>
      <c r="J92" s="48">
        <f>'CORTE 4200'!J826</f>
        <v>4</v>
      </c>
      <c r="K92" s="48">
        <f>'CORTE 4200'!K826</f>
        <v>4</v>
      </c>
      <c r="L92" s="48">
        <f>'CORTE 4200'!L826</f>
        <v>2</v>
      </c>
      <c r="M92" s="48">
        <f>'CORTE 4200'!M826</f>
        <v>0</v>
      </c>
      <c r="N92" s="48">
        <f>'CORTE 4200'!N826</f>
        <v>0</v>
      </c>
      <c r="O92" s="48">
        <f>'CORTE 4200'!O826</f>
        <v>24</v>
      </c>
      <c r="P92" s="397" t="s">
        <v>302</v>
      </c>
      <c r="AI92" s="27"/>
      <c r="AJ92" s="27"/>
      <c r="AK92" s="27"/>
      <c r="AL92" s="27"/>
    </row>
    <row r="93" spans="1:38" ht="27.75" thickTop="1" thickBot="1">
      <c r="A93" s="395" t="str">
        <f>'CORTE 4200'!A835</f>
        <v>4257-09</v>
      </c>
      <c r="B93" s="47">
        <f>'CORTE 4200'!B835</f>
        <v>0</v>
      </c>
      <c r="C93" s="47">
        <f>'CORTE 4200'!C835</f>
        <v>0</v>
      </c>
      <c r="D93" s="47">
        <f>'CORTE 4200'!D835</f>
        <v>0</v>
      </c>
      <c r="E93" s="48" t="str">
        <f>'CORTE 4200'!E835</f>
        <v>Saldo</v>
      </c>
      <c r="F93" s="49" t="str">
        <f>'CORTE 4200'!F835</f>
        <v>Lavinia</v>
      </c>
      <c r="G93" s="48">
        <f>'CORTE 4200'!G835</f>
        <v>0</v>
      </c>
      <c r="H93" s="48">
        <f>'CORTE 4200'!H835</f>
        <v>8</v>
      </c>
      <c r="I93" s="48">
        <f>'CORTE 4200'!I835</f>
        <v>10</v>
      </c>
      <c r="J93" s="48">
        <f>'CORTE 4200'!J835</f>
        <v>6</v>
      </c>
      <c r="K93" s="48">
        <f>'CORTE 4200'!K835</f>
        <v>6</v>
      </c>
      <c r="L93" s="48">
        <f>'CORTE 4200'!L835</f>
        <v>3</v>
      </c>
      <c r="M93" s="48">
        <f>'CORTE 4200'!M835</f>
        <v>0</v>
      </c>
      <c r="N93" s="48">
        <f>'CORTE 4200'!N835</f>
        <v>0</v>
      </c>
      <c r="O93" s="48">
        <f>'CORTE 4200'!O835</f>
        <v>33</v>
      </c>
      <c r="S93" s="606" t="s">
        <v>303</v>
      </c>
      <c r="T93" s="577" t="str">
        <f>'CORTE 4200'!A748</f>
        <v>4248-00</v>
      </c>
      <c r="U93" s="515" t="str">
        <f>'CORTE 4200'!B748</f>
        <v>Fecha</v>
      </c>
      <c r="V93" s="515">
        <f>'CORTE 4200'!C748</f>
        <v>0</v>
      </c>
      <c r="W93" s="515" t="str">
        <f>'CORTE 4200'!D748</f>
        <v>B2868-V3</v>
      </c>
      <c r="X93" s="516">
        <f>'CORTE 4200'!E748</f>
        <v>0</v>
      </c>
      <c r="Y93" s="530" t="str">
        <f>'CORTE 4200'!F748</f>
        <v>Venta</v>
      </c>
      <c r="Z93" s="517">
        <f>'CORTE 4200'!G748</f>
        <v>0</v>
      </c>
      <c r="AA93" s="518">
        <f>'CORTE 4200'!H748</f>
        <v>34</v>
      </c>
      <c r="AB93" s="518">
        <f>'CORTE 4200'!I748</f>
        <v>76</v>
      </c>
      <c r="AC93" s="518">
        <f>'CORTE 4200'!J748</f>
        <v>77</v>
      </c>
      <c r="AD93" s="518">
        <f>'CORTE 4200'!K748</f>
        <v>76</v>
      </c>
      <c r="AE93" s="518">
        <f>'CORTE 4200'!L748</f>
        <v>57</v>
      </c>
      <c r="AF93" s="518">
        <f>'CORTE 4200'!M748</f>
        <v>45</v>
      </c>
      <c r="AG93" s="518">
        <f>'CORTE 4200'!N748</f>
        <v>0</v>
      </c>
      <c r="AH93" s="629">
        <f>'CORTE 4200'!O748</f>
        <v>365</v>
      </c>
      <c r="AI93" s="610"/>
      <c r="AJ93" s="608"/>
      <c r="AK93" s="609"/>
      <c r="AL93" s="610"/>
    </row>
    <row r="94" spans="1:38" ht="27.75" thickTop="1" thickBot="1">
      <c r="A94" s="395" t="str">
        <f>'CORTE 4200'!A844</f>
        <v>4257-16</v>
      </c>
      <c r="B94" s="47">
        <f>'CORTE 4200'!B844</f>
        <v>0</v>
      </c>
      <c r="C94" s="47">
        <f>'CORTE 4200'!C844</f>
        <v>0</v>
      </c>
      <c r="D94" s="47">
        <f>'CORTE 4200'!D844</f>
        <v>0</v>
      </c>
      <c r="E94" s="48" t="str">
        <f>'CORTE 4200'!E844</f>
        <v>Saldo</v>
      </c>
      <c r="F94" s="49" t="str">
        <f>'CORTE 4200'!F844</f>
        <v>Lavinia</v>
      </c>
      <c r="G94" s="48">
        <f>'CORTE 4200'!G844</f>
        <v>0</v>
      </c>
      <c r="H94" s="48">
        <f>'CORTE 4200'!H844</f>
        <v>6</v>
      </c>
      <c r="I94" s="48">
        <f>'CORTE 4200'!I844</f>
        <v>9</v>
      </c>
      <c r="J94" s="48">
        <f>'CORTE 4200'!J844</f>
        <v>7</v>
      </c>
      <c r="K94" s="48">
        <f>'CORTE 4200'!K844</f>
        <v>7</v>
      </c>
      <c r="L94" s="48">
        <f>'CORTE 4200'!L844</f>
        <v>4</v>
      </c>
      <c r="M94" s="48">
        <f>'CORTE 4200'!M844</f>
        <v>2</v>
      </c>
      <c r="N94" s="48">
        <f>'CORTE 4200'!N844</f>
        <v>0</v>
      </c>
      <c r="O94" s="48">
        <f>'CORTE 4200'!O844</f>
        <v>35</v>
      </c>
      <c r="S94" s="519"/>
      <c r="T94" s="578" t="str">
        <f>'CORTE 4200'!A757</f>
        <v>4248-01</v>
      </c>
      <c r="U94" s="39" t="str">
        <f>'CORTE 4200'!B757</f>
        <v>Fecha</v>
      </c>
      <c r="V94" s="39">
        <f>'CORTE 4200'!C757</f>
        <v>0</v>
      </c>
      <c r="W94" s="39" t="str">
        <f>'CORTE 4200'!D757</f>
        <v>B2868-V3</v>
      </c>
      <c r="X94" s="40">
        <f>'CORTE 4200'!E757</f>
        <v>0</v>
      </c>
      <c r="Y94" s="531" t="str">
        <f>'CORTE 4200'!F757</f>
        <v>Venta</v>
      </c>
      <c r="Z94" s="261">
        <f>'CORTE 4200'!G757</f>
        <v>0</v>
      </c>
      <c r="AA94" s="262">
        <f>'CORTE 4200'!H757</f>
        <v>25</v>
      </c>
      <c r="AB94" s="262">
        <f>'CORTE 4200'!I757</f>
        <v>54</v>
      </c>
      <c r="AC94" s="262">
        <f>'CORTE 4200'!J757</f>
        <v>62</v>
      </c>
      <c r="AD94" s="262">
        <f>'CORTE 4200'!K757</f>
        <v>57</v>
      </c>
      <c r="AE94" s="262">
        <f>'CORTE 4200'!L757</f>
        <v>41</v>
      </c>
      <c r="AF94" s="262">
        <f>'CORTE 4200'!M757</f>
        <v>30</v>
      </c>
      <c r="AG94" s="262">
        <f>'CORTE 4200'!N757</f>
        <v>0</v>
      </c>
      <c r="AH94" s="168">
        <f>'CORTE 4200'!O757</f>
        <v>269</v>
      </c>
      <c r="AI94" s="622">
        <f>+SUM(AH93:AH94)</f>
        <v>634</v>
      </c>
      <c r="AJ94" s="615">
        <f>+SUM(AH96:AH97)</f>
        <v>-50</v>
      </c>
      <c r="AK94" s="612"/>
      <c r="AL94" s="613"/>
    </row>
    <row r="95" spans="1:38" ht="25.5" thickTop="1" thickBot="1">
      <c r="A95" s="395" t="str">
        <f>'CORTE 4200'!A853</f>
        <v>4257-48</v>
      </c>
      <c r="B95" s="47">
        <f>'CORTE 4200'!B853</f>
        <v>0</v>
      </c>
      <c r="C95" s="47">
        <f>'CORTE 4200'!C853</f>
        <v>0</v>
      </c>
      <c r="D95" s="47">
        <f>'CORTE 4200'!D853</f>
        <v>0</v>
      </c>
      <c r="E95" s="48" t="str">
        <f>'CORTE 4200'!E853</f>
        <v>Saldo</v>
      </c>
      <c r="F95" s="49" t="str">
        <f>'CORTE 4200'!F853</f>
        <v>Lavinia</v>
      </c>
      <c r="G95" s="48">
        <f>'CORTE 4200'!G853</f>
        <v>0</v>
      </c>
      <c r="H95" s="48">
        <f>'CORTE 4200'!H853</f>
        <v>11</v>
      </c>
      <c r="I95" s="48">
        <f>'CORTE 4200'!I853</f>
        <v>16</v>
      </c>
      <c r="J95" s="48">
        <f>'CORTE 4200'!J853</f>
        <v>13</v>
      </c>
      <c r="K95" s="48">
        <f>'CORTE 4200'!K853</f>
        <v>13</v>
      </c>
      <c r="L95" s="48">
        <f>'CORTE 4200'!L853</f>
        <v>8</v>
      </c>
      <c r="M95" s="48">
        <f>'CORTE 4200'!M853</f>
        <v>4</v>
      </c>
      <c r="N95" s="48">
        <f>'CORTE 4200'!N853</f>
        <v>0</v>
      </c>
      <c r="O95" s="48">
        <f>'CORTE 4200'!O853</f>
        <v>65</v>
      </c>
      <c r="S95" s="523"/>
      <c r="T95" s="551"/>
      <c r="U95" s="514"/>
      <c r="V95" s="514"/>
      <c r="W95" s="514"/>
      <c r="X95" s="514"/>
      <c r="Y95" s="514"/>
      <c r="Z95" s="514"/>
      <c r="AA95" s="514"/>
      <c r="AB95" s="514"/>
      <c r="AC95" s="514"/>
      <c r="AD95" s="514"/>
      <c r="AE95" s="514"/>
      <c r="AF95" s="514"/>
      <c r="AG95" s="514"/>
      <c r="AH95" s="633"/>
      <c r="AI95" s="621"/>
      <c r="AJ95" s="27"/>
      <c r="AK95" s="612"/>
      <c r="AL95" s="613"/>
    </row>
    <row r="96" spans="1:38" ht="25.5" thickTop="1" thickBot="1">
      <c r="S96" s="532" t="s">
        <v>289</v>
      </c>
      <c r="T96" s="579" t="str">
        <f t="shared" ref="T96:AH97" si="12">A84</f>
        <v>4248-00</v>
      </c>
      <c r="U96" s="47">
        <f t="shared" si="12"/>
        <v>0</v>
      </c>
      <c r="V96" s="47">
        <f t="shared" si="12"/>
        <v>0</v>
      </c>
      <c r="W96" s="47">
        <f t="shared" si="12"/>
        <v>0</v>
      </c>
      <c r="X96" s="48" t="str">
        <f t="shared" si="12"/>
        <v>Saldo</v>
      </c>
      <c r="Y96" s="49" t="str">
        <f t="shared" si="12"/>
        <v>B2868-V3</v>
      </c>
      <c r="Z96" s="48">
        <f t="shared" si="12"/>
        <v>0</v>
      </c>
      <c r="AA96" s="48">
        <f t="shared" si="12"/>
        <v>0</v>
      </c>
      <c r="AB96" s="48">
        <f t="shared" si="12"/>
        <v>0</v>
      </c>
      <c r="AC96" s="48">
        <f t="shared" si="12"/>
        <v>0</v>
      </c>
      <c r="AD96" s="48">
        <f t="shared" si="12"/>
        <v>0</v>
      </c>
      <c r="AE96" s="48">
        <f t="shared" si="12"/>
        <v>0</v>
      </c>
      <c r="AF96" s="48">
        <f t="shared" si="12"/>
        <v>0</v>
      </c>
      <c r="AG96" s="48">
        <f t="shared" si="12"/>
        <v>0</v>
      </c>
      <c r="AH96" s="631">
        <f t="shared" si="12"/>
        <v>0</v>
      </c>
      <c r="AI96" s="621"/>
      <c r="AJ96" s="27"/>
      <c r="AK96" s="612"/>
      <c r="AL96" s="613"/>
    </row>
    <row r="97" spans="1:38" ht="27" thickTop="1">
      <c r="S97" s="535" t="s">
        <v>289</v>
      </c>
      <c r="T97" s="580" t="str">
        <f t="shared" si="12"/>
        <v>4248-01</v>
      </c>
      <c r="U97" s="520">
        <f t="shared" si="12"/>
        <v>0</v>
      </c>
      <c r="V97" s="520">
        <f t="shared" si="12"/>
        <v>0</v>
      </c>
      <c r="W97" s="520">
        <f t="shared" si="12"/>
        <v>0</v>
      </c>
      <c r="X97" s="521" t="str">
        <f t="shared" si="12"/>
        <v>Saldo</v>
      </c>
      <c r="Y97" s="522" t="str">
        <f t="shared" si="12"/>
        <v>B2868-V3</v>
      </c>
      <c r="Z97" s="521">
        <f t="shared" si="12"/>
        <v>0</v>
      </c>
      <c r="AA97" s="521">
        <f t="shared" si="12"/>
        <v>-5</v>
      </c>
      <c r="AB97" s="521">
        <f t="shared" si="12"/>
        <v>-10</v>
      </c>
      <c r="AC97" s="521">
        <f t="shared" si="12"/>
        <v>-9</v>
      </c>
      <c r="AD97" s="521">
        <f t="shared" si="12"/>
        <v>-9</v>
      </c>
      <c r="AE97" s="521">
        <f t="shared" si="12"/>
        <v>-12</v>
      </c>
      <c r="AF97" s="521">
        <f t="shared" si="12"/>
        <v>-5</v>
      </c>
      <c r="AG97" s="521">
        <f t="shared" si="12"/>
        <v>0</v>
      </c>
      <c r="AH97" s="632">
        <f t="shared" si="12"/>
        <v>-50</v>
      </c>
      <c r="AI97" s="624"/>
      <c r="AJ97" s="617"/>
      <c r="AK97" s="618"/>
      <c r="AL97" s="619"/>
    </row>
    <row r="98" spans="1:38">
      <c r="AI98" s="27"/>
      <c r="AJ98" s="27"/>
      <c r="AK98" s="27"/>
      <c r="AL98" s="27"/>
    </row>
    <row r="99" spans="1:38" ht="27" thickBot="1">
      <c r="S99" s="606" t="s">
        <v>304</v>
      </c>
      <c r="T99" s="562" t="str">
        <f>'CORTE 4200'!A739</f>
        <v>4247-00</v>
      </c>
      <c r="U99" s="515" t="str">
        <f>'CORTE 4200'!B739</f>
        <v>Fecha</v>
      </c>
      <c r="V99" s="515">
        <f>'CORTE 4200'!C739</f>
        <v>0</v>
      </c>
      <c r="W99" s="515" t="str">
        <f>'CORTE 4200'!D739</f>
        <v>Ibiza Blue</v>
      </c>
      <c r="X99" s="516">
        <f>'CORTE 4200'!E739</f>
        <v>0</v>
      </c>
      <c r="Y99" s="530" t="str">
        <f>'CORTE 4200'!F739</f>
        <v>Venta</v>
      </c>
      <c r="Z99" s="517">
        <f>'CORTE 4200'!G739</f>
        <v>0</v>
      </c>
      <c r="AA99" s="518">
        <f>'CORTE 4200'!H739</f>
        <v>54</v>
      </c>
      <c r="AB99" s="518">
        <f>'CORTE 4200'!I739</f>
        <v>112</v>
      </c>
      <c r="AC99" s="518">
        <f>'CORTE 4200'!J739</f>
        <v>121</v>
      </c>
      <c r="AD99" s="518">
        <f>'CORTE 4200'!K739</f>
        <v>119</v>
      </c>
      <c r="AE99" s="518">
        <f>'CORTE 4200'!L739</f>
        <v>81</v>
      </c>
      <c r="AF99" s="518">
        <f>'CORTE 4200'!M739</f>
        <v>72</v>
      </c>
      <c r="AG99" s="518">
        <f>'CORTE 4200'!N739</f>
        <v>0</v>
      </c>
      <c r="AH99" s="629">
        <f>'CORTE 4200'!O739</f>
        <v>559</v>
      </c>
      <c r="AI99" s="622">
        <f>+AH99</f>
        <v>559</v>
      </c>
      <c r="AJ99" s="627">
        <f>+AH101</f>
        <v>-301</v>
      </c>
      <c r="AK99" s="609">
        <v>50</v>
      </c>
      <c r="AL99" s="610"/>
    </row>
    <row r="100" spans="1:38" ht="25.5" thickTop="1" thickBot="1">
      <c r="S100" s="524"/>
      <c r="T100" s="551"/>
      <c r="U100" s="514"/>
      <c r="V100" s="514"/>
      <c r="W100" s="514"/>
      <c r="X100" s="514"/>
      <c r="Y100" s="514"/>
      <c r="Z100" s="514"/>
      <c r="AA100" s="514"/>
      <c r="AB100" s="514"/>
      <c r="AC100" s="514"/>
      <c r="AD100" s="514"/>
      <c r="AE100" s="514"/>
      <c r="AF100" s="514"/>
      <c r="AG100" s="514"/>
      <c r="AH100" s="633"/>
      <c r="AI100" s="621"/>
      <c r="AJ100" s="27"/>
      <c r="AK100" s="612"/>
      <c r="AL100" s="613"/>
    </row>
    <row r="101" spans="1:38" ht="23.25" customHeight="1" thickTop="1" thickBot="1">
      <c r="A101" s="310" t="s">
        <v>60</v>
      </c>
      <c r="B101" s="47">
        <v>0</v>
      </c>
      <c r="C101" s="47">
        <v>0</v>
      </c>
      <c r="D101" s="47">
        <v>0</v>
      </c>
      <c r="E101" s="48" t="s">
        <v>23</v>
      </c>
      <c r="F101" s="49" t="s">
        <v>50</v>
      </c>
      <c r="G101" s="48">
        <v>0</v>
      </c>
      <c r="H101" s="48">
        <v>10</v>
      </c>
      <c r="I101" s="48">
        <v>29</v>
      </c>
      <c r="J101" s="48">
        <v>38</v>
      </c>
      <c r="K101" s="48">
        <v>30</v>
      </c>
      <c r="L101" s="48">
        <v>22</v>
      </c>
      <c r="M101" s="48">
        <v>15</v>
      </c>
      <c r="N101" s="48">
        <v>0</v>
      </c>
      <c r="O101" s="48">
        <v>144</v>
      </c>
      <c r="P101" s="397" t="s">
        <v>301</v>
      </c>
      <c r="S101" s="536" t="s">
        <v>289</v>
      </c>
      <c r="T101" s="563" t="str">
        <f t="shared" ref="T101:AH101" si="13">A83</f>
        <v>4247-00</v>
      </c>
      <c r="U101" s="520">
        <f t="shared" si="13"/>
        <v>0</v>
      </c>
      <c r="V101" s="520">
        <f t="shared" si="13"/>
        <v>0</v>
      </c>
      <c r="W101" s="520">
        <f t="shared" si="13"/>
        <v>0</v>
      </c>
      <c r="X101" s="521" t="str">
        <f t="shared" si="13"/>
        <v>Saldo</v>
      </c>
      <c r="Y101" s="522" t="str">
        <f t="shared" si="13"/>
        <v>Ibiza Blue</v>
      </c>
      <c r="Z101" s="521">
        <f t="shared" si="13"/>
        <v>0</v>
      </c>
      <c r="AA101" s="521">
        <f t="shared" si="13"/>
        <v>-48</v>
      </c>
      <c r="AB101" s="521">
        <f t="shared" si="13"/>
        <v>-58</v>
      </c>
      <c r="AC101" s="521">
        <f t="shared" si="13"/>
        <v>-78</v>
      </c>
      <c r="AD101" s="521">
        <f t="shared" si="13"/>
        <v>-41</v>
      </c>
      <c r="AE101" s="521">
        <f t="shared" si="13"/>
        <v>-63</v>
      </c>
      <c r="AF101" s="521">
        <f t="shared" si="13"/>
        <v>-13</v>
      </c>
      <c r="AG101" s="521">
        <f t="shared" si="13"/>
        <v>0</v>
      </c>
      <c r="AH101" s="632">
        <f t="shared" si="13"/>
        <v>-301</v>
      </c>
      <c r="AI101" s="628"/>
      <c r="AJ101" s="617"/>
      <c r="AK101" s="618"/>
      <c r="AL101" s="619"/>
    </row>
    <row r="102" spans="1:38" ht="25.5" thickTop="1" thickBot="1">
      <c r="A102" s="315" t="s">
        <v>64</v>
      </c>
      <c r="B102" s="47">
        <v>0</v>
      </c>
      <c r="C102" s="47">
        <v>0</v>
      </c>
      <c r="D102" s="47">
        <v>0</v>
      </c>
      <c r="E102" s="48" t="s">
        <v>23</v>
      </c>
      <c r="F102" s="49" t="s">
        <v>50</v>
      </c>
      <c r="G102" s="48">
        <v>0</v>
      </c>
      <c r="H102" s="48">
        <v>9</v>
      </c>
      <c r="I102" s="48">
        <v>32</v>
      </c>
      <c r="J102" s="48">
        <v>34</v>
      </c>
      <c r="K102" s="48">
        <v>32</v>
      </c>
      <c r="L102" s="48">
        <v>22</v>
      </c>
      <c r="M102" s="48">
        <v>16</v>
      </c>
      <c r="N102" s="48">
        <v>0</v>
      </c>
      <c r="O102" s="48">
        <v>145</v>
      </c>
      <c r="P102" s="397" t="s">
        <v>301</v>
      </c>
      <c r="AI102" s="27"/>
      <c r="AJ102" s="27"/>
      <c r="AK102" s="27"/>
      <c r="AL102" s="27"/>
    </row>
    <row r="103" spans="1:38" ht="27.75" thickTop="1" thickBot="1">
      <c r="A103" s="357" t="s">
        <v>128</v>
      </c>
      <c r="B103" s="47">
        <v>0</v>
      </c>
      <c r="C103" s="47">
        <v>0</v>
      </c>
      <c r="D103" s="47">
        <v>0</v>
      </c>
      <c r="E103" s="48" t="s">
        <v>23</v>
      </c>
      <c r="F103" s="49" t="s">
        <v>50</v>
      </c>
      <c r="G103" s="48">
        <v>0</v>
      </c>
      <c r="H103" s="48">
        <v>10</v>
      </c>
      <c r="I103" s="48">
        <v>21</v>
      </c>
      <c r="J103" s="48">
        <v>24</v>
      </c>
      <c r="K103" s="48">
        <v>20</v>
      </c>
      <c r="L103" s="48">
        <v>17</v>
      </c>
      <c r="M103" s="48">
        <v>11</v>
      </c>
      <c r="N103" s="48">
        <v>0</v>
      </c>
      <c r="O103" s="48">
        <v>103</v>
      </c>
      <c r="P103" s="397" t="s">
        <v>301</v>
      </c>
      <c r="S103" s="606" t="s">
        <v>305</v>
      </c>
      <c r="T103" s="562" t="str">
        <f>'CORTE 4200'!A676</f>
        <v>4239-00</v>
      </c>
      <c r="U103" s="515" t="str">
        <f>'CORTE 4200'!B676</f>
        <v>Fecha</v>
      </c>
      <c r="V103" s="515">
        <f>'CORTE 4200'!C676</f>
        <v>0</v>
      </c>
      <c r="W103" s="515" t="str">
        <f>'CORTE 4200'!D676</f>
        <v>B2868-V3</v>
      </c>
      <c r="X103" s="516">
        <f>'CORTE 4200'!E676</f>
        <v>0</v>
      </c>
      <c r="Y103" s="530" t="str">
        <f>'CORTE 4200'!F676</f>
        <v>Venta</v>
      </c>
      <c r="Z103" s="517">
        <f>'CORTE 4200'!G676</f>
        <v>0</v>
      </c>
      <c r="AA103" s="518">
        <f>'CORTE 4200'!H676</f>
        <v>55</v>
      </c>
      <c r="AB103" s="518">
        <f>'CORTE 4200'!I676</f>
        <v>115</v>
      </c>
      <c r="AC103" s="518">
        <f>'CORTE 4200'!J676</f>
        <v>117</v>
      </c>
      <c r="AD103" s="518">
        <f>'CORTE 4200'!K676</f>
        <v>113</v>
      </c>
      <c r="AE103" s="518">
        <f>'CORTE 4200'!L676</f>
        <v>74</v>
      </c>
      <c r="AF103" s="518">
        <f>'CORTE 4200'!M676</f>
        <v>63</v>
      </c>
      <c r="AG103" s="518">
        <f>'CORTE 4200'!N676</f>
        <v>0</v>
      </c>
      <c r="AH103" s="629">
        <f>'CORTE 4200'!O676</f>
        <v>537</v>
      </c>
      <c r="AI103" s="622">
        <f>+AH103</f>
        <v>537</v>
      </c>
      <c r="AJ103" s="627">
        <f>+AH105</f>
        <v>-107</v>
      </c>
      <c r="AK103" s="609">
        <v>50</v>
      </c>
      <c r="AL103" s="610"/>
    </row>
    <row r="104" spans="1:38" ht="25.5" thickTop="1" thickBot="1">
      <c r="A104" s="284" t="s">
        <v>183</v>
      </c>
      <c r="B104" s="47">
        <v>0</v>
      </c>
      <c r="C104" s="47">
        <v>0</v>
      </c>
      <c r="D104" s="47">
        <v>0</v>
      </c>
      <c r="E104" s="48" t="s">
        <v>23</v>
      </c>
      <c r="F104" s="49" t="s">
        <v>184</v>
      </c>
      <c r="G104" s="48">
        <v>0</v>
      </c>
      <c r="H104" s="48">
        <v>13</v>
      </c>
      <c r="I104" s="48">
        <v>31</v>
      </c>
      <c r="J104" s="48">
        <v>35</v>
      </c>
      <c r="K104" s="48">
        <v>30</v>
      </c>
      <c r="L104" s="48">
        <v>21</v>
      </c>
      <c r="M104" s="48">
        <v>16</v>
      </c>
      <c r="N104" s="48">
        <v>0</v>
      </c>
      <c r="O104" s="48">
        <v>146</v>
      </c>
      <c r="P104" s="397" t="s">
        <v>301</v>
      </c>
      <c r="S104" s="524"/>
      <c r="T104" s="551"/>
      <c r="U104" s="514"/>
      <c r="V104" s="514"/>
      <c r="W104" s="514"/>
      <c r="X104" s="514"/>
      <c r="Y104" s="514"/>
      <c r="Z104" s="514"/>
      <c r="AA104" s="514"/>
      <c r="AB104" s="514"/>
      <c r="AC104" s="514"/>
      <c r="AD104" s="514"/>
      <c r="AE104" s="514"/>
      <c r="AF104" s="514"/>
      <c r="AG104" s="514"/>
      <c r="AH104" s="633"/>
      <c r="AI104" s="621"/>
      <c r="AJ104" s="27"/>
      <c r="AK104" s="612"/>
      <c r="AL104" s="613"/>
    </row>
    <row r="105" spans="1:38" ht="25.5" thickTop="1" thickBot="1">
      <c r="A105" s="284" t="s">
        <v>195</v>
      </c>
      <c r="B105" s="47">
        <v>0</v>
      </c>
      <c r="C105" s="47">
        <v>0</v>
      </c>
      <c r="D105" s="47">
        <v>0</v>
      </c>
      <c r="E105" s="48" t="s">
        <v>23</v>
      </c>
      <c r="F105" s="49" t="s">
        <v>184</v>
      </c>
      <c r="G105" s="48">
        <v>0</v>
      </c>
      <c r="H105" s="48">
        <v>17</v>
      </c>
      <c r="I105" s="48">
        <v>34</v>
      </c>
      <c r="J105" s="48">
        <v>38</v>
      </c>
      <c r="K105" s="48">
        <v>30</v>
      </c>
      <c r="L105" s="48">
        <v>22</v>
      </c>
      <c r="M105" s="48">
        <v>14</v>
      </c>
      <c r="N105" s="48">
        <v>0</v>
      </c>
      <c r="O105" s="48">
        <v>155</v>
      </c>
      <c r="P105" s="397" t="s">
        <v>301</v>
      </c>
      <c r="S105" s="533" t="s">
        <v>289</v>
      </c>
      <c r="T105" s="563" t="str">
        <f t="shared" ref="T105:AH105" si="14">A76</f>
        <v>4239-00</v>
      </c>
      <c r="U105" s="520">
        <f t="shared" si="14"/>
        <v>0</v>
      </c>
      <c r="V105" s="520">
        <f t="shared" si="14"/>
        <v>0</v>
      </c>
      <c r="W105" s="520">
        <f t="shared" si="14"/>
        <v>0</v>
      </c>
      <c r="X105" s="521" t="str">
        <f t="shared" si="14"/>
        <v>Saldo</v>
      </c>
      <c r="Y105" s="522" t="str">
        <f t="shared" si="14"/>
        <v>B2868-V3</v>
      </c>
      <c r="Z105" s="521">
        <f t="shared" si="14"/>
        <v>0</v>
      </c>
      <c r="AA105" s="521">
        <f t="shared" si="14"/>
        <v>-8</v>
      </c>
      <c r="AB105" s="521">
        <f t="shared" si="14"/>
        <v>-20</v>
      </c>
      <c r="AC105" s="521">
        <f t="shared" si="14"/>
        <v>-26</v>
      </c>
      <c r="AD105" s="521">
        <f t="shared" si="14"/>
        <v>-22</v>
      </c>
      <c r="AE105" s="521">
        <f t="shared" si="14"/>
        <v>-21</v>
      </c>
      <c r="AF105" s="521">
        <f t="shared" si="14"/>
        <v>-10</v>
      </c>
      <c r="AG105" s="521">
        <f t="shared" si="14"/>
        <v>0</v>
      </c>
      <c r="AH105" s="632">
        <f t="shared" si="14"/>
        <v>-107</v>
      </c>
      <c r="AI105" s="628"/>
      <c r="AJ105" s="617"/>
      <c r="AK105" s="618"/>
      <c r="AL105" s="619"/>
    </row>
    <row r="106" spans="1:38" ht="25.5" thickTop="1" thickBot="1">
      <c r="A106" s="284" t="s">
        <v>198</v>
      </c>
      <c r="B106" s="47">
        <v>0</v>
      </c>
      <c r="C106" s="47">
        <v>0</v>
      </c>
      <c r="D106" s="47">
        <v>0</v>
      </c>
      <c r="E106" s="48" t="s">
        <v>23</v>
      </c>
      <c r="F106" s="49" t="s">
        <v>95</v>
      </c>
      <c r="G106" s="48">
        <v>0</v>
      </c>
      <c r="H106" s="48">
        <v>9</v>
      </c>
      <c r="I106" s="48">
        <v>34</v>
      </c>
      <c r="J106" s="48">
        <v>31</v>
      </c>
      <c r="K106" s="48">
        <v>34</v>
      </c>
      <c r="L106" s="48">
        <v>17</v>
      </c>
      <c r="M106" s="48">
        <v>22</v>
      </c>
      <c r="N106" s="48">
        <v>0</v>
      </c>
      <c r="O106" s="48">
        <v>147</v>
      </c>
      <c r="P106" s="397" t="s">
        <v>301</v>
      </c>
      <c r="AI106" s="27"/>
      <c r="AJ106" s="27"/>
      <c r="AK106" s="27"/>
      <c r="AL106" s="27"/>
    </row>
    <row r="107" spans="1:38" ht="27.75" thickTop="1" thickBot="1">
      <c r="A107" s="454" t="s">
        <v>218</v>
      </c>
      <c r="B107" s="47">
        <v>0</v>
      </c>
      <c r="C107" s="47">
        <v>0</v>
      </c>
      <c r="D107" s="47">
        <v>0</v>
      </c>
      <c r="E107" s="48" t="s">
        <v>23</v>
      </c>
      <c r="F107" s="49" t="s">
        <v>36</v>
      </c>
      <c r="G107" s="48">
        <v>0</v>
      </c>
      <c r="H107" s="48">
        <v>7</v>
      </c>
      <c r="I107" s="48">
        <v>27</v>
      </c>
      <c r="J107" s="48">
        <v>15</v>
      </c>
      <c r="K107" s="48">
        <v>30</v>
      </c>
      <c r="L107" s="48">
        <v>7</v>
      </c>
      <c r="M107" s="48">
        <v>14</v>
      </c>
      <c r="N107" s="48">
        <v>0</v>
      </c>
      <c r="O107" s="48">
        <v>100</v>
      </c>
      <c r="P107" s="397" t="s">
        <v>301</v>
      </c>
      <c r="S107" s="606" t="s">
        <v>306</v>
      </c>
      <c r="T107" s="581" t="str">
        <f>'CORTE 4200'!A217</f>
        <v>4213-00</v>
      </c>
      <c r="U107" s="515" t="str">
        <f>'CORTE 4200'!B217</f>
        <v>Fecha</v>
      </c>
      <c r="V107" s="515">
        <f>'CORTE 4200'!C217</f>
        <v>0</v>
      </c>
      <c r="W107" s="515" t="str">
        <f>'CORTE 4200'!D217</f>
        <v>B2868-V3</v>
      </c>
      <c r="X107" s="516">
        <f>'CORTE 4200'!E217</f>
        <v>0</v>
      </c>
      <c r="Y107" s="530" t="str">
        <f>'CORTE 4200'!F217</f>
        <v>Venta</v>
      </c>
      <c r="Z107" s="517">
        <f>'CORTE 4200'!G217</f>
        <v>0</v>
      </c>
      <c r="AA107" s="518">
        <f>'CORTE 4200'!H217</f>
        <v>15</v>
      </c>
      <c r="AB107" s="518">
        <f>'CORTE 4200'!I217</f>
        <v>45</v>
      </c>
      <c r="AC107" s="518">
        <f>'CORTE 4200'!J217</f>
        <v>51</v>
      </c>
      <c r="AD107" s="518">
        <f>'CORTE 4200'!K217</f>
        <v>50</v>
      </c>
      <c r="AE107" s="518">
        <f>'CORTE 4200'!L217</f>
        <v>36</v>
      </c>
      <c r="AF107" s="518">
        <f>'CORTE 4200'!M217</f>
        <v>32</v>
      </c>
      <c r="AG107" s="518">
        <f>'CORTE 4200'!N217</f>
        <v>0</v>
      </c>
      <c r="AH107" s="629">
        <f>'CORTE 4200'!O217</f>
        <v>229</v>
      </c>
      <c r="AI107" s="610"/>
      <c r="AJ107" s="608"/>
      <c r="AK107" s="609"/>
      <c r="AL107" s="610"/>
    </row>
    <row r="108" spans="1:38" ht="27.75" thickTop="1" thickBot="1">
      <c r="A108" s="284" t="s">
        <v>226</v>
      </c>
      <c r="B108" s="47">
        <v>0</v>
      </c>
      <c r="C108" s="47">
        <v>0</v>
      </c>
      <c r="D108" s="47">
        <v>0</v>
      </c>
      <c r="E108" s="48" t="s">
        <v>23</v>
      </c>
      <c r="F108" s="49" t="s">
        <v>85</v>
      </c>
      <c r="G108" s="48">
        <v>0</v>
      </c>
      <c r="H108" s="48">
        <v>16</v>
      </c>
      <c r="I108" s="48">
        <v>28</v>
      </c>
      <c r="J108" s="48">
        <v>28</v>
      </c>
      <c r="K108" s="48">
        <v>25</v>
      </c>
      <c r="L108" s="48">
        <v>19</v>
      </c>
      <c r="M108" s="48">
        <v>13</v>
      </c>
      <c r="N108" s="48">
        <v>0</v>
      </c>
      <c r="O108" s="48">
        <v>129</v>
      </c>
      <c r="P108" s="397" t="s">
        <v>301</v>
      </c>
      <c r="S108" s="519"/>
      <c r="T108" s="582" t="str">
        <f>'CORTE 4200'!A226</f>
        <v>4213-01</v>
      </c>
      <c r="U108" s="39" t="str">
        <f>'CORTE 4200'!B226</f>
        <v>Fecha</v>
      </c>
      <c r="V108" s="39">
        <f>'CORTE 4200'!C226</f>
        <v>0</v>
      </c>
      <c r="W108" s="39" t="str">
        <f>'CORTE 4200'!D226</f>
        <v>B2868-V3</v>
      </c>
      <c r="X108" s="40">
        <f>'CORTE 4200'!E226</f>
        <v>0</v>
      </c>
      <c r="Y108" s="531" t="str">
        <f>'CORTE 4200'!F226</f>
        <v>Venta</v>
      </c>
      <c r="Z108" s="261">
        <f>'CORTE 4200'!G226</f>
        <v>0</v>
      </c>
      <c r="AA108" s="262">
        <f>'CORTE 4200'!H226</f>
        <v>31</v>
      </c>
      <c r="AB108" s="262">
        <f>'CORTE 4200'!I226</f>
        <v>57</v>
      </c>
      <c r="AC108" s="262">
        <f>'CORTE 4200'!J226</f>
        <v>64</v>
      </c>
      <c r="AD108" s="262">
        <f>'CORTE 4200'!K226</f>
        <v>59</v>
      </c>
      <c r="AE108" s="262">
        <f>'CORTE 4200'!L226</f>
        <v>40</v>
      </c>
      <c r="AF108" s="262">
        <f>'CORTE 4200'!M226</f>
        <v>31</v>
      </c>
      <c r="AG108" s="262">
        <f>'CORTE 4200'!N226</f>
        <v>0</v>
      </c>
      <c r="AH108" s="168">
        <f>'CORTE 4200'!O226</f>
        <v>282</v>
      </c>
      <c r="AI108" s="613"/>
      <c r="AJ108" s="27"/>
      <c r="AK108" s="612"/>
      <c r="AL108" s="613"/>
    </row>
    <row r="109" spans="1:38" ht="27.75" thickTop="1" thickBot="1">
      <c r="S109" s="519"/>
      <c r="T109" s="582" t="str">
        <f>'CORTE 4200'!A235</f>
        <v>4213-02</v>
      </c>
      <c r="U109" s="39" t="str">
        <f>'CORTE 4200'!B235</f>
        <v>Fecha</v>
      </c>
      <c r="V109" s="39">
        <f>'CORTE 4200'!C235</f>
        <v>0</v>
      </c>
      <c r="W109" s="39" t="str">
        <f>'CORTE 4200'!D235</f>
        <v>B2868-V3</v>
      </c>
      <c r="X109" s="40">
        <f>'CORTE 4200'!E235</f>
        <v>0</v>
      </c>
      <c r="Y109" s="531" t="str">
        <f>'CORTE 4200'!F235</f>
        <v>Venta</v>
      </c>
      <c r="Z109" s="261">
        <f>'CORTE 4200'!G235</f>
        <v>0</v>
      </c>
      <c r="AA109" s="262">
        <f>'CORTE 4200'!H235</f>
        <v>2</v>
      </c>
      <c r="AB109" s="262">
        <f>'CORTE 4200'!I235</f>
        <v>3</v>
      </c>
      <c r="AC109" s="262">
        <f>'CORTE 4200'!J235</f>
        <v>3</v>
      </c>
      <c r="AD109" s="262">
        <f>'CORTE 4200'!K235</f>
        <v>3</v>
      </c>
      <c r="AE109" s="262">
        <f>'CORTE 4200'!L235</f>
        <v>2</v>
      </c>
      <c r="AF109" s="262">
        <f>'CORTE 4200'!M235</f>
        <v>2</v>
      </c>
      <c r="AG109" s="262">
        <f>'CORTE 4200'!N235</f>
        <v>0</v>
      </c>
      <c r="AH109" s="168">
        <f>'CORTE 4200'!O235</f>
        <v>15</v>
      </c>
      <c r="AI109" s="622">
        <f>+SUM(AH107:AH109)</f>
        <v>526</v>
      </c>
      <c r="AJ109" s="615">
        <f>+SUM(AH111:AH113)</f>
        <v>26</v>
      </c>
      <c r="AK109" s="612"/>
      <c r="AL109" s="613"/>
    </row>
    <row r="110" spans="1:38" ht="25.5" thickTop="1" thickBot="1">
      <c r="S110" s="523"/>
      <c r="T110" s="551"/>
      <c r="U110" s="514"/>
      <c r="V110" s="514"/>
      <c r="W110" s="514"/>
      <c r="X110" s="514"/>
      <c r="Y110" s="514"/>
      <c r="Z110" s="514"/>
      <c r="AA110" s="514"/>
      <c r="AB110" s="514"/>
      <c r="AC110" s="514"/>
      <c r="AD110" s="514"/>
      <c r="AE110" s="514"/>
      <c r="AF110" s="514"/>
      <c r="AG110" s="514"/>
      <c r="AH110" s="633"/>
      <c r="AI110" s="621"/>
      <c r="AJ110" s="27"/>
      <c r="AK110" s="612"/>
      <c r="AL110" s="613"/>
    </row>
    <row r="111" spans="1:38" ht="25.5" thickTop="1" thickBot="1">
      <c r="S111" s="532" t="s">
        <v>289</v>
      </c>
      <c r="T111" s="583" t="str">
        <f t="shared" ref="T111:AH113" si="15">A25</f>
        <v>4213-00</v>
      </c>
      <c r="U111" s="47">
        <f t="shared" si="15"/>
        <v>0</v>
      </c>
      <c r="V111" s="47">
        <f t="shared" si="15"/>
        <v>0</v>
      </c>
      <c r="W111" s="47">
        <f t="shared" si="15"/>
        <v>0</v>
      </c>
      <c r="X111" s="48" t="str">
        <f t="shared" si="15"/>
        <v>Saldo</v>
      </c>
      <c r="Y111" s="49" t="str">
        <f t="shared" si="15"/>
        <v>B2868-V3</v>
      </c>
      <c r="Z111" s="48">
        <f t="shared" si="15"/>
        <v>0</v>
      </c>
      <c r="AA111" s="48">
        <f t="shared" si="15"/>
        <v>-8</v>
      </c>
      <c r="AB111" s="48">
        <f t="shared" si="15"/>
        <v>5</v>
      </c>
      <c r="AC111" s="48">
        <f t="shared" si="15"/>
        <v>4</v>
      </c>
      <c r="AD111" s="48">
        <f t="shared" si="15"/>
        <v>8</v>
      </c>
      <c r="AE111" s="48">
        <f t="shared" si="15"/>
        <v>6</v>
      </c>
      <c r="AF111" s="48">
        <f t="shared" si="15"/>
        <v>14</v>
      </c>
      <c r="AG111" s="48">
        <f t="shared" si="15"/>
        <v>0</v>
      </c>
      <c r="AH111" s="631">
        <f t="shared" si="15"/>
        <v>29</v>
      </c>
      <c r="AI111" s="621"/>
      <c r="AJ111" s="27"/>
      <c r="AK111" s="612"/>
      <c r="AL111" s="613"/>
    </row>
    <row r="112" spans="1:38" ht="25.5" thickTop="1" thickBot="1">
      <c r="S112" s="532" t="s">
        <v>289</v>
      </c>
      <c r="T112" s="583" t="str">
        <f t="shared" si="15"/>
        <v>4213-01</v>
      </c>
      <c r="U112" s="47">
        <f t="shared" si="15"/>
        <v>0</v>
      </c>
      <c r="V112" s="47">
        <f t="shared" si="15"/>
        <v>0</v>
      </c>
      <c r="W112" s="47">
        <f t="shared" si="15"/>
        <v>0</v>
      </c>
      <c r="X112" s="48" t="str">
        <f t="shared" si="15"/>
        <v>Saldo</v>
      </c>
      <c r="Y112" s="49" t="str">
        <f t="shared" si="15"/>
        <v>B2868-V3</v>
      </c>
      <c r="Z112" s="48">
        <f t="shared" si="15"/>
        <v>0</v>
      </c>
      <c r="AA112" s="48">
        <f t="shared" si="15"/>
        <v>-3</v>
      </c>
      <c r="AB112" s="48">
        <f t="shared" si="15"/>
        <v>-3</v>
      </c>
      <c r="AC112" s="48">
        <f t="shared" si="15"/>
        <v>-7</v>
      </c>
      <c r="AD112" s="48">
        <f t="shared" si="15"/>
        <v>-3</v>
      </c>
      <c r="AE112" s="48">
        <f t="shared" si="15"/>
        <v>-6</v>
      </c>
      <c r="AF112" s="48">
        <f t="shared" si="15"/>
        <v>4</v>
      </c>
      <c r="AG112" s="48">
        <f t="shared" si="15"/>
        <v>0</v>
      </c>
      <c r="AH112" s="631">
        <f t="shared" si="15"/>
        <v>-18</v>
      </c>
      <c r="AI112" s="621"/>
      <c r="AJ112" s="27"/>
      <c r="AK112" s="612"/>
      <c r="AL112" s="613"/>
    </row>
    <row r="113" spans="18:38" ht="24.75" thickTop="1">
      <c r="S113" s="533" t="s">
        <v>289</v>
      </c>
      <c r="T113" s="584" t="str">
        <f t="shared" si="15"/>
        <v>4213-02</v>
      </c>
      <c r="U113" s="520">
        <f t="shared" si="15"/>
        <v>0</v>
      </c>
      <c r="V113" s="520">
        <f t="shared" si="15"/>
        <v>0</v>
      </c>
      <c r="W113" s="520">
        <f t="shared" si="15"/>
        <v>0</v>
      </c>
      <c r="X113" s="521" t="str">
        <f t="shared" si="15"/>
        <v>Saldo</v>
      </c>
      <c r="Y113" s="522" t="str">
        <f t="shared" si="15"/>
        <v>B2868-V3</v>
      </c>
      <c r="Z113" s="521">
        <f t="shared" si="15"/>
        <v>0</v>
      </c>
      <c r="AA113" s="521">
        <f t="shared" si="15"/>
        <v>2</v>
      </c>
      <c r="AB113" s="521">
        <f t="shared" si="15"/>
        <v>3</v>
      </c>
      <c r="AC113" s="521">
        <f t="shared" si="15"/>
        <v>3</v>
      </c>
      <c r="AD113" s="521">
        <f t="shared" si="15"/>
        <v>3</v>
      </c>
      <c r="AE113" s="521">
        <f t="shared" si="15"/>
        <v>2</v>
      </c>
      <c r="AF113" s="521">
        <f t="shared" si="15"/>
        <v>2</v>
      </c>
      <c r="AG113" s="521">
        <f t="shared" si="15"/>
        <v>0</v>
      </c>
      <c r="AH113" s="632">
        <f t="shared" si="15"/>
        <v>15</v>
      </c>
      <c r="AI113" s="624"/>
      <c r="AJ113" s="617"/>
      <c r="AK113" s="618"/>
      <c r="AL113" s="619"/>
    </row>
    <row r="114" spans="18:38">
      <c r="R114" s="397"/>
      <c r="S114" s="397"/>
      <c r="T114" s="551"/>
      <c r="U114" s="514"/>
      <c r="V114" s="514"/>
      <c r="W114" s="514"/>
      <c r="X114" s="514"/>
      <c r="Y114" s="514"/>
      <c r="Z114" s="514"/>
      <c r="AA114" s="514"/>
      <c r="AB114" s="514"/>
      <c r="AC114" s="514"/>
      <c r="AD114" s="514"/>
      <c r="AE114" s="514"/>
      <c r="AF114" s="514"/>
      <c r="AG114" s="514"/>
      <c r="AH114" s="633"/>
      <c r="AI114" s="626"/>
      <c r="AJ114" s="27"/>
      <c r="AK114" s="27"/>
      <c r="AL114" s="27"/>
    </row>
    <row r="115" spans="18:38" ht="27" thickBot="1">
      <c r="S115" s="606" t="s">
        <v>307</v>
      </c>
      <c r="T115" s="562" t="str">
        <f>'CORTE 4200'!A685</f>
        <v>4240-00</v>
      </c>
      <c r="U115" s="515" t="str">
        <f>'CORTE 4200'!B685</f>
        <v>Fecha</v>
      </c>
      <c r="V115" s="515">
        <f>'CORTE 4200'!C685</f>
        <v>0</v>
      </c>
      <c r="W115" s="515" t="str">
        <f>'CORTE 4200'!D685</f>
        <v>B2868-V3</v>
      </c>
      <c r="X115" s="516">
        <f>'CORTE 4200'!E685</f>
        <v>0</v>
      </c>
      <c r="Y115" s="530" t="str">
        <f>'CORTE 4200'!F685</f>
        <v>Venta</v>
      </c>
      <c r="Z115" s="517">
        <f>'CORTE 4200'!G685</f>
        <v>0</v>
      </c>
      <c r="AA115" s="518">
        <f>'CORTE 4200'!H685</f>
        <v>48</v>
      </c>
      <c r="AB115" s="518">
        <f>'CORTE 4200'!I685</f>
        <v>110</v>
      </c>
      <c r="AC115" s="518">
        <f>'CORTE 4200'!J685</f>
        <v>112</v>
      </c>
      <c r="AD115" s="518">
        <f>'CORTE 4200'!K685</f>
        <v>110</v>
      </c>
      <c r="AE115" s="518">
        <f>'CORTE 4200'!L685</f>
        <v>75</v>
      </c>
      <c r="AF115" s="518">
        <f>'CORTE 4200'!M685</f>
        <v>68</v>
      </c>
      <c r="AG115" s="518">
        <f>'CORTE 4200'!N685</f>
        <v>0</v>
      </c>
      <c r="AH115" s="629">
        <f>'CORTE 4200'!O685</f>
        <v>523</v>
      </c>
      <c r="AI115" s="622">
        <f>+AH115</f>
        <v>523</v>
      </c>
      <c r="AJ115" s="627">
        <f>+AH117</f>
        <v>-54</v>
      </c>
      <c r="AK115" s="609"/>
      <c r="AL115" s="610"/>
    </row>
    <row r="116" spans="18:38" ht="25.5" thickTop="1" thickBot="1">
      <c r="S116" s="523"/>
      <c r="T116" s="551"/>
      <c r="U116" s="514"/>
      <c r="V116" s="514"/>
      <c r="W116" s="514"/>
      <c r="X116" s="514"/>
      <c r="Y116" s="514"/>
      <c r="Z116" s="514"/>
      <c r="AA116" s="514"/>
      <c r="AB116" s="514"/>
      <c r="AC116" s="514"/>
      <c r="AD116" s="514"/>
      <c r="AE116" s="514"/>
      <c r="AF116" s="514"/>
      <c r="AG116" s="514"/>
      <c r="AH116" s="633"/>
      <c r="AI116" s="621"/>
      <c r="AJ116" s="27"/>
      <c r="AK116" s="612"/>
      <c r="AL116" s="613"/>
    </row>
    <row r="117" spans="18:38" ht="24.75" thickTop="1">
      <c r="S117" s="525"/>
      <c r="T117" s="563" t="str">
        <f t="shared" ref="T117:AH117" si="16">A77</f>
        <v>4240-00</v>
      </c>
      <c r="U117" s="520">
        <f t="shared" si="16"/>
        <v>0</v>
      </c>
      <c r="V117" s="520">
        <f t="shared" si="16"/>
        <v>0</v>
      </c>
      <c r="W117" s="520">
        <f t="shared" si="16"/>
        <v>0</v>
      </c>
      <c r="X117" s="521" t="str">
        <f t="shared" si="16"/>
        <v>Saldo</v>
      </c>
      <c r="Y117" s="522" t="str">
        <f t="shared" si="16"/>
        <v>B2868-V3</v>
      </c>
      <c r="Z117" s="521">
        <f t="shared" si="16"/>
        <v>0</v>
      </c>
      <c r="AA117" s="521">
        <f t="shared" si="16"/>
        <v>-29</v>
      </c>
      <c r="AB117" s="521">
        <f t="shared" si="16"/>
        <v>0</v>
      </c>
      <c r="AC117" s="521">
        <f t="shared" si="16"/>
        <v>-12</v>
      </c>
      <c r="AD117" s="521">
        <f t="shared" si="16"/>
        <v>-1</v>
      </c>
      <c r="AE117" s="521">
        <f t="shared" si="16"/>
        <v>-16</v>
      </c>
      <c r="AF117" s="521">
        <f t="shared" si="16"/>
        <v>4</v>
      </c>
      <c r="AG117" s="521">
        <f t="shared" si="16"/>
        <v>0</v>
      </c>
      <c r="AH117" s="632">
        <f t="shared" si="16"/>
        <v>-54</v>
      </c>
      <c r="AI117" s="624"/>
      <c r="AJ117" s="617"/>
      <c r="AK117" s="618"/>
      <c r="AL117" s="619"/>
    </row>
    <row r="118" spans="18:38">
      <c r="AI118" s="27"/>
      <c r="AJ118" s="27"/>
      <c r="AK118" s="27"/>
      <c r="AL118" s="27"/>
    </row>
    <row r="119" spans="18:38" ht="27" thickBot="1">
      <c r="S119" s="606" t="s">
        <v>308</v>
      </c>
      <c r="T119" s="562" t="str">
        <f>'CORTE 4200'!A163</f>
        <v>4209-00</v>
      </c>
      <c r="U119" s="515" t="str">
        <f>'CORTE 4200'!B163</f>
        <v>Fecha</v>
      </c>
      <c r="V119" s="515">
        <f>'CORTE 4200'!C163</f>
        <v>0</v>
      </c>
      <c r="W119" s="515" t="str">
        <f>'CORTE 4200'!D163</f>
        <v>B2868-V3</v>
      </c>
      <c r="X119" s="516">
        <f>'CORTE 4200'!E163</f>
        <v>0</v>
      </c>
      <c r="Y119" s="530" t="str">
        <f>'CORTE 4200'!F163</f>
        <v>Venta</v>
      </c>
      <c r="Z119" s="517">
        <f>'CORTE 4200'!G163</f>
        <v>0</v>
      </c>
      <c r="AA119" s="518">
        <f>'CORTE 4200'!H163</f>
        <v>55</v>
      </c>
      <c r="AB119" s="518">
        <f>'CORTE 4200'!I163</f>
        <v>109</v>
      </c>
      <c r="AC119" s="518">
        <f>'CORTE 4200'!J163</f>
        <v>112</v>
      </c>
      <c r="AD119" s="518">
        <f>'CORTE 4200'!K163</f>
        <v>103</v>
      </c>
      <c r="AE119" s="518">
        <f>'CORTE 4200'!L163</f>
        <v>78</v>
      </c>
      <c r="AF119" s="518">
        <f>'CORTE 4200'!M163</f>
        <v>55</v>
      </c>
      <c r="AG119" s="518">
        <f>'CORTE 4200'!N163</f>
        <v>0</v>
      </c>
      <c r="AH119" s="629">
        <f>'CORTE 4200'!O163</f>
        <v>512</v>
      </c>
      <c r="AI119" s="622">
        <f>+AH119</f>
        <v>512</v>
      </c>
      <c r="AJ119" s="627">
        <f>+AH121</f>
        <v>10</v>
      </c>
      <c r="AK119" s="609"/>
      <c r="AL119" s="610"/>
    </row>
    <row r="120" spans="18:38" ht="25.5" thickTop="1" thickBot="1">
      <c r="S120" s="519"/>
      <c r="AI120" s="613"/>
      <c r="AJ120" s="27"/>
      <c r="AK120" s="612"/>
      <c r="AL120" s="613"/>
    </row>
    <row r="121" spans="18:38" ht="24.75" thickTop="1">
      <c r="S121" s="533" t="s">
        <v>289</v>
      </c>
      <c r="T121" s="563" t="str">
        <f t="shared" ref="T121:AH121" si="17">A19</f>
        <v>4209-00</v>
      </c>
      <c r="U121" s="520">
        <f t="shared" si="17"/>
        <v>0</v>
      </c>
      <c r="V121" s="520">
        <f t="shared" si="17"/>
        <v>0</v>
      </c>
      <c r="W121" s="520">
        <f t="shared" si="17"/>
        <v>0</v>
      </c>
      <c r="X121" s="521" t="str">
        <f t="shared" si="17"/>
        <v>Saldo</v>
      </c>
      <c r="Y121" s="522" t="str">
        <f t="shared" si="17"/>
        <v>B2868-V3</v>
      </c>
      <c r="Z121" s="521">
        <f t="shared" si="17"/>
        <v>0</v>
      </c>
      <c r="AA121" s="521">
        <f t="shared" si="17"/>
        <v>1</v>
      </c>
      <c r="AB121" s="521">
        <f t="shared" si="17"/>
        <v>5</v>
      </c>
      <c r="AC121" s="521">
        <f t="shared" si="17"/>
        <v>2</v>
      </c>
      <c r="AD121" s="521">
        <f t="shared" si="17"/>
        <v>3</v>
      </c>
      <c r="AE121" s="521">
        <f t="shared" si="17"/>
        <v>4</v>
      </c>
      <c r="AF121" s="521">
        <f t="shared" si="17"/>
        <v>-5</v>
      </c>
      <c r="AG121" s="521">
        <f t="shared" si="17"/>
        <v>0</v>
      </c>
      <c r="AH121" s="632">
        <f t="shared" si="17"/>
        <v>10</v>
      </c>
      <c r="AI121" s="619"/>
      <c r="AJ121" s="617"/>
      <c r="AK121" s="618"/>
      <c r="AL121" s="619"/>
    </row>
    <row r="122" spans="18:38">
      <c r="AI122" s="27"/>
      <c r="AJ122" s="27"/>
      <c r="AK122" s="27"/>
      <c r="AL122" s="27"/>
    </row>
    <row r="123" spans="18:38" ht="27" thickBot="1">
      <c r="S123" s="606" t="s">
        <v>309</v>
      </c>
      <c r="T123" s="585" t="str">
        <f>'CORTE 4200'!A766</f>
        <v>4249-00</v>
      </c>
      <c r="U123" s="515" t="str">
        <f>'CORTE 4200'!B766</f>
        <v>Fecha</v>
      </c>
      <c r="V123" s="515">
        <f>'CORTE 4200'!C766</f>
        <v>0</v>
      </c>
      <c r="W123" s="515" t="str">
        <f>'CORTE 4200'!D766</f>
        <v>Outlander Black</v>
      </c>
      <c r="X123" s="516">
        <f>'CORTE 4200'!E766</f>
        <v>0</v>
      </c>
      <c r="Y123" s="530" t="str">
        <f>'CORTE 4200'!F766</f>
        <v>Venta</v>
      </c>
      <c r="Z123" s="517">
        <f>'CORTE 4200'!G766</f>
        <v>0</v>
      </c>
      <c r="AA123" s="518">
        <f>'CORTE 4200'!H766</f>
        <v>43</v>
      </c>
      <c r="AB123" s="518">
        <f>'CORTE 4200'!I766</f>
        <v>90</v>
      </c>
      <c r="AC123" s="518">
        <f>'CORTE 4200'!J766</f>
        <v>102</v>
      </c>
      <c r="AD123" s="518">
        <f>'CORTE 4200'!K766</f>
        <v>98</v>
      </c>
      <c r="AE123" s="518">
        <f>'CORTE 4200'!L766</f>
        <v>73</v>
      </c>
      <c r="AF123" s="518">
        <f>'CORTE 4200'!M766</f>
        <v>60</v>
      </c>
      <c r="AG123" s="518">
        <f>'CORTE 4200'!N766</f>
        <v>0</v>
      </c>
      <c r="AH123" s="629">
        <f>'CORTE 4200'!O766</f>
        <v>466</v>
      </c>
      <c r="AI123" s="610"/>
      <c r="AJ123" s="608"/>
      <c r="AK123" s="609"/>
      <c r="AL123" s="610"/>
    </row>
    <row r="124" spans="18:38" ht="27.75" thickTop="1" thickBot="1">
      <c r="S124" s="519"/>
      <c r="T124" s="586" t="str">
        <f>'CORTE 4200'!A775</f>
        <v>4249-60</v>
      </c>
      <c r="U124" s="39" t="str">
        <f>'CORTE 4200'!B775</f>
        <v>Fecha</v>
      </c>
      <c r="V124" s="39">
        <f>'CORTE 4200'!C775</f>
        <v>0</v>
      </c>
      <c r="W124" s="39" t="str">
        <f>'CORTE 4200'!D775</f>
        <v>Outlander Black</v>
      </c>
      <c r="X124" s="40">
        <f>'CORTE 4200'!E775</f>
        <v>0</v>
      </c>
      <c r="Y124" s="531" t="str">
        <f>'CORTE 4200'!F775</f>
        <v>Venta</v>
      </c>
      <c r="Z124" s="261">
        <f>'CORTE 4200'!G775</f>
        <v>0</v>
      </c>
      <c r="AA124" s="262">
        <f>'CORTE 4200'!H775</f>
        <v>6</v>
      </c>
      <c r="AB124" s="262">
        <f>'CORTE 4200'!I775</f>
        <v>9</v>
      </c>
      <c r="AC124" s="262">
        <f>'CORTE 4200'!J775</f>
        <v>11</v>
      </c>
      <c r="AD124" s="262">
        <f>'CORTE 4200'!K775</f>
        <v>9</v>
      </c>
      <c r="AE124" s="262">
        <f>'CORTE 4200'!L775</f>
        <v>7</v>
      </c>
      <c r="AF124" s="262">
        <f>'CORTE 4200'!M775</f>
        <v>4</v>
      </c>
      <c r="AG124" s="262">
        <f>'CORTE 4200'!N775</f>
        <v>0</v>
      </c>
      <c r="AH124" s="168">
        <f>'CORTE 4200'!O775</f>
        <v>46</v>
      </c>
      <c r="AI124" s="622">
        <f>+SUM(AH123:AH124)</f>
        <v>512</v>
      </c>
      <c r="AJ124" s="615">
        <f>+SUM(AH126:AH127)</f>
        <v>44</v>
      </c>
      <c r="AK124" s="612"/>
      <c r="AL124" s="613"/>
    </row>
    <row r="125" spans="18:38" ht="25.5" thickTop="1" thickBot="1">
      <c r="S125" s="519"/>
      <c r="AI125" s="613"/>
      <c r="AJ125" s="27"/>
      <c r="AK125" s="612"/>
      <c r="AL125" s="613"/>
    </row>
    <row r="126" spans="18:38" ht="25.5" thickTop="1" thickBot="1">
      <c r="S126" s="532" t="s">
        <v>289</v>
      </c>
      <c r="T126" s="587" t="str">
        <f t="shared" ref="T126:AH127" si="18">A86</f>
        <v>4249-00</v>
      </c>
      <c r="U126" s="47">
        <f t="shared" si="18"/>
        <v>0</v>
      </c>
      <c r="V126" s="47">
        <f t="shared" si="18"/>
        <v>0</v>
      </c>
      <c r="W126" s="47">
        <f t="shared" si="18"/>
        <v>0</v>
      </c>
      <c r="X126" s="48" t="str">
        <f t="shared" si="18"/>
        <v>Saldo</v>
      </c>
      <c r="Y126" s="49" t="str">
        <f t="shared" si="18"/>
        <v>Outlander Black</v>
      </c>
      <c r="Z126" s="48">
        <f t="shared" si="18"/>
        <v>0</v>
      </c>
      <c r="AA126" s="48">
        <f t="shared" si="18"/>
        <v>-4</v>
      </c>
      <c r="AB126" s="48">
        <f t="shared" si="18"/>
        <v>-4</v>
      </c>
      <c r="AC126" s="48">
        <f t="shared" si="18"/>
        <v>-10</v>
      </c>
      <c r="AD126" s="48">
        <f t="shared" si="18"/>
        <v>4</v>
      </c>
      <c r="AE126" s="48">
        <f t="shared" si="18"/>
        <v>-1</v>
      </c>
      <c r="AF126" s="48">
        <f t="shared" si="18"/>
        <v>13</v>
      </c>
      <c r="AG126" s="48">
        <f t="shared" si="18"/>
        <v>0</v>
      </c>
      <c r="AH126" s="631">
        <f t="shared" si="18"/>
        <v>-2</v>
      </c>
      <c r="AI126" s="613"/>
      <c r="AJ126" s="27"/>
      <c r="AK126" s="612"/>
      <c r="AL126" s="613"/>
    </row>
    <row r="127" spans="18:38" ht="24.75" thickTop="1">
      <c r="S127" s="533" t="s">
        <v>289</v>
      </c>
      <c r="T127" s="588" t="str">
        <f t="shared" si="18"/>
        <v>4249-60</v>
      </c>
      <c r="U127" s="520">
        <f t="shared" si="18"/>
        <v>0</v>
      </c>
      <c r="V127" s="520">
        <f t="shared" si="18"/>
        <v>0</v>
      </c>
      <c r="W127" s="520">
        <f t="shared" si="18"/>
        <v>0</v>
      </c>
      <c r="X127" s="521" t="str">
        <f t="shared" si="18"/>
        <v>Saldo</v>
      </c>
      <c r="Y127" s="522" t="str">
        <f t="shared" si="18"/>
        <v>Outlander Black</v>
      </c>
      <c r="Z127" s="521">
        <f t="shared" si="18"/>
        <v>0</v>
      </c>
      <c r="AA127" s="521">
        <f t="shared" si="18"/>
        <v>6</v>
      </c>
      <c r="AB127" s="521">
        <f t="shared" si="18"/>
        <v>9</v>
      </c>
      <c r="AC127" s="521">
        <f t="shared" si="18"/>
        <v>11</v>
      </c>
      <c r="AD127" s="521">
        <f t="shared" si="18"/>
        <v>9</v>
      </c>
      <c r="AE127" s="521">
        <f t="shared" si="18"/>
        <v>7</v>
      </c>
      <c r="AF127" s="521">
        <f t="shared" si="18"/>
        <v>4</v>
      </c>
      <c r="AG127" s="521">
        <f t="shared" si="18"/>
        <v>0</v>
      </c>
      <c r="AH127" s="632">
        <f t="shared" si="18"/>
        <v>46</v>
      </c>
      <c r="AI127" s="619"/>
      <c r="AJ127" s="617"/>
      <c r="AK127" s="618"/>
      <c r="AL127" s="619"/>
    </row>
    <row r="128" spans="18:38">
      <c r="AI128" s="27"/>
      <c r="AJ128" s="27"/>
      <c r="AK128" s="27"/>
      <c r="AL128" s="27"/>
    </row>
    <row r="129" spans="19:38" ht="27" thickBot="1">
      <c r="S129" s="606" t="s">
        <v>310</v>
      </c>
      <c r="T129" s="589" t="str">
        <f>'CORTE 4200'!A424</f>
        <v>4225-00</v>
      </c>
      <c r="U129" s="515" t="str">
        <f>'CORTE 4200'!B424</f>
        <v>Fecha</v>
      </c>
      <c r="V129" s="515">
        <f>'CORTE 4200'!C424</f>
        <v>0</v>
      </c>
      <c r="W129" s="515" t="str">
        <f>'CORTE 4200'!D424</f>
        <v>B2868-V3</v>
      </c>
      <c r="X129" s="516">
        <f>'CORTE 4200'!E424</f>
        <v>0</v>
      </c>
      <c r="Y129" s="530" t="str">
        <f>'CORTE 4200'!F424</f>
        <v>Venta</v>
      </c>
      <c r="Z129" s="517">
        <f>'CORTE 4200'!G424</f>
        <v>0</v>
      </c>
      <c r="AA129" s="518">
        <f>'CORTE 4200'!H424</f>
        <v>50</v>
      </c>
      <c r="AB129" s="518">
        <f>'CORTE 4200'!I424</f>
        <v>99</v>
      </c>
      <c r="AC129" s="518">
        <f>'CORTE 4200'!J424</f>
        <v>103</v>
      </c>
      <c r="AD129" s="518">
        <f>'CORTE 4200'!K424</f>
        <v>102</v>
      </c>
      <c r="AE129" s="518">
        <f>'CORTE 4200'!L424</f>
        <v>65</v>
      </c>
      <c r="AF129" s="518">
        <f>'CORTE 4200'!M424</f>
        <v>57</v>
      </c>
      <c r="AG129" s="518">
        <f>'CORTE 4200'!N424</f>
        <v>0</v>
      </c>
      <c r="AH129" s="629">
        <f>'CORTE 4200'!O424</f>
        <v>476</v>
      </c>
      <c r="AI129" s="610"/>
      <c r="AJ129" s="608"/>
      <c r="AK129" s="609"/>
      <c r="AL129" s="610"/>
    </row>
    <row r="130" spans="19:38" ht="27.75" thickTop="1" thickBot="1">
      <c r="S130" s="519"/>
      <c r="T130" s="590" t="str">
        <f>'CORTE 4200'!A433</f>
        <v>4225-01</v>
      </c>
      <c r="U130" s="39" t="str">
        <f>'CORTE 4200'!B433</f>
        <v>Fecha</v>
      </c>
      <c r="V130" s="39">
        <f>'CORTE 4200'!C433</f>
        <v>0</v>
      </c>
      <c r="W130" s="39" t="str">
        <f>'CORTE 4200'!D433</f>
        <v>B2868-V3</v>
      </c>
      <c r="X130" s="40">
        <f>'CORTE 4200'!E433</f>
        <v>0</v>
      </c>
      <c r="Y130" s="531" t="str">
        <f>'CORTE 4200'!F433</f>
        <v>Venta</v>
      </c>
      <c r="Z130" s="261">
        <f>'CORTE 4200'!G433</f>
        <v>0</v>
      </c>
      <c r="AA130" s="262">
        <f>'CORTE 4200'!H433</f>
        <v>0</v>
      </c>
      <c r="AB130" s="262">
        <f>'CORTE 4200'!I433</f>
        <v>4</v>
      </c>
      <c r="AC130" s="262">
        <f>'CORTE 4200'!J433</f>
        <v>8</v>
      </c>
      <c r="AD130" s="262">
        <f>'CORTE 4200'!K433</f>
        <v>8</v>
      </c>
      <c r="AE130" s="262">
        <f>'CORTE 4200'!L433</f>
        <v>7</v>
      </c>
      <c r="AF130" s="262">
        <f>'CORTE 4200'!M433</f>
        <v>5</v>
      </c>
      <c r="AG130" s="262">
        <f>'CORTE 4200'!N433</f>
        <v>0</v>
      </c>
      <c r="AH130" s="168">
        <f>'CORTE 4200'!O433</f>
        <v>32</v>
      </c>
      <c r="AI130" s="622">
        <f>+SUM(AH129:AH130)</f>
        <v>508</v>
      </c>
      <c r="AJ130" s="615">
        <f>+SUM(AH132:AH133)</f>
        <v>-237</v>
      </c>
      <c r="AK130" s="612">
        <v>50</v>
      </c>
      <c r="AL130" s="613"/>
    </row>
    <row r="131" spans="19:38" ht="25.5" thickTop="1" thickBot="1">
      <c r="S131" s="519"/>
      <c r="AI131" s="613"/>
      <c r="AJ131" s="27"/>
      <c r="AK131" s="612"/>
      <c r="AL131" s="613"/>
    </row>
    <row r="132" spans="19:38" ht="25.5" thickTop="1" thickBot="1">
      <c r="S132" s="532" t="s">
        <v>289</v>
      </c>
      <c r="T132" s="591" t="str">
        <f t="shared" ref="T132:AH133" si="19">A48</f>
        <v>4225-00</v>
      </c>
      <c r="U132" s="47">
        <f t="shared" si="19"/>
        <v>0</v>
      </c>
      <c r="V132" s="47">
        <f t="shared" si="19"/>
        <v>0</v>
      </c>
      <c r="W132" s="47">
        <f t="shared" si="19"/>
        <v>0</v>
      </c>
      <c r="X132" s="48" t="str">
        <f t="shared" si="19"/>
        <v>Saldo</v>
      </c>
      <c r="Y132" s="49" t="str">
        <f t="shared" si="19"/>
        <v>B2868-V3</v>
      </c>
      <c r="Z132" s="48">
        <f t="shared" si="19"/>
        <v>0</v>
      </c>
      <c r="AA132" s="48">
        <f t="shared" si="19"/>
        <v>-38</v>
      </c>
      <c r="AB132" s="48">
        <f t="shared" si="19"/>
        <v>-42</v>
      </c>
      <c r="AC132" s="48">
        <f t="shared" si="19"/>
        <v>-73</v>
      </c>
      <c r="AD132" s="48">
        <f t="shared" si="19"/>
        <v>-62</v>
      </c>
      <c r="AE132" s="48">
        <f t="shared" si="19"/>
        <v>-49</v>
      </c>
      <c r="AF132" s="48">
        <f t="shared" si="19"/>
        <v>-5</v>
      </c>
      <c r="AG132" s="48">
        <f t="shared" si="19"/>
        <v>0</v>
      </c>
      <c r="AH132" s="631">
        <f t="shared" si="19"/>
        <v>-269</v>
      </c>
      <c r="AI132" s="616"/>
      <c r="AJ132" s="27"/>
      <c r="AK132" s="612"/>
      <c r="AL132" s="613"/>
    </row>
    <row r="133" spans="19:38" ht="24.75" thickTop="1">
      <c r="S133" s="533" t="s">
        <v>289</v>
      </c>
      <c r="T133" s="592" t="str">
        <f t="shared" si="19"/>
        <v>4225-01</v>
      </c>
      <c r="U133" s="520">
        <f t="shared" si="19"/>
        <v>0</v>
      </c>
      <c r="V133" s="520">
        <f t="shared" si="19"/>
        <v>0</v>
      </c>
      <c r="W133" s="520">
        <f t="shared" si="19"/>
        <v>0</v>
      </c>
      <c r="X133" s="521" t="str">
        <f t="shared" si="19"/>
        <v>Saldo</v>
      </c>
      <c r="Y133" s="522" t="str">
        <f t="shared" si="19"/>
        <v>B2868-V3</v>
      </c>
      <c r="Z133" s="521">
        <f t="shared" si="19"/>
        <v>0</v>
      </c>
      <c r="AA133" s="521">
        <f t="shared" si="19"/>
        <v>0</v>
      </c>
      <c r="AB133" s="521">
        <f t="shared" si="19"/>
        <v>4</v>
      </c>
      <c r="AC133" s="521">
        <f t="shared" si="19"/>
        <v>8</v>
      </c>
      <c r="AD133" s="521">
        <f t="shared" si="19"/>
        <v>8</v>
      </c>
      <c r="AE133" s="521">
        <f t="shared" si="19"/>
        <v>7</v>
      </c>
      <c r="AF133" s="521">
        <f t="shared" si="19"/>
        <v>5</v>
      </c>
      <c r="AG133" s="521">
        <f t="shared" si="19"/>
        <v>0</v>
      </c>
      <c r="AH133" s="632">
        <f t="shared" si="19"/>
        <v>32</v>
      </c>
      <c r="AI133" s="619"/>
      <c r="AJ133" s="617"/>
      <c r="AK133" s="618"/>
      <c r="AL133" s="619"/>
    </row>
    <row r="134" spans="19:38">
      <c r="AI134" s="27"/>
      <c r="AJ134" s="27"/>
      <c r="AK134" s="27"/>
      <c r="AL134" s="27"/>
    </row>
    <row r="135" spans="19:38" ht="27" thickBot="1">
      <c r="S135" s="606" t="s">
        <v>311</v>
      </c>
      <c r="T135" s="562" t="str">
        <f>'CORTE 4200'!A496</f>
        <v>4229-00</v>
      </c>
      <c r="U135" s="515" t="str">
        <f>'CORTE 4200'!B496</f>
        <v>Fecha</v>
      </c>
      <c r="V135" s="515">
        <f>'CORTE 4200'!C496</f>
        <v>0</v>
      </c>
      <c r="W135" s="515" t="str">
        <f>'CORTE 4200'!D496</f>
        <v>New Glue</v>
      </c>
      <c r="X135" s="516">
        <f>'CORTE 4200'!E496</f>
        <v>0</v>
      </c>
      <c r="Y135" s="530" t="str">
        <f>'CORTE 4200'!F496</f>
        <v>Venta</v>
      </c>
      <c r="Z135" s="517">
        <f>'CORTE 4200'!G496</f>
        <v>0</v>
      </c>
      <c r="AA135" s="518">
        <f>'CORTE 4200'!H496</f>
        <v>43</v>
      </c>
      <c r="AB135" s="518">
        <f>'CORTE 4200'!I496</f>
        <v>101</v>
      </c>
      <c r="AC135" s="518">
        <f>'CORTE 4200'!J496</f>
        <v>110</v>
      </c>
      <c r="AD135" s="518">
        <f>'CORTE 4200'!K496</f>
        <v>108</v>
      </c>
      <c r="AE135" s="518">
        <f>'CORTE 4200'!L496</f>
        <v>79</v>
      </c>
      <c r="AF135" s="518">
        <f>'CORTE 4200'!M496</f>
        <v>61</v>
      </c>
      <c r="AG135" s="518">
        <f>'CORTE 4200'!N496</f>
        <v>0</v>
      </c>
      <c r="AH135" s="629">
        <f>'CORTE 4200'!O496</f>
        <v>502</v>
      </c>
      <c r="AI135" s="622">
        <f>+AH135</f>
        <v>502</v>
      </c>
      <c r="AJ135" s="627">
        <f>+AH137</f>
        <v>8</v>
      </c>
      <c r="AK135" s="609"/>
      <c r="AL135" s="610"/>
    </row>
    <row r="136" spans="19:38" ht="25.5" thickTop="1" thickBot="1">
      <c r="S136" s="527"/>
      <c r="U136" s="234"/>
      <c r="V136" s="234"/>
      <c r="W136" s="234"/>
      <c r="X136" s="234"/>
      <c r="Y136" s="234"/>
      <c r="Z136" s="234"/>
      <c r="AA136" s="234"/>
      <c r="AB136" s="234"/>
      <c r="AC136" s="234"/>
      <c r="AD136" s="234"/>
      <c r="AE136" s="234"/>
      <c r="AF136" s="234"/>
      <c r="AG136" s="234"/>
      <c r="AI136" s="613"/>
      <c r="AJ136" s="27"/>
      <c r="AK136" s="612"/>
      <c r="AL136" s="613"/>
    </row>
    <row r="137" spans="19:38" ht="24.75" thickTop="1">
      <c r="S137" s="533" t="s">
        <v>289</v>
      </c>
      <c r="T137" s="563" t="str">
        <f t="shared" ref="T137:AH137" si="20">A56</f>
        <v>4229-00</v>
      </c>
      <c r="U137" s="520">
        <f t="shared" si="20"/>
        <v>0</v>
      </c>
      <c r="V137" s="520">
        <f t="shared" si="20"/>
        <v>0</v>
      </c>
      <c r="W137" s="520">
        <f t="shared" si="20"/>
        <v>0</v>
      </c>
      <c r="X137" s="521" t="str">
        <f t="shared" si="20"/>
        <v>Saldo</v>
      </c>
      <c r="Y137" s="522" t="str">
        <f t="shared" si="20"/>
        <v>New Glue</v>
      </c>
      <c r="Z137" s="521">
        <f t="shared" si="20"/>
        <v>0</v>
      </c>
      <c r="AA137" s="521">
        <f t="shared" si="20"/>
        <v>-35</v>
      </c>
      <c r="AB137" s="521">
        <f t="shared" si="20"/>
        <v>3</v>
      </c>
      <c r="AC137" s="521">
        <f t="shared" si="20"/>
        <v>12</v>
      </c>
      <c r="AD137" s="521">
        <f t="shared" si="20"/>
        <v>10</v>
      </c>
      <c r="AE137" s="521">
        <f t="shared" si="20"/>
        <v>3</v>
      </c>
      <c r="AF137" s="521">
        <f t="shared" si="20"/>
        <v>15</v>
      </c>
      <c r="AG137" s="521">
        <f t="shared" si="20"/>
        <v>0</v>
      </c>
      <c r="AH137" s="632">
        <f t="shared" si="20"/>
        <v>8</v>
      </c>
      <c r="AI137" s="619"/>
      <c r="AJ137" s="617"/>
      <c r="AK137" s="618"/>
      <c r="AL137" s="619"/>
    </row>
    <row r="138" spans="19:38">
      <c r="S138" s="234"/>
      <c r="U138" s="234"/>
      <c r="V138" s="234"/>
      <c r="W138" s="234"/>
      <c r="X138" s="234"/>
      <c r="Y138" s="234"/>
      <c r="Z138" s="234"/>
      <c r="AA138" s="234"/>
      <c r="AB138" s="234"/>
      <c r="AC138" s="234"/>
      <c r="AD138" s="234"/>
      <c r="AE138" s="234"/>
      <c r="AF138" s="234"/>
      <c r="AG138" s="234"/>
      <c r="AI138" s="27"/>
      <c r="AJ138" s="27"/>
      <c r="AK138" s="27"/>
      <c r="AL138" s="27"/>
    </row>
    <row r="139" spans="19:38" ht="27" thickBot="1">
      <c r="S139" s="606" t="s">
        <v>312</v>
      </c>
      <c r="T139" s="562" t="str">
        <f>'CORTE 4200'!A388</f>
        <v>4222-00</v>
      </c>
      <c r="U139" s="515" t="str">
        <f>'CORTE 4200'!B388</f>
        <v>Fecha</v>
      </c>
      <c r="V139" s="515">
        <f>'CORTE 4200'!C388</f>
        <v>0</v>
      </c>
      <c r="W139" s="515" t="str">
        <f>'CORTE 4200'!D388</f>
        <v>Ayla</v>
      </c>
      <c r="X139" s="516">
        <f>'CORTE 4200'!E388</f>
        <v>0</v>
      </c>
      <c r="Y139" s="530" t="str">
        <f>'CORTE 4200'!F388</f>
        <v>Venta</v>
      </c>
      <c r="Z139" s="517">
        <f>'CORTE 4200'!G388</f>
        <v>0</v>
      </c>
      <c r="AA139" s="518">
        <f>'CORTE 4200'!H388</f>
        <v>53</v>
      </c>
      <c r="AB139" s="518">
        <f>'CORTE 4200'!I388</f>
        <v>97</v>
      </c>
      <c r="AC139" s="518">
        <f>'CORTE 4200'!J388</f>
        <v>107</v>
      </c>
      <c r="AD139" s="518">
        <f>'CORTE 4200'!K388</f>
        <v>103</v>
      </c>
      <c r="AE139" s="518">
        <f>'CORTE 4200'!L388</f>
        <v>67</v>
      </c>
      <c r="AF139" s="518">
        <f>'CORTE 4200'!M388</f>
        <v>50</v>
      </c>
      <c r="AG139" s="518">
        <f>'CORTE 4200'!N388</f>
        <v>0</v>
      </c>
      <c r="AH139" s="629">
        <f>'CORTE 4200'!O388</f>
        <v>477</v>
      </c>
      <c r="AI139" s="622">
        <f>+AH139</f>
        <v>477</v>
      </c>
      <c r="AJ139" s="627">
        <f>+AH141</f>
        <v>-150</v>
      </c>
      <c r="AK139" s="609">
        <v>50</v>
      </c>
      <c r="AL139" s="610"/>
    </row>
    <row r="140" spans="19:38" ht="25.5" thickTop="1" thickBot="1">
      <c r="S140" s="52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234"/>
      <c r="AI140" s="613"/>
      <c r="AJ140" s="27"/>
      <c r="AK140" s="612"/>
      <c r="AL140" s="613"/>
    </row>
    <row r="141" spans="19:38" ht="24.75" thickTop="1">
      <c r="S141" s="533" t="s">
        <v>289</v>
      </c>
      <c r="T141" s="563" t="str">
        <f t="shared" ref="T141:AH141" si="21">A44</f>
        <v>4222-00</v>
      </c>
      <c r="U141" s="520">
        <f t="shared" si="21"/>
        <v>0</v>
      </c>
      <c r="V141" s="520">
        <f t="shared" si="21"/>
        <v>0</v>
      </c>
      <c r="W141" s="520">
        <f t="shared" si="21"/>
        <v>0</v>
      </c>
      <c r="X141" s="521" t="str">
        <f t="shared" si="21"/>
        <v>Saldo</v>
      </c>
      <c r="Y141" s="522" t="str">
        <f t="shared" si="21"/>
        <v>Ayla</v>
      </c>
      <c r="Z141" s="521">
        <f t="shared" si="21"/>
        <v>0</v>
      </c>
      <c r="AA141" s="521">
        <f t="shared" si="21"/>
        <v>-15</v>
      </c>
      <c r="AB141" s="521">
        <f t="shared" si="21"/>
        <v>-35</v>
      </c>
      <c r="AC141" s="521">
        <f t="shared" si="21"/>
        <v>-37</v>
      </c>
      <c r="AD141" s="521">
        <f t="shared" si="21"/>
        <v>-33</v>
      </c>
      <c r="AE141" s="521">
        <f t="shared" si="21"/>
        <v>-28</v>
      </c>
      <c r="AF141" s="521">
        <f t="shared" si="21"/>
        <v>-2</v>
      </c>
      <c r="AG141" s="521">
        <f t="shared" si="21"/>
        <v>0</v>
      </c>
      <c r="AH141" s="632">
        <f t="shared" si="21"/>
        <v>-150</v>
      </c>
      <c r="AI141" s="628"/>
      <c r="AJ141" s="617"/>
      <c r="AK141" s="618"/>
      <c r="AL141" s="619"/>
    </row>
    <row r="142" spans="19:38"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4"/>
      <c r="AI142" s="27"/>
      <c r="AJ142" s="27"/>
      <c r="AK142" s="27"/>
      <c r="AL142" s="27"/>
    </row>
    <row r="143" spans="19:38" ht="27" thickBot="1">
      <c r="S143" s="606" t="s">
        <v>313</v>
      </c>
      <c r="T143" s="562" t="str">
        <f>'CORTE 4200'!A487</f>
        <v>4228-00</v>
      </c>
      <c r="U143" s="515" t="str">
        <f>'CORTE 4200'!B487</f>
        <v>Fecha</v>
      </c>
      <c r="V143" s="515">
        <f>'CORTE 4200'!C487</f>
        <v>0</v>
      </c>
      <c r="W143" s="515" t="str">
        <f>'CORTE 4200'!D487</f>
        <v>B2868-V3</v>
      </c>
      <c r="X143" s="516">
        <f>'CORTE 4200'!E487</f>
        <v>0</v>
      </c>
      <c r="Y143" s="530" t="str">
        <f>'CORTE 4200'!F487</f>
        <v>Venta</v>
      </c>
      <c r="Z143" s="517">
        <f>'CORTE 4200'!G487</f>
        <v>0</v>
      </c>
      <c r="AA143" s="518">
        <f>'CORTE 4200'!H487</f>
        <v>56</v>
      </c>
      <c r="AB143" s="518">
        <f>'CORTE 4200'!I487</f>
        <v>95</v>
      </c>
      <c r="AC143" s="518">
        <f>'CORTE 4200'!J487</f>
        <v>97</v>
      </c>
      <c r="AD143" s="518">
        <f>'CORTE 4200'!K487</f>
        <v>92</v>
      </c>
      <c r="AE143" s="518">
        <f>'CORTE 4200'!L487</f>
        <v>67</v>
      </c>
      <c r="AF143" s="518">
        <f>'CORTE 4200'!M487</f>
        <v>44</v>
      </c>
      <c r="AG143" s="518">
        <f>'CORTE 4200'!N487</f>
        <v>0</v>
      </c>
      <c r="AH143" s="629">
        <f>'CORTE 4200'!O487</f>
        <v>451</v>
      </c>
      <c r="AI143" s="622">
        <f>+AH143</f>
        <v>451</v>
      </c>
      <c r="AJ143" s="627">
        <f>+AH145</f>
        <v>-99</v>
      </c>
      <c r="AK143" s="609"/>
      <c r="AL143" s="610"/>
    </row>
    <row r="144" spans="19:38" ht="25.5" thickTop="1" thickBot="1">
      <c r="S144" s="519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I144" s="613"/>
      <c r="AJ144" s="27"/>
      <c r="AK144" s="612"/>
      <c r="AL144" s="613"/>
    </row>
    <row r="145" spans="19:38" ht="24.75" thickTop="1">
      <c r="S145" s="533" t="s">
        <v>289</v>
      </c>
      <c r="T145" s="563" t="str">
        <f t="shared" ref="T145:AH145" si="22">A55</f>
        <v>4228-00</v>
      </c>
      <c r="U145" s="520">
        <f t="shared" si="22"/>
        <v>0</v>
      </c>
      <c r="V145" s="520">
        <f t="shared" si="22"/>
        <v>0</v>
      </c>
      <c r="W145" s="520">
        <f t="shared" si="22"/>
        <v>0</v>
      </c>
      <c r="X145" s="521" t="str">
        <f t="shared" si="22"/>
        <v>Saldo</v>
      </c>
      <c r="Y145" s="522" t="str">
        <f t="shared" si="22"/>
        <v>B2868-V3</v>
      </c>
      <c r="Z145" s="521">
        <f t="shared" si="22"/>
        <v>0</v>
      </c>
      <c r="AA145" s="521">
        <f t="shared" si="22"/>
        <v>6</v>
      </c>
      <c r="AB145" s="521">
        <f t="shared" si="22"/>
        <v>-5</v>
      </c>
      <c r="AC145" s="521">
        <f t="shared" si="22"/>
        <v>-53</v>
      </c>
      <c r="AD145" s="521">
        <f t="shared" si="22"/>
        <v>-8</v>
      </c>
      <c r="AE145" s="521">
        <f t="shared" si="22"/>
        <v>-33</v>
      </c>
      <c r="AF145" s="521">
        <f t="shared" si="22"/>
        <v>-6</v>
      </c>
      <c r="AG145" s="521">
        <f t="shared" si="22"/>
        <v>0</v>
      </c>
      <c r="AH145" s="632">
        <f t="shared" si="22"/>
        <v>-99</v>
      </c>
      <c r="AI145" s="619"/>
      <c r="AJ145" s="617"/>
      <c r="AK145" s="618"/>
      <c r="AL145" s="619"/>
    </row>
    <row r="146" spans="19:38"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I146" s="234"/>
    </row>
    <row r="147" spans="19:38" ht="24.75" thickBot="1"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I147" s="234"/>
    </row>
    <row r="148" spans="19:38" ht="27.75" thickTop="1" thickBot="1">
      <c r="T148" s="593" t="str">
        <f>'CORTE 4200'!A46</f>
        <v>4203-00</v>
      </c>
      <c r="U148" s="39" t="str">
        <f>'CORTE 4200'!B46</f>
        <v>Fecha</v>
      </c>
      <c r="V148" s="39">
        <f>'CORTE 4200'!C46</f>
        <v>0</v>
      </c>
      <c r="W148" s="39" t="str">
        <f>'CORTE 4200'!D46</f>
        <v>B2868-V3</v>
      </c>
      <c r="X148" s="40">
        <f>'CORTE 4200'!E46</f>
        <v>0</v>
      </c>
      <c r="Y148" s="531" t="str">
        <f>'CORTE 4200'!F46</f>
        <v>Venta</v>
      </c>
      <c r="Z148" s="261">
        <f>'CORTE 4200'!G46</f>
        <v>0</v>
      </c>
      <c r="AA148" s="262">
        <f>'CORTE 4200'!H46</f>
        <v>4</v>
      </c>
      <c r="AB148" s="262">
        <f>'CORTE 4200'!I46</f>
        <v>9</v>
      </c>
      <c r="AC148" s="262">
        <f>'CORTE 4200'!J46</f>
        <v>9</v>
      </c>
      <c r="AD148" s="262">
        <f>'CORTE 4200'!K46</f>
        <v>7</v>
      </c>
      <c r="AE148" s="262">
        <f>'CORTE 4200'!L46</f>
        <v>2</v>
      </c>
      <c r="AF148" s="262">
        <f>'CORTE 4200'!M46</f>
        <v>1</v>
      </c>
      <c r="AG148" s="262">
        <f>'CORTE 4200'!N46</f>
        <v>0</v>
      </c>
      <c r="AH148" s="168">
        <f>'CORTE 4200'!O46</f>
        <v>32</v>
      </c>
    </row>
    <row r="149" spans="19:38" ht="27.75" thickTop="1" thickBot="1">
      <c r="T149" s="593" t="str">
        <f>'CORTE 4200'!A55</f>
        <v>4203-01</v>
      </c>
      <c r="U149" s="39" t="str">
        <f>'CORTE 4200'!B55</f>
        <v>Fecha</v>
      </c>
      <c r="V149" s="39">
        <f>'CORTE 4200'!C55</f>
        <v>0</v>
      </c>
      <c r="W149" s="39" t="str">
        <f>'CORTE 4200'!D55</f>
        <v>B2868-V3</v>
      </c>
      <c r="X149" s="40">
        <f>'CORTE 4200'!E55</f>
        <v>0</v>
      </c>
      <c r="Y149" s="531" t="str">
        <f>'CORTE 4200'!F55</f>
        <v>Venta</v>
      </c>
      <c r="Z149" s="261">
        <f>'CORTE 4200'!G55</f>
        <v>0</v>
      </c>
      <c r="AA149" s="262">
        <f>'CORTE 4200'!H55</f>
        <v>40</v>
      </c>
      <c r="AB149" s="262">
        <f>'CORTE 4200'!I55</f>
        <v>70</v>
      </c>
      <c r="AC149" s="262">
        <f>'CORTE 4200'!J55</f>
        <v>70</v>
      </c>
      <c r="AD149" s="262">
        <f>'CORTE 4200'!K55</f>
        <v>70</v>
      </c>
      <c r="AE149" s="262">
        <f>'CORTE 4200'!L55</f>
        <v>50</v>
      </c>
      <c r="AF149" s="262">
        <f>'CORTE 4200'!M55</f>
        <v>45</v>
      </c>
      <c r="AG149" s="262">
        <f>'CORTE 4200'!N55</f>
        <v>0</v>
      </c>
      <c r="AH149" s="168">
        <f>'CORTE 4200'!O55</f>
        <v>345</v>
      </c>
      <c r="AI149" s="512">
        <f>+SUM(AH148:AH149)</f>
        <v>377</v>
      </c>
    </row>
    <row r="150" spans="19:38" ht="27.75" thickTop="1" thickBot="1">
      <c r="S150" s="17" t="s">
        <v>314</v>
      </c>
      <c r="T150" s="594" t="str">
        <f>'CORTE 4200'!A118</f>
        <v>4206-00</v>
      </c>
      <c r="U150" s="39" t="str">
        <f>'CORTE 4200'!B118</f>
        <v>Fecha</v>
      </c>
      <c r="V150" s="39">
        <f>'CORTE 4200'!C118</f>
        <v>0</v>
      </c>
      <c r="W150" s="39" t="str">
        <f>'CORTE 4200'!D118</f>
        <v>B2868-V3</v>
      </c>
      <c r="X150" s="40">
        <f>'CORTE 4200'!E118</f>
        <v>0</v>
      </c>
      <c r="Y150" s="531" t="str">
        <f>'CORTE 4200'!F118</f>
        <v>Venta</v>
      </c>
      <c r="Z150" s="261">
        <f>'CORTE 4200'!G118</f>
        <v>0</v>
      </c>
      <c r="AA150" s="262">
        <f>'CORTE 4200'!H118</f>
        <v>35</v>
      </c>
      <c r="AB150" s="262">
        <f>'CORTE 4200'!I118</f>
        <v>71</v>
      </c>
      <c r="AC150" s="262">
        <f>'CORTE 4200'!J118</f>
        <v>70</v>
      </c>
      <c r="AD150" s="262">
        <f>'CORTE 4200'!K118</f>
        <v>63</v>
      </c>
      <c r="AE150" s="262">
        <f>'CORTE 4200'!L118</f>
        <v>40</v>
      </c>
      <c r="AF150" s="262">
        <f>'CORTE 4200'!M118</f>
        <v>26</v>
      </c>
      <c r="AG150" s="262">
        <f>'CORTE 4200'!N118</f>
        <v>0</v>
      </c>
      <c r="AH150" s="168">
        <f>'CORTE 4200'!O118</f>
        <v>305</v>
      </c>
    </row>
    <row r="151" spans="19:38" ht="27.75" thickTop="1" thickBot="1">
      <c r="T151" s="594" t="str">
        <f>'CORTE 4200'!A127</f>
        <v>4207-00</v>
      </c>
      <c r="U151" s="39" t="str">
        <f>'CORTE 4200'!B127</f>
        <v>Fecha</v>
      </c>
      <c r="V151" s="39">
        <f>'CORTE 4200'!C127</f>
        <v>0</v>
      </c>
      <c r="W151" s="39" t="str">
        <f>'CORTE 4200'!D127</f>
        <v>Ayla</v>
      </c>
      <c r="X151" s="40">
        <f>'CORTE 4200'!E127</f>
        <v>0</v>
      </c>
      <c r="Y151" s="531" t="str">
        <f>'CORTE 4200'!F127</f>
        <v>Venta</v>
      </c>
      <c r="Z151" s="261">
        <f>'CORTE 4200'!G127</f>
        <v>0</v>
      </c>
      <c r="AA151" s="262">
        <f>'CORTE 4200'!H127</f>
        <v>0</v>
      </c>
      <c r="AB151" s="262">
        <f>'CORTE 4200'!I127</f>
        <v>4</v>
      </c>
      <c r="AC151" s="262">
        <f>'CORTE 4200'!J127</f>
        <v>8</v>
      </c>
      <c r="AD151" s="262">
        <f>'CORTE 4200'!K127</f>
        <v>8</v>
      </c>
      <c r="AE151" s="262">
        <f>'CORTE 4200'!L127</f>
        <v>7</v>
      </c>
      <c r="AF151" s="262">
        <f>'CORTE 4200'!M127</f>
        <v>5</v>
      </c>
      <c r="AG151" s="262">
        <f>'CORTE 4200'!N127</f>
        <v>0</v>
      </c>
      <c r="AH151" s="168">
        <f>'CORTE 4200'!O127</f>
        <v>32</v>
      </c>
      <c r="AI151" s="512">
        <f>+SUM(AH150:AH151)</f>
        <v>337</v>
      </c>
    </row>
    <row r="152" spans="19:38" ht="27.75" thickTop="1" thickBot="1">
      <c r="T152" s="595" t="str">
        <f>'CORTE 4200'!A136</f>
        <v>4208-00</v>
      </c>
      <c r="U152" s="39" t="str">
        <f>'CORTE 4200'!B136</f>
        <v>Fecha</v>
      </c>
      <c r="V152" s="39">
        <f>'CORTE 4200'!C136</f>
        <v>0</v>
      </c>
      <c r="W152" s="39" t="str">
        <f>'CORTE 4200'!D136</f>
        <v>Ayla</v>
      </c>
      <c r="X152" s="40">
        <f>'CORTE 4200'!E136</f>
        <v>0</v>
      </c>
      <c r="Y152" s="531" t="str">
        <f>'CORTE 4200'!F136</f>
        <v>Venta</v>
      </c>
      <c r="Z152" s="261">
        <f>'CORTE 4200'!G136</f>
        <v>0</v>
      </c>
      <c r="AA152" s="262">
        <f>'CORTE 4200'!H136</f>
        <v>10</v>
      </c>
      <c r="AB152" s="262">
        <f>'CORTE 4200'!I136</f>
        <v>29</v>
      </c>
      <c r="AC152" s="262">
        <f>'CORTE 4200'!J136</f>
        <v>38</v>
      </c>
      <c r="AD152" s="262">
        <f>'CORTE 4200'!K136</f>
        <v>30</v>
      </c>
      <c r="AE152" s="262">
        <f>'CORTE 4200'!L136</f>
        <v>22</v>
      </c>
      <c r="AF152" s="262">
        <f>'CORTE 4200'!M136</f>
        <v>15</v>
      </c>
      <c r="AG152" s="262">
        <f>'CORTE 4200'!N136</f>
        <v>0</v>
      </c>
      <c r="AH152" s="168">
        <f>'CORTE 4200'!O136</f>
        <v>144</v>
      </c>
    </row>
    <row r="153" spans="19:38" ht="27.75" thickTop="1" thickBot="1">
      <c r="T153" s="595" t="str">
        <f>'CORTE 4200'!A145</f>
        <v>4208-01</v>
      </c>
      <c r="U153" s="39" t="str">
        <f>'CORTE 4200'!B145</f>
        <v>Fecha</v>
      </c>
      <c r="V153" s="39">
        <f>'CORTE 4200'!C145</f>
        <v>0</v>
      </c>
      <c r="W153" s="39" t="str">
        <f>'CORTE 4200'!D145</f>
        <v>Ayla</v>
      </c>
      <c r="X153" s="40">
        <f>'CORTE 4200'!E145</f>
        <v>0</v>
      </c>
      <c r="Y153" s="531" t="str">
        <f>'CORTE 4200'!F145</f>
        <v>Venta</v>
      </c>
      <c r="Z153" s="261">
        <f>'CORTE 4200'!G145</f>
        <v>0</v>
      </c>
      <c r="AA153" s="262">
        <f>'CORTE 4200'!H145</f>
        <v>0</v>
      </c>
      <c r="AB153" s="262">
        <f>'CORTE 4200'!I145</f>
        <v>4</v>
      </c>
      <c r="AC153" s="262">
        <f>'CORTE 4200'!J145</f>
        <v>8</v>
      </c>
      <c r="AD153" s="262">
        <f>'CORTE 4200'!K145</f>
        <v>8</v>
      </c>
      <c r="AE153" s="262">
        <f>'CORTE 4200'!L145</f>
        <v>7</v>
      </c>
      <c r="AF153" s="262">
        <f>'CORTE 4200'!M145</f>
        <v>5</v>
      </c>
      <c r="AG153" s="262">
        <f>'CORTE 4200'!N145</f>
        <v>0</v>
      </c>
      <c r="AH153" s="168">
        <f>'CORTE 4200'!O145</f>
        <v>32</v>
      </c>
    </row>
    <row r="154" spans="19:38" ht="27.75" thickTop="1" thickBot="1">
      <c r="T154" s="595" t="str">
        <f>'CORTE 4200'!A154</f>
        <v>4208-02</v>
      </c>
      <c r="U154" s="39" t="str">
        <f>'CORTE 4200'!B154</f>
        <v>Fecha</v>
      </c>
      <c r="V154" s="39">
        <f>'CORTE 4200'!C154</f>
        <v>0</v>
      </c>
      <c r="W154" s="39" t="str">
        <f>'CORTE 4200'!D154</f>
        <v>Ayla</v>
      </c>
      <c r="X154" s="40">
        <f>'CORTE 4200'!E154</f>
        <v>0</v>
      </c>
      <c r="Y154" s="531" t="str">
        <f>'CORTE 4200'!F154</f>
        <v>Venta</v>
      </c>
      <c r="Z154" s="261">
        <f>'CORTE 4200'!G154</f>
        <v>0</v>
      </c>
      <c r="AA154" s="262">
        <f>'CORTE 4200'!H154</f>
        <v>0</v>
      </c>
      <c r="AB154" s="262">
        <f>'CORTE 4200'!I154</f>
        <v>4</v>
      </c>
      <c r="AC154" s="262">
        <f>'CORTE 4200'!J154</f>
        <v>8</v>
      </c>
      <c r="AD154" s="262">
        <f>'CORTE 4200'!K154</f>
        <v>8</v>
      </c>
      <c r="AE154" s="262">
        <f>'CORTE 4200'!L154</f>
        <v>7</v>
      </c>
      <c r="AF154" s="262">
        <f>'CORTE 4200'!M154</f>
        <v>5</v>
      </c>
      <c r="AG154" s="262">
        <f>'CORTE 4200'!N154</f>
        <v>0</v>
      </c>
      <c r="AH154" s="168">
        <f>'CORTE 4200'!O154</f>
        <v>32</v>
      </c>
      <c r="AI154" s="512">
        <f>+SUM(AH152:AH154)</f>
        <v>208</v>
      </c>
    </row>
    <row r="155" spans="19:38" ht="27.75" thickTop="1" thickBot="1">
      <c r="T155" s="596" t="str">
        <f>'CORTE 4200'!A172</f>
        <v>4210-00</v>
      </c>
      <c r="U155" s="39" t="str">
        <f>'CORTE 4200'!B172</f>
        <v>Fecha</v>
      </c>
      <c r="V155" s="39">
        <f>'CORTE 4200'!C172</f>
        <v>0</v>
      </c>
      <c r="W155" s="39" t="str">
        <f>'CORTE 4200'!D172</f>
        <v>Ayla</v>
      </c>
      <c r="X155" s="40">
        <f>'CORTE 4200'!E172</f>
        <v>0</v>
      </c>
      <c r="Y155" s="531" t="str">
        <f>'CORTE 4200'!F172</f>
        <v>Venta</v>
      </c>
      <c r="Z155" s="261">
        <f>'CORTE 4200'!G172</f>
        <v>0</v>
      </c>
      <c r="AA155" s="262">
        <f>'CORTE 4200'!H172</f>
        <v>7</v>
      </c>
      <c r="AB155" s="262">
        <f>'CORTE 4200'!I172</f>
        <v>26</v>
      </c>
      <c r="AC155" s="262">
        <f>'CORTE 4200'!J172</f>
        <v>30</v>
      </c>
      <c r="AD155" s="262">
        <f>'CORTE 4200'!K172</f>
        <v>29</v>
      </c>
      <c r="AE155" s="262">
        <f>'CORTE 4200'!L172</f>
        <v>21</v>
      </c>
      <c r="AF155" s="262">
        <f>'CORTE 4200'!M172</f>
        <v>16</v>
      </c>
      <c r="AG155" s="262">
        <f>'CORTE 4200'!N172</f>
        <v>0</v>
      </c>
      <c r="AH155" s="168">
        <f>'CORTE 4200'!O172</f>
        <v>129</v>
      </c>
    </row>
    <row r="156" spans="19:38" ht="27.75" thickTop="1" thickBot="1">
      <c r="T156" s="596" t="str">
        <f>'CORTE 4200'!A181</f>
        <v>4210-01</v>
      </c>
      <c r="U156" s="39" t="str">
        <f>'CORTE 4200'!B181</f>
        <v>Fecha</v>
      </c>
      <c r="V156" s="39">
        <f>'CORTE 4200'!C181</f>
        <v>0</v>
      </c>
      <c r="W156" s="39" t="str">
        <f>'CORTE 4200'!D181</f>
        <v>Ayla</v>
      </c>
      <c r="X156" s="40">
        <f>'CORTE 4200'!E181</f>
        <v>0</v>
      </c>
      <c r="Y156" s="531" t="str">
        <f>'CORTE 4200'!F181</f>
        <v>Venta</v>
      </c>
      <c r="Z156" s="261">
        <f>'CORTE 4200'!G181</f>
        <v>0</v>
      </c>
      <c r="AA156" s="262">
        <f>'CORTE 4200'!H181</f>
        <v>5</v>
      </c>
      <c r="AB156" s="262">
        <f>'CORTE 4200'!I181</f>
        <v>14</v>
      </c>
      <c r="AC156" s="262">
        <f>'CORTE 4200'!J181</f>
        <v>15</v>
      </c>
      <c r="AD156" s="262">
        <f>'CORTE 4200'!K181</f>
        <v>12</v>
      </c>
      <c r="AE156" s="262">
        <f>'CORTE 4200'!L181</f>
        <v>8</v>
      </c>
      <c r="AF156" s="262">
        <f>'CORTE 4200'!M181</f>
        <v>4</v>
      </c>
      <c r="AG156" s="262">
        <f>'CORTE 4200'!N181</f>
        <v>0</v>
      </c>
      <c r="AH156" s="168">
        <f>'CORTE 4200'!O181</f>
        <v>58</v>
      </c>
      <c r="AI156" s="512">
        <f>+SUM(AH155:AH156)</f>
        <v>187</v>
      </c>
    </row>
    <row r="157" spans="19:38" ht="27.75" thickTop="1" thickBot="1">
      <c r="T157" s="597" t="str">
        <f>'CORTE 4200'!A190</f>
        <v>4211-00</v>
      </c>
      <c r="U157" s="39" t="str">
        <f>'CORTE 4200'!B190</f>
        <v>Fecha</v>
      </c>
      <c r="V157" s="39">
        <f>'CORTE 4200'!C190</f>
        <v>0</v>
      </c>
      <c r="W157" s="39" t="str">
        <f>'CORTE 4200'!D190</f>
        <v>Ayla</v>
      </c>
      <c r="X157" s="40">
        <f>'CORTE 4200'!E190</f>
        <v>0</v>
      </c>
      <c r="Y157" s="531" t="str">
        <f>'CORTE 4200'!F190</f>
        <v>Venta</v>
      </c>
      <c r="Z157" s="261">
        <f>'CORTE 4200'!G190</f>
        <v>0</v>
      </c>
      <c r="AA157" s="262">
        <f>'CORTE 4200'!H190</f>
        <v>11</v>
      </c>
      <c r="AB157" s="262">
        <f>'CORTE 4200'!I190</f>
        <v>21</v>
      </c>
      <c r="AC157" s="262">
        <f>'CORTE 4200'!J190</f>
        <v>29</v>
      </c>
      <c r="AD157" s="262">
        <f>'CORTE 4200'!K190</f>
        <v>25</v>
      </c>
      <c r="AE157" s="262">
        <f>'CORTE 4200'!L190</f>
        <v>20</v>
      </c>
      <c r="AF157" s="262">
        <f>'CORTE 4200'!M190</f>
        <v>11</v>
      </c>
      <c r="AG157" s="262">
        <f>'CORTE 4200'!N190</f>
        <v>0</v>
      </c>
      <c r="AH157" s="168">
        <f>'CORTE 4200'!O190</f>
        <v>117</v>
      </c>
    </row>
    <row r="158" spans="19:38" ht="27.75" thickTop="1" thickBot="1">
      <c r="T158" s="597" t="str">
        <f>'CORTE 4200'!A199</f>
        <v>4211-01</v>
      </c>
      <c r="U158" s="39" t="str">
        <f>'CORTE 4200'!B199</f>
        <v>Fecha</v>
      </c>
      <c r="V158" s="39">
        <f>'CORTE 4200'!C199</f>
        <v>0</v>
      </c>
      <c r="W158" s="39" t="str">
        <f>'CORTE 4200'!D199</f>
        <v>Ayla</v>
      </c>
      <c r="X158" s="40">
        <f>'CORTE 4200'!E199</f>
        <v>0</v>
      </c>
      <c r="Y158" s="531" t="str">
        <f>'CORTE 4200'!F199</f>
        <v>Venta</v>
      </c>
      <c r="Z158" s="261">
        <f>'CORTE 4200'!G199</f>
        <v>0</v>
      </c>
      <c r="AA158" s="262">
        <f>'CORTE 4200'!H199</f>
        <v>19</v>
      </c>
      <c r="AB158" s="262">
        <f>'CORTE 4200'!I199</f>
        <v>53</v>
      </c>
      <c r="AC158" s="262">
        <f>'CORTE 4200'!J199</f>
        <v>57</v>
      </c>
      <c r="AD158" s="262">
        <f>'CORTE 4200'!K199</f>
        <v>54</v>
      </c>
      <c r="AE158" s="262">
        <f>'CORTE 4200'!L199</f>
        <v>36</v>
      </c>
      <c r="AF158" s="262">
        <f>'CORTE 4200'!M199</f>
        <v>34</v>
      </c>
      <c r="AG158" s="262">
        <f>'CORTE 4200'!N199</f>
        <v>0</v>
      </c>
      <c r="AH158" s="168">
        <f>'CORTE 4200'!O199</f>
        <v>253</v>
      </c>
      <c r="AI158" s="512">
        <f>+SUM(AH157:AH158)</f>
        <v>370</v>
      </c>
    </row>
    <row r="159" spans="19:38" ht="27.75" thickTop="1" thickBot="1">
      <c r="T159" s="594" t="str">
        <f>'CORTE 4200'!A208</f>
        <v>4212-00</v>
      </c>
      <c r="U159" s="39" t="str">
        <f>'CORTE 4200'!B208</f>
        <v>Fecha</v>
      </c>
      <c r="V159" s="39">
        <f>'CORTE 4200'!C208</f>
        <v>0</v>
      </c>
      <c r="W159" s="39">
        <f>'CORTE 4200'!D208</f>
        <v>0</v>
      </c>
      <c r="X159" s="40">
        <f>'CORTE 4200'!E208</f>
        <v>0</v>
      </c>
      <c r="Y159" s="531" t="str">
        <f>'CORTE 4200'!F208</f>
        <v>Venta</v>
      </c>
      <c r="Z159" s="261">
        <f>'CORTE 4200'!G208</f>
        <v>0</v>
      </c>
      <c r="AA159" s="262">
        <f>'CORTE 4200'!H208</f>
        <v>2</v>
      </c>
      <c r="AB159" s="262">
        <f>'CORTE 4200'!I208</f>
        <v>3</v>
      </c>
      <c r="AC159" s="262">
        <f>'CORTE 4200'!J208</f>
        <v>3</v>
      </c>
      <c r="AD159" s="262">
        <f>'CORTE 4200'!K208</f>
        <v>3</v>
      </c>
      <c r="AE159" s="262">
        <f>'CORTE 4200'!L208</f>
        <v>2</v>
      </c>
      <c r="AF159" s="262">
        <f>'CORTE 4200'!M208</f>
        <v>1</v>
      </c>
      <c r="AG159" s="262">
        <f>'CORTE 4200'!N208</f>
        <v>0</v>
      </c>
      <c r="AH159" s="168">
        <f>'CORTE 4200'!O208</f>
        <v>14</v>
      </c>
      <c r="AI159" s="512">
        <f>+AH159</f>
        <v>14</v>
      </c>
    </row>
    <row r="160" spans="19:38" ht="27.75" thickTop="1" thickBot="1">
      <c r="T160" s="594" t="str">
        <f>'CORTE 4200'!A280</f>
        <v>4216-00</v>
      </c>
      <c r="U160" s="39" t="str">
        <f>'CORTE 4200'!B280</f>
        <v>Fecha</v>
      </c>
      <c r="V160" s="39">
        <f>'CORTE 4200'!C280</f>
        <v>0</v>
      </c>
      <c r="W160" s="39" t="str">
        <f>'CORTE 4200'!D280</f>
        <v>Missy Plus</v>
      </c>
      <c r="X160" s="40">
        <f>'CORTE 4200'!E280</f>
        <v>0</v>
      </c>
      <c r="Y160" s="531" t="str">
        <f>'CORTE 4200'!F280</f>
        <v>Venta</v>
      </c>
      <c r="Z160" s="261">
        <f>'CORTE 4200'!G280</f>
        <v>0</v>
      </c>
      <c r="AA160" s="262">
        <f>'CORTE 4200'!H280</f>
        <v>0</v>
      </c>
      <c r="AB160" s="262">
        <f>'CORTE 4200'!I280</f>
        <v>5</v>
      </c>
      <c r="AC160" s="262">
        <f>'CORTE 4200'!J280</f>
        <v>5</v>
      </c>
      <c r="AD160" s="262">
        <f>'CORTE 4200'!K280</f>
        <v>4</v>
      </c>
      <c r="AE160" s="262">
        <f>'CORTE 4200'!L280</f>
        <v>3</v>
      </c>
      <c r="AF160" s="262">
        <f>'CORTE 4200'!M280</f>
        <v>1</v>
      </c>
      <c r="AG160" s="262">
        <f>'CORTE 4200'!N280</f>
        <v>0</v>
      </c>
      <c r="AH160" s="168">
        <f>'CORTE 4200'!O280</f>
        <v>18</v>
      </c>
      <c r="AI160" s="512">
        <f>+AH160</f>
        <v>18</v>
      </c>
    </row>
    <row r="161" spans="19:35" ht="27.75" thickTop="1" thickBot="1">
      <c r="T161" s="594">
        <f>'CORTE 4200'!A289</f>
        <v>4217</v>
      </c>
      <c r="U161" s="39" t="str">
        <f>'CORTE 4200'!B289</f>
        <v>Fecha</v>
      </c>
      <c r="V161" s="39">
        <f>'CORTE 4200'!C289</f>
        <v>0</v>
      </c>
      <c r="W161" s="39">
        <f>'CORTE 4200'!D289</f>
        <v>0</v>
      </c>
      <c r="X161" s="40">
        <f>'CORTE 4200'!E289</f>
        <v>0</v>
      </c>
      <c r="Y161" s="531" t="str">
        <f>'CORTE 4200'!F289</f>
        <v>Venta</v>
      </c>
      <c r="Z161" s="261">
        <f>'CORTE 4200'!G289</f>
        <v>0</v>
      </c>
      <c r="AA161" s="262">
        <f>'CORTE 4200'!H289</f>
        <v>3</v>
      </c>
      <c r="AB161" s="262">
        <f>'CORTE 4200'!I289</f>
        <v>7</v>
      </c>
      <c r="AC161" s="262">
        <f>'CORTE 4200'!J289</f>
        <v>9</v>
      </c>
      <c r="AD161" s="262">
        <f>'CORTE 4200'!K289</f>
        <v>6</v>
      </c>
      <c r="AE161" s="262">
        <f>'CORTE 4200'!L289</f>
        <v>3</v>
      </c>
      <c r="AF161" s="262">
        <f>'CORTE 4200'!M289</f>
        <v>1</v>
      </c>
      <c r="AG161" s="262">
        <f>'CORTE 4200'!N289</f>
        <v>0</v>
      </c>
      <c r="AH161" s="168">
        <f>'CORTE 4200'!O289</f>
        <v>29</v>
      </c>
      <c r="AI161" s="512">
        <f>+AH161</f>
        <v>29</v>
      </c>
    </row>
    <row r="162" spans="19:35" ht="27.75" thickTop="1" thickBot="1">
      <c r="T162" s="598" t="str">
        <f>'CORTE 4200'!A325</f>
        <v>4219-00</v>
      </c>
      <c r="U162" s="39" t="str">
        <f>'CORTE 4200'!B325</f>
        <v>Fecha</v>
      </c>
      <c r="V162" s="39">
        <f>'CORTE 4200'!C325</f>
        <v>0</v>
      </c>
      <c r="W162" s="39" t="str">
        <f>'CORTE 4200'!D325</f>
        <v>Ayla</v>
      </c>
      <c r="X162" s="40">
        <f>'CORTE 4200'!E325</f>
        <v>0</v>
      </c>
      <c r="Y162" s="531" t="str">
        <f>'CORTE 4200'!F325</f>
        <v>Venta</v>
      </c>
      <c r="Z162" s="261">
        <f>'CORTE 4200'!G325</f>
        <v>0</v>
      </c>
      <c r="AA162" s="262">
        <f>'CORTE 4200'!H325</f>
        <v>7</v>
      </c>
      <c r="AB162" s="262">
        <f>'CORTE 4200'!I325</f>
        <v>19</v>
      </c>
      <c r="AC162" s="262">
        <f>'CORTE 4200'!J325</f>
        <v>21</v>
      </c>
      <c r="AD162" s="262">
        <f>'CORTE 4200'!K325</f>
        <v>17</v>
      </c>
      <c r="AE162" s="262">
        <f>'CORTE 4200'!L325</f>
        <v>12</v>
      </c>
      <c r="AF162" s="262">
        <f>'CORTE 4200'!M325</f>
        <v>8</v>
      </c>
      <c r="AG162" s="262">
        <f>'CORTE 4200'!N325</f>
        <v>0</v>
      </c>
      <c r="AH162" s="168">
        <f>'CORTE 4200'!O325</f>
        <v>84</v>
      </c>
    </row>
    <row r="163" spans="19:35" ht="27.75" thickTop="1" thickBot="1">
      <c r="T163" s="598" t="str">
        <f>'CORTE 4200'!A334</f>
        <v>4219-01</v>
      </c>
      <c r="U163" s="39" t="str">
        <f>'CORTE 4200'!B334</f>
        <v>Fecha</v>
      </c>
      <c r="V163" s="39">
        <f>'CORTE 4200'!C334</f>
        <v>0</v>
      </c>
      <c r="W163" s="39" t="str">
        <f>'CORTE 4200'!D334</f>
        <v>Ayla</v>
      </c>
      <c r="X163" s="40">
        <f>'CORTE 4200'!E334</f>
        <v>0</v>
      </c>
      <c r="Y163" s="531" t="str">
        <f>'CORTE 4200'!F334</f>
        <v>Venta</v>
      </c>
      <c r="Z163" s="261">
        <f>'CORTE 4200'!G334</f>
        <v>0</v>
      </c>
      <c r="AA163" s="262">
        <f>'CORTE 4200'!H334</f>
        <v>4</v>
      </c>
      <c r="AB163" s="262">
        <f>'CORTE 4200'!I334</f>
        <v>9</v>
      </c>
      <c r="AC163" s="262">
        <f>'CORTE 4200'!J334</f>
        <v>12</v>
      </c>
      <c r="AD163" s="262">
        <f>'CORTE 4200'!K334</f>
        <v>11</v>
      </c>
      <c r="AE163" s="262">
        <f>'CORTE 4200'!L334</f>
        <v>10</v>
      </c>
      <c r="AF163" s="262">
        <f>'CORTE 4200'!M334</f>
        <v>7</v>
      </c>
      <c r="AG163" s="262">
        <f>'CORTE 4200'!N334</f>
        <v>0</v>
      </c>
      <c r="AH163" s="168">
        <f>'CORTE 4200'!O334</f>
        <v>53</v>
      </c>
    </row>
    <row r="164" spans="19:35" ht="27.75" thickTop="1" thickBot="1">
      <c r="T164" s="598" t="str">
        <f>'CORTE 4200'!A343</f>
        <v>4219-02</v>
      </c>
      <c r="U164" s="39" t="str">
        <f>'CORTE 4200'!B343</f>
        <v>Fecha</v>
      </c>
      <c r="V164" s="39">
        <f>'CORTE 4200'!C343</f>
        <v>0</v>
      </c>
      <c r="W164" s="39" t="str">
        <f>'CORTE 4200'!D343</f>
        <v>Ayla</v>
      </c>
      <c r="X164" s="40">
        <f>'CORTE 4200'!E343</f>
        <v>0</v>
      </c>
      <c r="Y164" s="531" t="str">
        <f>'CORTE 4200'!F343</f>
        <v>Venta</v>
      </c>
      <c r="Z164" s="261">
        <f>'CORTE 4200'!G343</f>
        <v>0</v>
      </c>
      <c r="AA164" s="262">
        <f>'CORTE 4200'!H343</f>
        <v>3</v>
      </c>
      <c r="AB164" s="262">
        <f>'CORTE 4200'!I343</f>
        <v>6</v>
      </c>
      <c r="AC164" s="262">
        <f>'CORTE 4200'!J343</f>
        <v>4</v>
      </c>
      <c r="AD164" s="262">
        <f>'CORTE 4200'!K343</f>
        <v>4</v>
      </c>
      <c r="AE164" s="262">
        <f>'CORTE 4200'!L343</f>
        <v>3</v>
      </c>
      <c r="AF164" s="262">
        <f>'CORTE 4200'!M343</f>
        <v>2</v>
      </c>
      <c r="AG164" s="262">
        <f>'CORTE 4200'!N343</f>
        <v>0</v>
      </c>
      <c r="AH164" s="168">
        <f>'CORTE 4200'!O343</f>
        <v>22</v>
      </c>
      <c r="AI164" s="512">
        <f>+SUM(AH162:AH164)</f>
        <v>159</v>
      </c>
    </row>
    <row r="165" spans="19:35" ht="27.75" thickTop="1" thickBot="1">
      <c r="T165" s="594" t="str">
        <f>'CORTE 4200'!A352</f>
        <v>4220-00</v>
      </c>
      <c r="U165" s="39" t="str">
        <f>'CORTE 4200'!B352</f>
        <v>Fecha</v>
      </c>
      <c r="V165" s="39">
        <f>'CORTE 4200'!C352</f>
        <v>0</v>
      </c>
      <c r="W165" s="39" t="str">
        <f>'CORTE 4200'!D352</f>
        <v>Missy Plus</v>
      </c>
      <c r="X165" s="40">
        <f>'CORTE 4200'!E352</f>
        <v>0</v>
      </c>
      <c r="Y165" s="531" t="str">
        <f>'CORTE 4200'!F352</f>
        <v>Venta</v>
      </c>
      <c r="Z165" s="261">
        <f>'CORTE 4200'!G352</f>
        <v>0</v>
      </c>
      <c r="AA165" s="262">
        <f>'CORTE 4200'!H352</f>
        <v>40</v>
      </c>
      <c r="AB165" s="262">
        <f>'CORTE 4200'!I352</f>
        <v>73</v>
      </c>
      <c r="AC165" s="262">
        <f>'CORTE 4200'!J352</f>
        <v>75</v>
      </c>
      <c r="AD165" s="262">
        <f>'CORTE 4200'!K352</f>
        <v>70</v>
      </c>
      <c r="AE165" s="262">
        <f>'CORTE 4200'!L352</f>
        <v>47</v>
      </c>
      <c r="AF165" s="262">
        <f>'CORTE 4200'!M352</f>
        <v>32</v>
      </c>
      <c r="AG165" s="262">
        <f>'CORTE 4200'!N352</f>
        <v>0</v>
      </c>
      <c r="AH165" s="168">
        <f>'CORTE 4200'!O352</f>
        <v>337</v>
      </c>
      <c r="AI165" s="512">
        <f>+AH165</f>
        <v>337</v>
      </c>
    </row>
    <row r="166" spans="19:35" ht="27.75" thickTop="1" thickBot="1">
      <c r="S166" s="17" t="s">
        <v>314</v>
      </c>
      <c r="T166" s="594" t="str">
        <f>'CORTE 4200'!A397</f>
        <v>4223-00</v>
      </c>
      <c r="U166" s="39" t="str">
        <f>'CORTE 4200'!B397</f>
        <v>Fecha</v>
      </c>
      <c r="V166" s="39">
        <f>'CORTE 4200'!C397</f>
        <v>0</v>
      </c>
      <c r="W166" s="39" t="str">
        <f>'CORTE 4200'!D397</f>
        <v>B2868-V3</v>
      </c>
      <c r="X166" s="40">
        <f>'CORTE 4200'!E397</f>
        <v>0</v>
      </c>
      <c r="Y166" s="531" t="str">
        <f>'CORTE 4200'!F397</f>
        <v>Venta</v>
      </c>
      <c r="Z166" s="261">
        <f>'CORTE 4200'!G397</f>
        <v>0</v>
      </c>
      <c r="AA166" s="262">
        <f>'CORTE 4200'!H397</f>
        <v>46</v>
      </c>
      <c r="AB166" s="262">
        <f>'CORTE 4200'!I397</f>
        <v>84</v>
      </c>
      <c r="AC166" s="262">
        <f>'CORTE 4200'!J397</f>
        <v>92</v>
      </c>
      <c r="AD166" s="262">
        <f>'CORTE 4200'!K397</f>
        <v>83</v>
      </c>
      <c r="AE166" s="262">
        <f>'CORTE 4200'!L397</f>
        <v>50</v>
      </c>
      <c r="AF166" s="262">
        <f>'CORTE 4200'!M397</f>
        <v>42</v>
      </c>
      <c r="AG166" s="262">
        <f>'CORTE 4200'!N397</f>
        <v>0</v>
      </c>
      <c r="AH166" s="168">
        <f>'CORTE 4200'!O397</f>
        <v>397</v>
      </c>
      <c r="AI166" s="512">
        <f>+AH166</f>
        <v>397</v>
      </c>
    </row>
    <row r="167" spans="19:35" ht="27.75" thickTop="1" thickBot="1">
      <c r="T167" s="599" t="str">
        <f>'CORTE 4200'!A406</f>
        <v>4224-00</v>
      </c>
      <c r="U167" s="39" t="str">
        <f>'CORTE 4200'!B406</f>
        <v>Fecha</v>
      </c>
      <c r="V167" s="39">
        <f>'CORTE 4200'!C406</f>
        <v>0</v>
      </c>
      <c r="W167" s="39" t="str">
        <f>'CORTE 4200'!D406</f>
        <v>Ayla</v>
      </c>
      <c r="X167" s="40">
        <f>'CORTE 4200'!E406</f>
        <v>0</v>
      </c>
      <c r="Y167" s="531" t="str">
        <f>'CORTE 4200'!F406</f>
        <v>Venta</v>
      </c>
      <c r="Z167" s="261">
        <f>'CORTE 4200'!G406</f>
        <v>0</v>
      </c>
      <c r="AA167" s="262">
        <f>'CORTE 4200'!H406</f>
        <v>10</v>
      </c>
      <c r="AB167" s="262">
        <f>'CORTE 4200'!I406</f>
        <v>21</v>
      </c>
      <c r="AC167" s="262">
        <f>'CORTE 4200'!J406</f>
        <v>24</v>
      </c>
      <c r="AD167" s="262">
        <f>'CORTE 4200'!K406</f>
        <v>20</v>
      </c>
      <c r="AE167" s="262">
        <f>'CORTE 4200'!L406</f>
        <v>17</v>
      </c>
      <c r="AF167" s="262">
        <f>'CORTE 4200'!M406</f>
        <v>11</v>
      </c>
      <c r="AG167" s="262">
        <f>'CORTE 4200'!N406</f>
        <v>0</v>
      </c>
      <c r="AH167" s="168">
        <f>'CORTE 4200'!O406</f>
        <v>103</v>
      </c>
    </row>
    <row r="168" spans="19:35" ht="27.75" thickTop="1" thickBot="1">
      <c r="T168" s="599" t="str">
        <f>'CORTE 4200'!A415</f>
        <v>4224-01</v>
      </c>
      <c r="U168" s="39" t="str">
        <f>'CORTE 4200'!B415</f>
        <v>Fecha</v>
      </c>
      <c r="V168" s="39">
        <f>'CORTE 4200'!C415</f>
        <v>0</v>
      </c>
      <c r="W168" s="39" t="str">
        <f>'CORTE 4200'!D415</f>
        <v>Ayla</v>
      </c>
      <c r="X168" s="40">
        <f>'CORTE 4200'!E415</f>
        <v>0</v>
      </c>
      <c r="Y168" s="531" t="str">
        <f>'CORTE 4200'!F415</f>
        <v>Venta</v>
      </c>
      <c r="Z168" s="261">
        <f>'CORTE 4200'!G415</f>
        <v>0</v>
      </c>
      <c r="AA168" s="262">
        <f>'CORTE 4200'!H415</f>
        <v>5</v>
      </c>
      <c r="AB168" s="262">
        <f>'CORTE 4200'!I415</f>
        <v>9</v>
      </c>
      <c r="AC168" s="262">
        <f>'CORTE 4200'!J415</f>
        <v>13</v>
      </c>
      <c r="AD168" s="262">
        <f>'CORTE 4200'!K415</f>
        <v>12</v>
      </c>
      <c r="AE168" s="262">
        <f>'CORTE 4200'!L415</f>
        <v>10</v>
      </c>
      <c r="AF168" s="262">
        <f>'CORTE 4200'!M415</f>
        <v>7</v>
      </c>
      <c r="AG168" s="262">
        <f>'CORTE 4200'!N415</f>
        <v>0</v>
      </c>
      <c r="AH168" s="168">
        <f>'CORTE 4200'!O415</f>
        <v>56</v>
      </c>
      <c r="AI168" s="512">
        <f>+SUM(AH167:AH168)</f>
        <v>159</v>
      </c>
    </row>
    <row r="169" spans="19:35" ht="27.75" thickTop="1" thickBot="1">
      <c r="S169" s="17" t="s">
        <v>314</v>
      </c>
      <c r="T169" s="594" t="str">
        <f>'CORTE 4200'!A505</f>
        <v>4230-00</v>
      </c>
      <c r="U169" s="39" t="str">
        <f>'CORTE 4200'!B505</f>
        <v>Fecha</v>
      </c>
      <c r="V169" s="39">
        <f>'CORTE 4200'!C505</f>
        <v>0</v>
      </c>
      <c r="W169" s="39" t="str">
        <f>'CORTE 4200'!D505</f>
        <v>Imperio Max</v>
      </c>
      <c r="X169" s="40">
        <f>'CORTE 4200'!E505</f>
        <v>0</v>
      </c>
      <c r="Y169" s="531" t="str">
        <f>'CORTE 4200'!F505</f>
        <v>Venta</v>
      </c>
      <c r="Z169" s="261">
        <f>'CORTE 4200'!G505</f>
        <v>0</v>
      </c>
      <c r="AA169" s="262">
        <f>'CORTE 4200'!H505</f>
        <v>41</v>
      </c>
      <c r="AB169" s="262">
        <f>'CORTE 4200'!I505</f>
        <v>58</v>
      </c>
      <c r="AC169" s="262">
        <f>'CORTE 4200'!J505</f>
        <v>58</v>
      </c>
      <c r="AD169" s="262">
        <f>'CORTE 4200'!K505</f>
        <v>54</v>
      </c>
      <c r="AE169" s="262">
        <f>'CORTE 4200'!L505</f>
        <v>33</v>
      </c>
      <c r="AF169" s="262">
        <f>'CORTE 4200'!M505</f>
        <v>21</v>
      </c>
      <c r="AG169" s="262">
        <f>'CORTE 4200'!N505</f>
        <v>0</v>
      </c>
      <c r="AH169" s="168">
        <f>'CORTE 4200'!O505</f>
        <v>265</v>
      </c>
      <c r="AI169" s="512">
        <f>+AH169</f>
        <v>265</v>
      </c>
    </row>
    <row r="170" spans="19:35" ht="27.75" thickTop="1" thickBot="1">
      <c r="T170" s="594" t="str">
        <f>'CORTE 4200'!A514</f>
        <v>4231-00</v>
      </c>
      <c r="U170" s="39" t="str">
        <f>'CORTE 4200'!B514</f>
        <v>Fecha</v>
      </c>
      <c r="V170" s="39">
        <f>'CORTE 4200'!C514</f>
        <v>0</v>
      </c>
      <c r="W170" s="39">
        <f>'CORTE 4200'!D514</f>
        <v>0</v>
      </c>
      <c r="X170" s="40">
        <f>'CORTE 4200'!E514</f>
        <v>0</v>
      </c>
      <c r="Y170" s="531" t="str">
        <f>'CORTE 4200'!F514</f>
        <v>Venta</v>
      </c>
      <c r="Z170" s="261">
        <f>'CORTE 4200'!G514</f>
        <v>0</v>
      </c>
      <c r="AA170" s="262">
        <f>'CORTE 4200'!H514</f>
        <v>0</v>
      </c>
      <c r="AB170" s="262">
        <f>'CORTE 4200'!I514</f>
        <v>0</v>
      </c>
      <c r="AC170" s="262">
        <f>'CORTE 4200'!J514</f>
        <v>0</v>
      </c>
      <c r="AD170" s="262">
        <f>'CORTE 4200'!K514</f>
        <v>0</v>
      </c>
      <c r="AE170" s="262">
        <f>'CORTE 4200'!L514</f>
        <v>0</v>
      </c>
      <c r="AF170" s="262">
        <f>'CORTE 4200'!M514</f>
        <v>0</v>
      </c>
      <c r="AG170" s="262">
        <f>'CORTE 4200'!N514</f>
        <v>0</v>
      </c>
      <c r="AH170" s="168">
        <f>'CORTE 4200'!O514</f>
        <v>0</v>
      </c>
    </row>
    <row r="171" spans="19:35" ht="27.75" thickTop="1" thickBot="1">
      <c r="T171" s="594" t="str">
        <f>'CORTE 4200'!A523</f>
        <v>4232-00</v>
      </c>
      <c r="U171" s="39" t="str">
        <f>'CORTE 4200'!B523</f>
        <v>Fecha</v>
      </c>
      <c r="V171" s="39">
        <f>'CORTE 4200'!C523</f>
        <v>0</v>
      </c>
      <c r="W171" s="39" t="str">
        <f>'CORTE 4200'!D523</f>
        <v>Ayla</v>
      </c>
      <c r="X171" s="40">
        <f>'CORTE 4200'!E523</f>
        <v>0</v>
      </c>
      <c r="Y171" s="531" t="str">
        <f>'CORTE 4200'!F523</f>
        <v>Venta</v>
      </c>
      <c r="Z171" s="261">
        <f>'CORTE 4200'!G523</f>
        <v>0</v>
      </c>
      <c r="AA171" s="262">
        <f>'CORTE 4200'!H523</f>
        <v>6</v>
      </c>
      <c r="AB171" s="262">
        <f>'CORTE 4200'!I523</f>
        <v>13</v>
      </c>
      <c r="AC171" s="262">
        <f>'CORTE 4200'!J523</f>
        <v>15</v>
      </c>
      <c r="AD171" s="262">
        <f>'CORTE 4200'!K523</f>
        <v>12</v>
      </c>
      <c r="AE171" s="262">
        <f>'CORTE 4200'!L523</f>
        <v>8</v>
      </c>
      <c r="AF171" s="262">
        <f>'CORTE 4200'!M523</f>
        <v>6</v>
      </c>
      <c r="AG171" s="262">
        <f>'CORTE 4200'!N523</f>
        <v>0</v>
      </c>
      <c r="AH171" s="168">
        <f>'CORTE 4200'!O523</f>
        <v>60</v>
      </c>
      <c r="AI171" s="512">
        <f>+AH171</f>
        <v>60</v>
      </c>
    </row>
    <row r="172" spans="19:35" ht="27.75" thickTop="1" thickBot="1">
      <c r="T172" s="550" t="str">
        <f>'CORTE 4200'!A532</f>
        <v>4233-00</v>
      </c>
      <c r="U172" s="39" t="str">
        <f>'CORTE 4200'!B532</f>
        <v>Fecha</v>
      </c>
      <c r="V172" s="39">
        <f>'CORTE 4200'!C532</f>
        <v>0</v>
      </c>
      <c r="W172" s="39" t="str">
        <f>'CORTE 4200'!D532</f>
        <v>Lavinia</v>
      </c>
      <c r="X172" s="40">
        <f>'CORTE 4200'!E532</f>
        <v>0</v>
      </c>
      <c r="Y172" s="531" t="str">
        <f>'CORTE 4200'!F532</f>
        <v>Venta</v>
      </c>
      <c r="Z172" s="261">
        <f>'CORTE 4200'!G532</f>
        <v>0</v>
      </c>
      <c r="AA172" s="262">
        <f>'CORTE 4200'!H532</f>
        <v>0</v>
      </c>
      <c r="AB172" s="262">
        <f>'CORTE 4200'!I532</f>
        <v>0</v>
      </c>
      <c r="AC172" s="262">
        <f>'CORTE 4200'!J532</f>
        <v>0</v>
      </c>
      <c r="AD172" s="262">
        <f>'CORTE 4200'!K532</f>
        <v>0</v>
      </c>
      <c r="AE172" s="262">
        <f>'CORTE 4200'!L532</f>
        <v>0</v>
      </c>
      <c r="AF172" s="262">
        <f>'CORTE 4200'!M532</f>
        <v>0</v>
      </c>
      <c r="AG172" s="262">
        <f>'CORTE 4200'!N532</f>
        <v>0</v>
      </c>
      <c r="AH172" s="168">
        <f>'CORTE 4200'!O532</f>
        <v>0</v>
      </c>
    </row>
    <row r="173" spans="19:35" ht="27.75" thickTop="1" thickBot="1">
      <c r="T173" s="550" t="str">
        <f>'CORTE 4200'!A541</f>
        <v>4233-04</v>
      </c>
      <c r="U173" s="39" t="str">
        <f>'CORTE 4200'!B541</f>
        <v>Fecha</v>
      </c>
      <c r="V173" s="39">
        <f>'CORTE 4200'!C541</f>
        <v>0</v>
      </c>
      <c r="W173" s="39" t="str">
        <f>'CORTE 4200'!D541</f>
        <v>Lavinia</v>
      </c>
      <c r="X173" s="40">
        <f>'CORTE 4200'!E541</f>
        <v>0</v>
      </c>
      <c r="Y173" s="531" t="str">
        <f>'CORTE 4200'!F541</f>
        <v>Venta</v>
      </c>
      <c r="Z173" s="261">
        <f>'CORTE 4200'!G541</f>
        <v>0</v>
      </c>
      <c r="AA173" s="262">
        <f>'CORTE 4200'!H541</f>
        <v>6</v>
      </c>
      <c r="AB173" s="262">
        <f>'CORTE 4200'!I541</f>
        <v>15</v>
      </c>
      <c r="AC173" s="262">
        <f>'CORTE 4200'!J541</f>
        <v>17</v>
      </c>
      <c r="AD173" s="262">
        <f>'CORTE 4200'!K541</f>
        <v>14</v>
      </c>
      <c r="AE173" s="262">
        <f>'CORTE 4200'!L541</f>
        <v>10</v>
      </c>
      <c r="AF173" s="262">
        <f>'CORTE 4200'!M541</f>
        <v>7</v>
      </c>
      <c r="AG173" s="262">
        <f>'CORTE 4200'!N541</f>
        <v>0</v>
      </c>
      <c r="AH173" s="168">
        <f>'CORTE 4200'!O541</f>
        <v>69</v>
      </c>
    </row>
    <row r="174" spans="19:35" ht="27.75" thickTop="1" thickBot="1">
      <c r="T174" s="550" t="str">
        <f>'CORTE 4200'!A550</f>
        <v>4233-08</v>
      </c>
      <c r="U174" s="39" t="str">
        <f>'CORTE 4200'!B550</f>
        <v>Fecha</v>
      </c>
      <c r="V174" s="39">
        <f>'CORTE 4200'!C550</f>
        <v>0</v>
      </c>
      <c r="W174" s="39" t="str">
        <f>'CORTE 4200'!D550</f>
        <v>Lavinia</v>
      </c>
      <c r="X174" s="40">
        <f>'CORTE 4200'!E550</f>
        <v>0</v>
      </c>
      <c r="Y174" s="531" t="str">
        <f>'CORTE 4200'!F550</f>
        <v>Venta</v>
      </c>
      <c r="Z174" s="261">
        <f>'CORTE 4200'!G550</f>
        <v>0</v>
      </c>
      <c r="AA174" s="262">
        <f>'CORTE 4200'!H550</f>
        <v>8</v>
      </c>
      <c r="AB174" s="262">
        <f>'CORTE 4200'!I550</f>
        <v>17</v>
      </c>
      <c r="AC174" s="262">
        <f>'CORTE 4200'!J550</f>
        <v>17</v>
      </c>
      <c r="AD174" s="262">
        <f>'CORTE 4200'!K550</f>
        <v>15</v>
      </c>
      <c r="AE174" s="262">
        <f>'CORTE 4200'!L550</f>
        <v>12</v>
      </c>
      <c r="AF174" s="262">
        <f>'CORTE 4200'!M550</f>
        <v>7</v>
      </c>
      <c r="AG174" s="262">
        <f>'CORTE 4200'!N550</f>
        <v>0</v>
      </c>
      <c r="AH174" s="168">
        <f>'CORTE 4200'!O550</f>
        <v>76</v>
      </c>
    </row>
    <row r="175" spans="19:35" ht="27.75" thickTop="1" thickBot="1">
      <c r="T175" s="550" t="str">
        <f>'CORTE 4200'!A559</f>
        <v>4233-09</v>
      </c>
      <c r="U175" s="39" t="str">
        <f>'CORTE 4200'!B559</f>
        <v>Fecha</v>
      </c>
      <c r="V175" s="39">
        <f>'CORTE 4200'!C559</f>
        <v>0</v>
      </c>
      <c r="W175" s="39" t="str">
        <f>'CORTE 4200'!D559</f>
        <v>Lavinia</v>
      </c>
      <c r="X175" s="40">
        <f>'CORTE 4200'!E559</f>
        <v>0</v>
      </c>
      <c r="Y175" s="531" t="str">
        <f>'CORTE 4200'!F559</f>
        <v>Venta</v>
      </c>
      <c r="Z175" s="261">
        <f>'CORTE 4200'!G559</f>
        <v>0</v>
      </c>
      <c r="AA175" s="262">
        <f>'CORTE 4200'!H559</f>
        <v>6</v>
      </c>
      <c r="AB175" s="262">
        <f>'CORTE 4200'!I559</f>
        <v>8</v>
      </c>
      <c r="AC175" s="262">
        <f>'CORTE 4200'!J559</f>
        <v>6</v>
      </c>
      <c r="AD175" s="262">
        <f>'CORTE 4200'!K559</f>
        <v>6</v>
      </c>
      <c r="AE175" s="262">
        <f>'CORTE 4200'!L559</f>
        <v>4</v>
      </c>
      <c r="AF175" s="262">
        <f>'CORTE 4200'!M559</f>
        <v>2</v>
      </c>
      <c r="AG175" s="262">
        <f>'CORTE 4200'!N559</f>
        <v>0</v>
      </c>
      <c r="AH175" s="168">
        <f>'CORTE 4200'!O559</f>
        <v>32</v>
      </c>
    </row>
    <row r="176" spans="19:35" ht="27.75" thickTop="1" thickBot="1">
      <c r="T176" s="550" t="str">
        <f>'CORTE 4200'!A568</f>
        <v>4233-16</v>
      </c>
      <c r="U176" s="39" t="str">
        <f>'CORTE 4200'!B568</f>
        <v>Fecha</v>
      </c>
      <c r="V176" s="39">
        <f>'CORTE 4200'!C568</f>
        <v>0</v>
      </c>
      <c r="W176" s="39" t="str">
        <f>'CORTE 4200'!D568</f>
        <v>Lavinia</v>
      </c>
      <c r="X176" s="40">
        <f>'CORTE 4200'!E568</f>
        <v>0</v>
      </c>
      <c r="Y176" s="531" t="str">
        <f>'CORTE 4200'!F568</f>
        <v>Venta</v>
      </c>
      <c r="Z176" s="261">
        <f>'CORTE 4200'!G568</f>
        <v>0</v>
      </c>
      <c r="AA176" s="262">
        <f>'CORTE 4200'!H568</f>
        <v>8</v>
      </c>
      <c r="AB176" s="262">
        <f>'CORTE 4200'!I568</f>
        <v>17</v>
      </c>
      <c r="AC176" s="262">
        <f>'CORTE 4200'!J568</f>
        <v>17</v>
      </c>
      <c r="AD176" s="262">
        <f>'CORTE 4200'!K568</f>
        <v>16</v>
      </c>
      <c r="AE176" s="262">
        <f>'CORTE 4200'!L568</f>
        <v>10</v>
      </c>
      <c r="AF176" s="262">
        <f>'CORTE 4200'!M568</f>
        <v>5</v>
      </c>
      <c r="AG176" s="262">
        <f>'CORTE 4200'!N568</f>
        <v>0</v>
      </c>
      <c r="AH176" s="168">
        <f>'CORTE 4200'!O568</f>
        <v>73</v>
      </c>
    </row>
    <row r="177" spans="20:35" ht="27.75" thickTop="1" thickBot="1">
      <c r="T177" s="550" t="str">
        <f>'CORTE 4200'!A577</f>
        <v>4233-48</v>
      </c>
      <c r="U177" s="39" t="str">
        <f>'CORTE 4200'!B577</f>
        <v>Fecha</v>
      </c>
      <c r="V177" s="39">
        <f>'CORTE 4200'!C577</f>
        <v>0</v>
      </c>
      <c r="W177" s="39" t="str">
        <f>'CORTE 4200'!D577</f>
        <v>Lavinia</v>
      </c>
      <c r="X177" s="40">
        <f>'CORTE 4200'!E577</f>
        <v>0</v>
      </c>
      <c r="Y177" s="531" t="str">
        <f>'CORTE 4200'!F577</f>
        <v>Venta</v>
      </c>
      <c r="Z177" s="261">
        <f>'CORTE 4200'!G577</f>
        <v>0</v>
      </c>
      <c r="AA177" s="262">
        <f>'CORTE 4200'!H577</f>
        <v>8</v>
      </c>
      <c r="AB177" s="262">
        <f>'CORTE 4200'!I577</f>
        <v>14</v>
      </c>
      <c r="AC177" s="262">
        <f>'CORTE 4200'!J577</f>
        <v>14</v>
      </c>
      <c r="AD177" s="262">
        <f>'CORTE 4200'!K577</f>
        <v>14</v>
      </c>
      <c r="AE177" s="262">
        <f>'CORTE 4200'!L577</f>
        <v>10</v>
      </c>
      <c r="AF177" s="262">
        <f>'CORTE 4200'!M577</f>
        <v>8</v>
      </c>
      <c r="AG177" s="262">
        <f>'CORTE 4200'!N577</f>
        <v>0</v>
      </c>
      <c r="AH177" s="168">
        <f>'CORTE 4200'!O577</f>
        <v>68</v>
      </c>
      <c r="AI177" s="512">
        <f>+SUM(AH173:AH177)</f>
        <v>318</v>
      </c>
    </row>
    <row r="178" spans="20:35" ht="27.75" thickTop="1" thickBot="1">
      <c r="T178" s="594" t="str">
        <f>'CORTE 4200'!A658</f>
        <v>4236-00</v>
      </c>
      <c r="U178" s="39" t="str">
        <f>'CORTE 4200'!B658</f>
        <v>Fecha</v>
      </c>
      <c r="V178" s="39">
        <f>'CORTE 4200'!C658</f>
        <v>0</v>
      </c>
      <c r="W178" s="39" t="str">
        <f>'CORTE 4200'!D658</f>
        <v>Missy Plus</v>
      </c>
      <c r="X178" s="40">
        <f>'CORTE 4200'!E658</f>
        <v>0</v>
      </c>
      <c r="Y178" s="531" t="str">
        <f>'CORTE 4200'!F658</f>
        <v>Venta</v>
      </c>
      <c r="Z178" s="261">
        <f>'CORTE 4200'!G658</f>
        <v>0</v>
      </c>
      <c r="AA178" s="262">
        <f>'CORTE 4200'!H658</f>
        <v>39</v>
      </c>
      <c r="AB178" s="262">
        <f>'CORTE 4200'!I658</f>
        <v>79</v>
      </c>
      <c r="AC178" s="262">
        <f>'CORTE 4200'!J658</f>
        <v>82</v>
      </c>
      <c r="AD178" s="262">
        <f>'CORTE 4200'!K658</f>
        <v>74</v>
      </c>
      <c r="AE178" s="262">
        <f>'CORTE 4200'!L658</f>
        <v>51</v>
      </c>
      <c r="AF178" s="262">
        <f>'CORTE 4200'!M658</f>
        <v>36</v>
      </c>
      <c r="AG178" s="262">
        <f>'CORTE 4200'!N658</f>
        <v>0</v>
      </c>
      <c r="AH178" s="168">
        <f>'CORTE 4200'!O658</f>
        <v>361</v>
      </c>
      <c r="AI178" s="512">
        <f t="shared" ref="AI178:AI187" si="23">+AH178</f>
        <v>361</v>
      </c>
    </row>
    <row r="179" spans="20:35" ht="27.75" thickTop="1" thickBot="1">
      <c r="T179" s="594" t="str">
        <f>'CORTE 4200'!A667</f>
        <v>4238-00</v>
      </c>
      <c r="U179" s="39" t="str">
        <f>'CORTE 4200'!B667</f>
        <v>Fecha</v>
      </c>
      <c r="V179" s="39">
        <f>'CORTE 4200'!C667</f>
        <v>0</v>
      </c>
      <c r="W179" s="39" t="str">
        <f>'CORTE 4200'!D667</f>
        <v>X206-B1</v>
      </c>
      <c r="X179" s="40">
        <f>'CORTE 4200'!E667</f>
        <v>0</v>
      </c>
      <c r="Y179" s="531" t="str">
        <f>'CORTE 4200'!F667</f>
        <v>Venta</v>
      </c>
      <c r="Z179" s="261">
        <f>'CORTE 4200'!G667</f>
        <v>0</v>
      </c>
      <c r="AA179" s="262">
        <f>'CORTE 4200'!H667</f>
        <v>13</v>
      </c>
      <c r="AB179" s="262">
        <f>'CORTE 4200'!I667</f>
        <v>32</v>
      </c>
      <c r="AC179" s="262">
        <f>'CORTE 4200'!J667</f>
        <v>36</v>
      </c>
      <c r="AD179" s="262">
        <f>'CORTE 4200'!K667</f>
        <v>30</v>
      </c>
      <c r="AE179" s="262">
        <f>'CORTE 4200'!L667</f>
        <v>21</v>
      </c>
      <c r="AF179" s="262">
        <f>'CORTE 4200'!M667</f>
        <v>16</v>
      </c>
      <c r="AG179" s="262">
        <f>'CORTE 4200'!N667</f>
        <v>0</v>
      </c>
      <c r="AH179" s="168">
        <f>'CORTE 4200'!O667</f>
        <v>148</v>
      </c>
      <c r="AI179" s="512">
        <f t="shared" si="23"/>
        <v>148</v>
      </c>
    </row>
    <row r="180" spans="20:35" ht="27.75" thickTop="1" thickBot="1">
      <c r="T180" s="594" t="str">
        <f>'CORTE 4200'!A694</f>
        <v>4242-00</v>
      </c>
      <c r="U180" s="39" t="str">
        <f>'CORTE 4200'!B694</f>
        <v>Fecha</v>
      </c>
      <c r="V180" s="39">
        <f>'CORTE 4200'!C694</f>
        <v>0</v>
      </c>
      <c r="W180" s="39" t="str">
        <f>'CORTE 4200'!D694</f>
        <v>X206-B1</v>
      </c>
      <c r="X180" s="40">
        <f>'CORTE 4200'!E694</f>
        <v>0</v>
      </c>
      <c r="Y180" s="531" t="str">
        <f>'CORTE 4200'!F694</f>
        <v>Venta</v>
      </c>
      <c r="Z180" s="261">
        <f>'CORTE 4200'!G694</f>
        <v>0</v>
      </c>
      <c r="AA180" s="262">
        <f>'CORTE 4200'!H694</f>
        <v>15</v>
      </c>
      <c r="AB180" s="262">
        <f>'CORTE 4200'!I694</f>
        <v>31</v>
      </c>
      <c r="AC180" s="262">
        <f>'CORTE 4200'!J694</f>
        <v>36</v>
      </c>
      <c r="AD180" s="262">
        <f>'CORTE 4200'!K694</f>
        <v>29</v>
      </c>
      <c r="AE180" s="262">
        <f>'CORTE 4200'!L694</f>
        <v>21</v>
      </c>
      <c r="AF180" s="262">
        <f>'CORTE 4200'!M694</f>
        <v>14</v>
      </c>
      <c r="AG180" s="262">
        <f>'CORTE 4200'!N694</f>
        <v>0</v>
      </c>
      <c r="AH180" s="168">
        <f>'CORTE 4200'!O694</f>
        <v>146</v>
      </c>
      <c r="AI180" s="512">
        <f t="shared" si="23"/>
        <v>146</v>
      </c>
    </row>
    <row r="181" spans="20:35" ht="27.75" thickTop="1" thickBot="1">
      <c r="T181" s="594" t="str">
        <f>'CORTE 4200'!A703</f>
        <v>4243-00</v>
      </c>
      <c r="U181" s="39" t="str">
        <f>'CORTE 4200'!B703</f>
        <v>Fecha</v>
      </c>
      <c r="V181" s="39">
        <f>'CORTE 4200'!C703</f>
        <v>0</v>
      </c>
      <c r="W181" s="39" t="str">
        <f>'CORTE 4200'!D703</f>
        <v>New Glue</v>
      </c>
      <c r="X181" s="40">
        <f>'CORTE 4200'!E703</f>
        <v>0</v>
      </c>
      <c r="Y181" s="531" t="str">
        <f>'CORTE 4200'!F703</f>
        <v>Venta</v>
      </c>
      <c r="Z181" s="261">
        <f>'CORTE 4200'!G703</f>
        <v>0</v>
      </c>
      <c r="AA181" s="262">
        <f>'CORTE 4200'!H703</f>
        <v>39</v>
      </c>
      <c r="AB181" s="262">
        <f>'CORTE 4200'!I703</f>
        <v>68</v>
      </c>
      <c r="AC181" s="262">
        <f>'CORTE 4200'!J703</f>
        <v>73</v>
      </c>
      <c r="AD181" s="262">
        <f>'CORTE 4200'!K703</f>
        <v>72</v>
      </c>
      <c r="AE181" s="262">
        <f>'CORTE 4200'!L703</f>
        <v>52</v>
      </c>
      <c r="AF181" s="262">
        <f>'CORTE 4200'!M703</f>
        <v>40</v>
      </c>
      <c r="AG181" s="262">
        <f>'CORTE 4200'!N703</f>
        <v>0</v>
      </c>
      <c r="AH181" s="168">
        <f>'CORTE 4200'!O703</f>
        <v>344</v>
      </c>
      <c r="AI181" s="512">
        <f t="shared" si="23"/>
        <v>344</v>
      </c>
    </row>
    <row r="182" spans="20:35" ht="27.75" thickTop="1" thickBot="1">
      <c r="T182" s="594" t="str">
        <f>'CORTE 4200'!A712</f>
        <v>4244-00</v>
      </c>
      <c r="U182" s="39" t="str">
        <f>'CORTE 4200'!B712</f>
        <v>Fecha</v>
      </c>
      <c r="V182" s="39">
        <f>'CORTE 4200'!C712</f>
        <v>0</v>
      </c>
      <c r="W182" s="39" t="str">
        <f>'CORTE 4200'!D712</f>
        <v>Ibiza Blue</v>
      </c>
      <c r="X182" s="40">
        <f>'CORTE 4200'!E712</f>
        <v>0</v>
      </c>
      <c r="Y182" s="531" t="str">
        <f>'CORTE 4200'!F712</f>
        <v>Venta</v>
      </c>
      <c r="Z182" s="261">
        <f>'CORTE 4200'!G712</f>
        <v>0</v>
      </c>
      <c r="AA182" s="262">
        <f>'CORTE 4200'!H712</f>
        <v>10</v>
      </c>
      <c r="AB182" s="262">
        <f>'CORTE 4200'!I712</f>
        <v>18</v>
      </c>
      <c r="AC182" s="262">
        <f>'CORTE 4200'!J712</f>
        <v>23</v>
      </c>
      <c r="AD182" s="262">
        <f>'CORTE 4200'!K712</f>
        <v>22</v>
      </c>
      <c r="AE182" s="262">
        <f>'CORTE 4200'!L712</f>
        <v>17</v>
      </c>
      <c r="AF182" s="262">
        <f>'CORTE 4200'!M712</f>
        <v>9</v>
      </c>
      <c r="AG182" s="262">
        <f>'CORTE 4200'!N712</f>
        <v>0</v>
      </c>
      <c r="AH182" s="168">
        <f>'CORTE 4200'!O712</f>
        <v>99</v>
      </c>
      <c r="AI182" s="512">
        <f t="shared" si="23"/>
        <v>99</v>
      </c>
    </row>
    <row r="183" spans="20:35" ht="27.75" thickTop="1" thickBot="1">
      <c r="T183" s="594" t="str">
        <f>'CORTE 4200'!A721</f>
        <v>4245-00</v>
      </c>
      <c r="U183" s="39" t="str">
        <f>'CORTE 4200'!B721</f>
        <v>Fecha</v>
      </c>
      <c r="V183" s="39">
        <f>'CORTE 4200'!C721</f>
        <v>0</v>
      </c>
      <c r="W183" s="39" t="str">
        <f>'CORTE 4200'!D721</f>
        <v>B2868-V3</v>
      </c>
      <c r="X183" s="40">
        <f>'CORTE 4200'!E721</f>
        <v>0</v>
      </c>
      <c r="Y183" s="531" t="str">
        <f>'CORTE 4200'!F721</f>
        <v>Venta</v>
      </c>
      <c r="Z183" s="261">
        <f>'CORTE 4200'!G721</f>
        <v>0</v>
      </c>
      <c r="AA183" s="262">
        <f>'CORTE 4200'!H721</f>
        <v>11</v>
      </c>
      <c r="AB183" s="262">
        <f>'CORTE 4200'!I721</f>
        <v>27</v>
      </c>
      <c r="AC183" s="262">
        <f>'CORTE 4200'!J721</f>
        <v>25</v>
      </c>
      <c r="AD183" s="262">
        <f>'CORTE 4200'!K721</f>
        <v>24</v>
      </c>
      <c r="AE183" s="262">
        <f>'CORTE 4200'!L721</f>
        <v>15</v>
      </c>
      <c r="AF183" s="262">
        <f>'CORTE 4200'!M721</f>
        <v>13</v>
      </c>
      <c r="AG183" s="262">
        <f>'CORTE 4200'!N721</f>
        <v>0</v>
      </c>
      <c r="AH183" s="168">
        <f>'CORTE 4200'!O721</f>
        <v>115</v>
      </c>
      <c r="AI183" s="512">
        <f t="shared" si="23"/>
        <v>115</v>
      </c>
    </row>
    <row r="184" spans="20:35" ht="27.75" thickTop="1" thickBot="1">
      <c r="T184" s="594" t="str">
        <f>'CORTE 4200'!A730</f>
        <v>4246-00</v>
      </c>
      <c r="U184" s="39" t="str">
        <f>'CORTE 4200'!B730</f>
        <v>Fecha</v>
      </c>
      <c r="V184" s="39">
        <f>'CORTE 4200'!C730</f>
        <v>0</v>
      </c>
      <c r="W184" s="39" t="str">
        <f>'CORTE 4200'!D730</f>
        <v>Ayla</v>
      </c>
      <c r="X184" s="40">
        <f>'CORTE 4200'!E730</f>
        <v>0</v>
      </c>
      <c r="Y184" s="531" t="str">
        <f>'CORTE 4200'!F730</f>
        <v>Venta</v>
      </c>
      <c r="Z184" s="261">
        <f>'CORTE 4200'!G730</f>
        <v>0</v>
      </c>
      <c r="AA184" s="262">
        <f>'CORTE 4200'!H730</f>
        <v>8</v>
      </c>
      <c r="AB184" s="262">
        <f>'CORTE 4200'!I730</f>
        <v>18</v>
      </c>
      <c r="AC184" s="262">
        <f>'CORTE 4200'!J730</f>
        <v>19</v>
      </c>
      <c r="AD184" s="262">
        <f>'CORTE 4200'!K730</f>
        <v>18</v>
      </c>
      <c r="AE184" s="262">
        <f>'CORTE 4200'!L730</f>
        <v>12</v>
      </c>
      <c r="AF184" s="262">
        <f>'CORTE 4200'!M730</f>
        <v>9</v>
      </c>
      <c r="AG184" s="262">
        <f>'CORTE 4200'!N730</f>
        <v>0</v>
      </c>
      <c r="AH184" s="168">
        <f>'CORTE 4200'!O730</f>
        <v>84</v>
      </c>
      <c r="AI184" s="512">
        <f t="shared" si="23"/>
        <v>84</v>
      </c>
    </row>
    <row r="185" spans="20:35" ht="27.75" thickTop="1" thickBot="1">
      <c r="T185" s="594" t="str">
        <f>'CORTE 4200'!A784</f>
        <v>4251-60</v>
      </c>
      <c r="U185" s="39" t="str">
        <f>'CORTE 4200'!B784</f>
        <v>Fecha</v>
      </c>
      <c r="V185" s="39">
        <f>'CORTE 4200'!C784</f>
        <v>0</v>
      </c>
      <c r="W185" s="39">
        <f>'CORTE 4200'!D784</f>
        <v>0</v>
      </c>
      <c r="X185" s="40">
        <f>'CORTE 4200'!E784</f>
        <v>0</v>
      </c>
      <c r="Y185" s="531" t="str">
        <f>'CORTE 4200'!F784</f>
        <v>Venta</v>
      </c>
      <c r="Z185" s="261">
        <f>'CORTE 4200'!G784</f>
        <v>0</v>
      </c>
      <c r="AA185" s="262">
        <f>'CORTE 4200'!H784</f>
        <v>15</v>
      </c>
      <c r="AB185" s="262">
        <f>'CORTE 4200'!I784</f>
        <v>25</v>
      </c>
      <c r="AC185" s="262">
        <f>'CORTE 4200'!J784</f>
        <v>20</v>
      </c>
      <c r="AD185" s="262">
        <f>'CORTE 4200'!K784</f>
        <v>24</v>
      </c>
      <c r="AE185" s="262">
        <f>'CORTE 4200'!L784</f>
        <v>9</v>
      </c>
      <c r="AF185" s="262">
        <f>'CORTE 4200'!M784</f>
        <v>7</v>
      </c>
      <c r="AG185" s="262">
        <f>'CORTE 4200'!N784</f>
        <v>0</v>
      </c>
      <c r="AH185" s="168">
        <f>'CORTE 4200'!O784</f>
        <v>100</v>
      </c>
      <c r="AI185" s="512">
        <f t="shared" si="23"/>
        <v>100</v>
      </c>
    </row>
    <row r="186" spans="20:35" ht="27.75" thickTop="1" thickBot="1">
      <c r="T186" s="594" t="str">
        <f>'CORTE 4200'!A793</f>
        <v>4252-00</v>
      </c>
      <c r="U186" s="39" t="str">
        <f>'CORTE 4200'!B793</f>
        <v>Fecha</v>
      </c>
      <c r="V186" s="39">
        <f>'CORTE 4200'!C793</f>
        <v>0</v>
      </c>
      <c r="W186" s="39">
        <f>'CORTE 4200'!D793</f>
        <v>0</v>
      </c>
      <c r="X186" s="40">
        <f>'CORTE 4200'!E793</f>
        <v>0</v>
      </c>
      <c r="Y186" s="531" t="str">
        <f>'CORTE 4200'!F793</f>
        <v>Venta</v>
      </c>
      <c r="Z186" s="261">
        <f>'CORTE 4200'!G793</f>
        <v>0</v>
      </c>
      <c r="AA186" s="262">
        <f>'CORTE 4200'!H793</f>
        <v>3</v>
      </c>
      <c r="AB186" s="262">
        <f>'CORTE 4200'!I793</f>
        <v>5</v>
      </c>
      <c r="AC186" s="262">
        <f>'CORTE 4200'!J793</f>
        <v>5</v>
      </c>
      <c r="AD186" s="262">
        <f>'CORTE 4200'!K793</f>
        <v>6</v>
      </c>
      <c r="AE186" s="262">
        <f>'CORTE 4200'!L793</f>
        <v>5</v>
      </c>
      <c r="AF186" s="262">
        <f>'CORTE 4200'!M793</f>
        <v>3</v>
      </c>
      <c r="AG186" s="262">
        <f>'CORTE 4200'!N793</f>
        <v>0</v>
      </c>
      <c r="AH186" s="168">
        <f>'CORTE 4200'!O793</f>
        <v>27</v>
      </c>
      <c r="AI186" s="512">
        <f t="shared" si="23"/>
        <v>27</v>
      </c>
    </row>
    <row r="187" spans="20:35" ht="27.75" thickTop="1" thickBot="1">
      <c r="T187" s="594" t="str">
        <f>'CORTE 4200'!A802</f>
        <v>4256-00</v>
      </c>
      <c r="U187" s="39" t="str">
        <f>'CORTE 4200'!B802</f>
        <v>Fecha</v>
      </c>
      <c r="V187" s="39">
        <f>'CORTE 4200'!C802</f>
        <v>0</v>
      </c>
      <c r="W187" s="39" t="str">
        <f>'CORTE 4200'!D802</f>
        <v>Missy Plus</v>
      </c>
      <c r="X187" s="40">
        <f>'CORTE 4200'!E802</f>
        <v>0</v>
      </c>
      <c r="Y187" s="531" t="str">
        <f>'CORTE 4200'!F802</f>
        <v>Venta</v>
      </c>
      <c r="Z187" s="261">
        <f>'CORTE 4200'!G802</f>
        <v>0</v>
      </c>
      <c r="AA187" s="262">
        <f>'CORTE 4200'!H802</f>
        <v>13</v>
      </c>
      <c r="AB187" s="262">
        <f>'CORTE 4200'!I802</f>
        <v>21</v>
      </c>
      <c r="AC187" s="262">
        <f>'CORTE 4200'!J802</f>
        <v>23</v>
      </c>
      <c r="AD187" s="262">
        <f>'CORTE 4200'!K802</f>
        <v>22</v>
      </c>
      <c r="AE187" s="262">
        <f>'CORTE 4200'!L802</f>
        <v>18</v>
      </c>
      <c r="AF187" s="262">
        <f>'CORTE 4200'!M802</f>
        <v>13</v>
      </c>
      <c r="AG187" s="262">
        <f>'CORTE 4200'!N802</f>
        <v>0</v>
      </c>
      <c r="AH187" s="168">
        <f>'CORTE 4200'!O802</f>
        <v>110</v>
      </c>
      <c r="AI187" s="512">
        <f t="shared" si="23"/>
        <v>110</v>
      </c>
    </row>
    <row r="188" spans="20:35" ht="27.75" thickTop="1" thickBot="1">
      <c r="T188" s="600" t="str">
        <f>'CORTE 4200'!A811</f>
        <v>4257-04</v>
      </c>
      <c r="U188" s="39" t="str">
        <f>'CORTE 4200'!B811</f>
        <v>Fecha</v>
      </c>
      <c r="V188" s="39">
        <f>'CORTE 4200'!C811</f>
        <v>0</v>
      </c>
      <c r="W188" s="529" t="str">
        <f>'CORTE 4200'!D811</f>
        <v>Lavinia</v>
      </c>
      <c r="X188" s="40">
        <f>'CORTE 4200'!E811</f>
        <v>0</v>
      </c>
      <c r="Y188" s="531" t="str">
        <f>'CORTE 4200'!F811</f>
        <v>Venta</v>
      </c>
      <c r="Z188" s="261">
        <f>'CORTE 4200'!G811</f>
        <v>0</v>
      </c>
      <c r="AA188" s="262">
        <f>'CORTE 4200'!H811</f>
        <v>4</v>
      </c>
      <c r="AB188" s="262">
        <f>'CORTE 4200'!I811</f>
        <v>8</v>
      </c>
      <c r="AC188" s="262">
        <f>'CORTE 4200'!J811</f>
        <v>11</v>
      </c>
      <c r="AD188" s="262">
        <f>'CORTE 4200'!K811</f>
        <v>10</v>
      </c>
      <c r="AE188" s="262">
        <f>'CORTE 4200'!L811</f>
        <v>7</v>
      </c>
      <c r="AF188" s="262">
        <f>'CORTE 4200'!M811</f>
        <v>5</v>
      </c>
      <c r="AG188" s="262">
        <f>'CORTE 4200'!N811</f>
        <v>0</v>
      </c>
      <c r="AH188" s="168">
        <f>'CORTE 4200'!O811</f>
        <v>45</v>
      </c>
    </row>
    <row r="189" spans="20:35" ht="27.75" thickTop="1" thickBot="1">
      <c r="T189" s="600" t="str">
        <f>'CORTE 4200'!A820</f>
        <v>4257-08</v>
      </c>
      <c r="U189" s="39" t="str">
        <f>'CORTE 4200'!B820</f>
        <v>Fecha</v>
      </c>
      <c r="V189" s="39">
        <f>'CORTE 4200'!C820</f>
        <v>0</v>
      </c>
      <c r="W189" s="529" t="str">
        <f>'CORTE 4200'!D820</f>
        <v>Lavinia</v>
      </c>
      <c r="X189" s="40">
        <f>'CORTE 4200'!E820</f>
        <v>0</v>
      </c>
      <c r="Y189" s="531" t="str">
        <f>'CORTE 4200'!F820</f>
        <v>Venta</v>
      </c>
      <c r="Z189" s="261">
        <f>'CORTE 4200'!G820</f>
        <v>0</v>
      </c>
      <c r="AA189" s="262">
        <f>'CORTE 4200'!H820</f>
        <v>6</v>
      </c>
      <c r="AB189" s="262">
        <f>'CORTE 4200'!I820</f>
        <v>8</v>
      </c>
      <c r="AC189" s="262">
        <f>'CORTE 4200'!J820</f>
        <v>4</v>
      </c>
      <c r="AD189" s="262">
        <f>'CORTE 4200'!K820</f>
        <v>4</v>
      </c>
      <c r="AE189" s="262">
        <f>'CORTE 4200'!L820</f>
        <v>2</v>
      </c>
      <c r="AF189" s="262">
        <f>'CORTE 4200'!M820</f>
        <v>0</v>
      </c>
      <c r="AG189" s="262">
        <f>'CORTE 4200'!N820</f>
        <v>0</v>
      </c>
      <c r="AH189" s="168">
        <f>'CORTE 4200'!O820</f>
        <v>24</v>
      </c>
    </row>
    <row r="190" spans="20:35" ht="27.75" thickTop="1" thickBot="1">
      <c r="T190" s="600" t="str">
        <f>'CORTE 4200'!A829</f>
        <v>4257-09</v>
      </c>
      <c r="U190" s="39" t="str">
        <f>'CORTE 4200'!B829</f>
        <v>Fecha</v>
      </c>
      <c r="V190" s="39">
        <f>'CORTE 4200'!C829</f>
        <v>0</v>
      </c>
      <c r="W190" s="529" t="str">
        <f>'CORTE 4200'!D829</f>
        <v>Lavinia</v>
      </c>
      <c r="X190" s="40">
        <f>'CORTE 4200'!E829</f>
        <v>0</v>
      </c>
      <c r="Y190" s="531" t="str">
        <f>'CORTE 4200'!F829</f>
        <v>Venta</v>
      </c>
      <c r="Z190" s="261">
        <f>'CORTE 4200'!G829</f>
        <v>0</v>
      </c>
      <c r="AA190" s="262">
        <f>'CORTE 4200'!H829</f>
        <v>8</v>
      </c>
      <c r="AB190" s="262">
        <f>'CORTE 4200'!I829</f>
        <v>10</v>
      </c>
      <c r="AC190" s="262">
        <f>'CORTE 4200'!J829</f>
        <v>6</v>
      </c>
      <c r="AD190" s="262">
        <f>'CORTE 4200'!K829</f>
        <v>6</v>
      </c>
      <c r="AE190" s="262">
        <f>'CORTE 4200'!L829</f>
        <v>3</v>
      </c>
      <c r="AF190" s="262">
        <f>'CORTE 4200'!M829</f>
        <v>0</v>
      </c>
      <c r="AG190" s="262">
        <f>'CORTE 4200'!N829</f>
        <v>0</v>
      </c>
      <c r="AH190" s="168">
        <f>'CORTE 4200'!O829</f>
        <v>33</v>
      </c>
    </row>
    <row r="191" spans="20:35" ht="27.75" thickTop="1" thickBot="1">
      <c r="T191" s="600" t="str">
        <f>'CORTE 4200'!A838</f>
        <v>4257-16</v>
      </c>
      <c r="U191" s="39" t="str">
        <f>'CORTE 4200'!B838</f>
        <v>Fecha</v>
      </c>
      <c r="V191" s="39">
        <f>'CORTE 4200'!C838</f>
        <v>0</v>
      </c>
      <c r="W191" s="529" t="str">
        <f>'CORTE 4200'!D838</f>
        <v>Lavinia</v>
      </c>
      <c r="X191" s="40">
        <f>'CORTE 4200'!E838</f>
        <v>0</v>
      </c>
      <c r="Y191" s="531" t="str">
        <f>'CORTE 4200'!F838</f>
        <v>Venta</v>
      </c>
      <c r="Z191" s="261">
        <f>'CORTE 4200'!G838</f>
        <v>0</v>
      </c>
      <c r="AA191" s="262">
        <f>'CORTE 4200'!H838</f>
        <v>6</v>
      </c>
      <c r="AB191" s="262">
        <f>'CORTE 4200'!I838</f>
        <v>9</v>
      </c>
      <c r="AC191" s="262">
        <f>'CORTE 4200'!J838</f>
        <v>7</v>
      </c>
      <c r="AD191" s="262">
        <f>'CORTE 4200'!K838</f>
        <v>7</v>
      </c>
      <c r="AE191" s="262">
        <f>'CORTE 4200'!L838</f>
        <v>4</v>
      </c>
      <c r="AF191" s="262">
        <f>'CORTE 4200'!M838</f>
        <v>2</v>
      </c>
      <c r="AG191" s="262">
        <f>'CORTE 4200'!N838</f>
        <v>0</v>
      </c>
      <c r="AH191" s="168">
        <f>'CORTE 4200'!O838</f>
        <v>35</v>
      </c>
    </row>
    <row r="192" spans="20:35" ht="27.75" thickTop="1" thickBot="1">
      <c r="T192" s="600" t="str">
        <f>'CORTE 4200'!A847</f>
        <v>4257-48</v>
      </c>
      <c r="U192" s="39" t="str">
        <f>'CORTE 4200'!B847</f>
        <v>Fecha</v>
      </c>
      <c r="V192" s="39">
        <f>'CORTE 4200'!C847</f>
        <v>0</v>
      </c>
      <c r="W192" s="529" t="str">
        <f>'CORTE 4200'!D847</f>
        <v>Lavinia</v>
      </c>
      <c r="X192" s="40">
        <f>'CORTE 4200'!E847</f>
        <v>0</v>
      </c>
      <c r="Y192" s="531" t="str">
        <f>'CORTE 4200'!F847</f>
        <v>Venta</v>
      </c>
      <c r="Z192" s="261">
        <f>'CORTE 4200'!G847</f>
        <v>0</v>
      </c>
      <c r="AA192" s="262">
        <f>'CORTE 4200'!H847</f>
        <v>11</v>
      </c>
      <c r="AB192" s="262">
        <f>'CORTE 4200'!I847</f>
        <v>16</v>
      </c>
      <c r="AC192" s="262">
        <f>'CORTE 4200'!J847</f>
        <v>13</v>
      </c>
      <c r="AD192" s="262">
        <f>'CORTE 4200'!K847</f>
        <v>13</v>
      </c>
      <c r="AE192" s="262">
        <f>'CORTE 4200'!L847</f>
        <v>8</v>
      </c>
      <c r="AF192" s="262">
        <f>'CORTE 4200'!M847</f>
        <v>4</v>
      </c>
      <c r="AG192" s="262">
        <f>'CORTE 4200'!N847</f>
        <v>0</v>
      </c>
      <c r="AH192" s="168">
        <f>'CORTE 4200'!O847</f>
        <v>65</v>
      </c>
      <c r="AI192" s="512">
        <f>+SUM(AH188:AH192)</f>
        <v>202</v>
      </c>
    </row>
    <row r="193" ht="24.75" thickTop="1"/>
  </sheetData>
  <phoneticPr fontId="30" type="noConversion"/>
  <printOptions gridLines="1"/>
  <pageMargins left="0.11811023622047245" right="0.11811023622047245" top="0.15748031496062992" bottom="0.15748031496062992" header="0.31496062992125984" footer="0.31496062992125984"/>
  <pageSetup scale="76" orientation="landscape" r:id="rId1"/>
  <rowBreaks count="4" manualBreakCount="4">
    <brk id="31" min="18" max="34" man="1"/>
    <brk id="62" min="18" max="34" man="1"/>
    <brk id="92" min="18" max="34" man="1"/>
    <brk id="121" min="18" max="34" man="1"/>
  </rowBreaks>
  <colBreaks count="1" manualBreakCount="1">
    <brk id="17" min="101" max="10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1DDA-861B-4F09-B7C5-ED63E13CFA1D}">
  <dimension ref="A1:AE50"/>
  <sheetViews>
    <sheetView view="pageBreakPreview" zoomScale="60" zoomScaleNormal="100" workbookViewId="0">
      <selection activeCell="E30" sqref="E30"/>
    </sheetView>
  </sheetViews>
  <sheetFormatPr defaultColWidth="84.7109375" defaultRowHeight="15"/>
  <cols>
    <col min="1" max="1" width="27.140625" style="1" bestFit="1" customWidth="1"/>
    <col min="2" max="2" width="38.140625" style="1" bestFit="1" customWidth="1"/>
    <col min="3" max="3" width="23.85546875" style="1" bestFit="1" customWidth="1"/>
    <col min="4" max="27" width="84.7109375" style="1"/>
    <col min="28" max="31" width="84.7109375" style="18"/>
    <col min="32" max="16384" width="84.7109375" style="1"/>
  </cols>
  <sheetData>
    <row r="1" spans="1:3" ht="16.5" customHeight="1" thickBot="1">
      <c r="A1" s="114">
        <v>45870</v>
      </c>
      <c r="B1" s="113" t="s">
        <v>315</v>
      </c>
      <c r="C1" s="113"/>
    </row>
    <row r="2" spans="1:3" ht="31.5">
      <c r="A2" s="104" t="s">
        <v>316</v>
      </c>
      <c r="B2" s="105"/>
      <c r="C2" s="106" t="s">
        <v>317</v>
      </c>
    </row>
    <row r="3" spans="1:3" ht="15.75">
      <c r="A3" s="107"/>
      <c r="B3" s="103"/>
      <c r="C3" s="108"/>
    </row>
    <row r="4" spans="1:3" ht="15.75">
      <c r="A4" s="109" t="s">
        <v>318</v>
      </c>
      <c r="B4" s="103"/>
      <c r="C4" s="99">
        <v>1090</v>
      </c>
    </row>
    <row r="5" spans="1:3" ht="15.75">
      <c r="A5" s="107"/>
      <c r="B5" s="103"/>
      <c r="C5" s="108"/>
    </row>
    <row r="6" spans="1:3" ht="15.75">
      <c r="A6" s="109" t="s">
        <v>319</v>
      </c>
      <c r="B6" s="103"/>
      <c r="C6" s="99">
        <v>1320</v>
      </c>
    </row>
    <row r="7" spans="1:3" ht="15.75">
      <c r="A7" s="107"/>
      <c r="B7" s="103"/>
      <c r="C7" s="108"/>
    </row>
    <row r="8" spans="1:3" ht="15.75">
      <c r="A8" s="109" t="s">
        <v>320</v>
      </c>
      <c r="B8" s="103"/>
      <c r="C8" s="99">
        <v>1420</v>
      </c>
    </row>
    <row r="9" spans="1:3" ht="15.75">
      <c r="A9" s="107"/>
      <c r="B9" s="103"/>
      <c r="C9" s="108"/>
    </row>
    <row r="10" spans="1:3" ht="15.75">
      <c r="A10" s="109" t="s">
        <v>321</v>
      </c>
      <c r="B10" s="103"/>
      <c r="C10" s="99">
        <v>1850</v>
      </c>
    </row>
    <row r="11" spans="1:3" ht="15.75">
      <c r="A11" s="107"/>
      <c r="B11" s="103"/>
      <c r="C11" s="108"/>
    </row>
    <row r="12" spans="1:3" ht="15.75">
      <c r="A12" s="109" t="s">
        <v>322</v>
      </c>
      <c r="B12" s="103"/>
      <c r="C12" s="99">
        <v>2220</v>
      </c>
    </row>
    <row r="13" spans="1:3" ht="15.75">
      <c r="A13" s="107"/>
      <c r="B13" s="103"/>
      <c r="C13" s="108"/>
    </row>
    <row r="14" spans="1:3" ht="15.75">
      <c r="A14" s="109" t="s">
        <v>323</v>
      </c>
      <c r="B14" s="103"/>
      <c r="C14" s="99">
        <v>690</v>
      </c>
    </row>
    <row r="15" spans="1:3" ht="15.75">
      <c r="A15" s="107"/>
      <c r="B15" s="103"/>
      <c r="C15" s="108"/>
    </row>
    <row r="16" spans="1:3" ht="15.75">
      <c r="A16" s="109" t="s">
        <v>324</v>
      </c>
      <c r="B16" s="103"/>
      <c r="C16" s="108" t="s">
        <v>325</v>
      </c>
    </row>
    <row r="17" spans="1:3" ht="15.75">
      <c r="A17" s="107"/>
      <c r="B17" s="103"/>
      <c r="C17" s="108"/>
    </row>
    <row r="18" spans="1:3" ht="15.75">
      <c r="A18" s="109" t="s">
        <v>326</v>
      </c>
      <c r="B18" s="103"/>
      <c r="C18" s="99">
        <v>1500</v>
      </c>
    </row>
    <row r="19" spans="1:3" ht="15.75">
      <c r="A19" s="107"/>
      <c r="B19" s="103"/>
      <c r="C19" s="108"/>
    </row>
    <row r="20" spans="1:3" ht="15.75">
      <c r="A20" s="109" t="s">
        <v>327</v>
      </c>
      <c r="B20" s="103"/>
      <c r="C20" s="99">
        <v>2500</v>
      </c>
    </row>
    <row r="21" spans="1:3" ht="15.75">
      <c r="A21" s="100" t="s">
        <v>328</v>
      </c>
      <c r="B21" s="103"/>
      <c r="C21" s="108"/>
    </row>
    <row r="22" spans="1:3" ht="15.75">
      <c r="A22" s="107"/>
      <c r="B22" s="103"/>
      <c r="C22" s="108"/>
    </row>
    <row r="23" spans="1:3" ht="15.75">
      <c r="A23" s="109" t="s">
        <v>329</v>
      </c>
      <c r="B23" s="103"/>
      <c r="C23" s="99">
        <v>65</v>
      </c>
    </row>
    <row r="24" spans="1:3" ht="15.75">
      <c r="A24" s="107"/>
      <c r="B24" s="103"/>
      <c r="C24" s="108"/>
    </row>
    <row r="25" spans="1:3" ht="15.75">
      <c r="A25" s="109" t="s">
        <v>330</v>
      </c>
      <c r="B25" s="103"/>
      <c r="C25" s="99">
        <v>430</v>
      </c>
    </row>
    <row r="26" spans="1:3" ht="15.75">
      <c r="A26" s="107"/>
      <c r="B26" s="103"/>
      <c r="C26" s="108"/>
    </row>
    <row r="27" spans="1:3" ht="15.75">
      <c r="A27" s="109" t="s">
        <v>331</v>
      </c>
      <c r="B27" s="103"/>
      <c r="C27" s="99">
        <v>410</v>
      </c>
    </row>
    <row r="28" spans="1:3" ht="15.75">
      <c r="A28" s="107"/>
      <c r="B28" s="103"/>
      <c r="C28" s="108"/>
    </row>
    <row r="29" spans="1:3" ht="15.75">
      <c r="A29" s="109" t="s">
        <v>332</v>
      </c>
      <c r="B29" s="103"/>
      <c r="C29" s="99">
        <v>210</v>
      </c>
    </row>
    <row r="30" spans="1:3" ht="15.75">
      <c r="A30" s="107"/>
      <c r="B30" s="103"/>
      <c r="C30" s="108"/>
    </row>
    <row r="31" spans="1:3" ht="31.5">
      <c r="A31" s="109" t="s">
        <v>333</v>
      </c>
      <c r="B31" s="103"/>
      <c r="C31" s="99">
        <v>210</v>
      </c>
    </row>
    <row r="32" spans="1:3" ht="15.75">
      <c r="A32" s="107"/>
      <c r="B32" s="103"/>
      <c r="C32" s="108"/>
    </row>
    <row r="33" spans="1:3" ht="15.75">
      <c r="A33" s="109" t="s">
        <v>334</v>
      </c>
      <c r="B33" s="103"/>
      <c r="C33" s="99">
        <v>210</v>
      </c>
    </row>
    <row r="34" spans="1:3" ht="15.75">
      <c r="A34" s="107"/>
      <c r="B34" s="103"/>
      <c r="C34" s="108"/>
    </row>
    <row r="35" spans="1:3" ht="15.75">
      <c r="A35" s="109" t="s">
        <v>335</v>
      </c>
      <c r="B35" s="103"/>
      <c r="C35" s="99">
        <v>840</v>
      </c>
    </row>
    <row r="36" spans="1:3" ht="15.75">
      <c r="A36" s="100" t="s">
        <v>336</v>
      </c>
      <c r="B36" s="103"/>
      <c r="C36" s="108"/>
    </row>
    <row r="37" spans="1:3" ht="15.75">
      <c r="A37" s="109" t="s">
        <v>337</v>
      </c>
      <c r="B37" s="103"/>
      <c r="C37" s="99">
        <v>2500</v>
      </c>
    </row>
    <row r="38" spans="1:3" ht="15.75">
      <c r="A38" s="107"/>
      <c r="B38" s="103"/>
      <c r="C38" s="108"/>
    </row>
    <row r="39" spans="1:3" ht="15.75">
      <c r="A39" s="100" t="s">
        <v>338</v>
      </c>
      <c r="B39" s="103"/>
      <c r="C39" s="108"/>
    </row>
    <row r="40" spans="1:3" ht="15.75">
      <c r="A40" s="107"/>
      <c r="B40" s="103"/>
      <c r="C40" s="108"/>
    </row>
    <row r="41" spans="1:3" ht="15.75">
      <c r="A41" s="109" t="s">
        <v>339</v>
      </c>
      <c r="B41" s="103"/>
      <c r="C41" s="99">
        <v>2500</v>
      </c>
    </row>
    <row r="42" spans="1:3" ht="15.75">
      <c r="A42" s="107"/>
      <c r="B42" s="103"/>
      <c r="C42" s="108"/>
    </row>
    <row r="43" spans="1:3" ht="15.75">
      <c r="A43" s="109" t="s">
        <v>340</v>
      </c>
      <c r="B43" s="103"/>
      <c r="C43" s="99">
        <v>2500</v>
      </c>
    </row>
    <row r="44" spans="1:3" ht="15.75">
      <c r="A44" s="107"/>
      <c r="B44" s="103"/>
      <c r="C44" s="108"/>
    </row>
    <row r="45" spans="1:3" ht="16.5" thickBot="1">
      <c r="A45" s="110" t="s">
        <v>341</v>
      </c>
      <c r="B45" s="111"/>
      <c r="C45" s="112">
        <v>2000</v>
      </c>
    </row>
    <row r="46" spans="1:3" ht="16.5" thickBot="1">
      <c r="A46" s="102"/>
      <c r="B46" s="98"/>
      <c r="C46" s="101"/>
    </row>
    <row r="47" spans="1:3">
      <c r="A47" s="648" t="s">
        <v>342</v>
      </c>
      <c r="B47" s="649"/>
      <c r="C47" s="650"/>
    </row>
    <row r="48" spans="1:3">
      <c r="A48" s="651"/>
      <c r="B48" s="652"/>
      <c r="C48" s="653"/>
    </row>
    <row r="49" spans="1:3">
      <c r="A49" s="651"/>
      <c r="B49" s="652"/>
      <c r="C49" s="653"/>
    </row>
    <row r="50" spans="1:3" ht="15.75" thickBot="1">
      <c r="A50" s="654"/>
      <c r="B50" s="655"/>
      <c r="C50" s="656"/>
    </row>
  </sheetData>
  <mergeCells count="1">
    <mergeCell ref="A47:C50"/>
  </mergeCells>
  <pageMargins left="0.7" right="0.7" top="0.75" bottom="0.75" header="0.3" footer="0.3"/>
  <pageSetup scale="8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8506-8A93-40CF-999B-B85DB2B3ED98}">
  <dimension ref="A2:E89"/>
  <sheetViews>
    <sheetView workbookViewId="0">
      <selection activeCell="B31" sqref="B31"/>
    </sheetView>
  </sheetViews>
  <sheetFormatPr defaultColWidth="11.42578125" defaultRowHeight="15"/>
  <cols>
    <col min="1" max="1" width="8.7109375" bestFit="1" customWidth="1"/>
    <col min="2" max="2" width="85.28515625" bestFit="1" customWidth="1"/>
    <col min="3" max="3" width="8.7109375" bestFit="1" customWidth="1"/>
    <col min="4" max="4" width="10.7109375" bestFit="1" customWidth="1"/>
    <col min="5" max="5" width="8.42578125" bestFit="1" customWidth="1"/>
  </cols>
  <sheetData>
    <row r="2" spans="1:5" ht="15.75">
      <c r="A2" s="69" t="s">
        <v>24</v>
      </c>
      <c r="B2" s="68" t="s">
        <v>343</v>
      </c>
      <c r="C2" s="68" t="s">
        <v>344</v>
      </c>
      <c r="D2" s="68" t="s">
        <v>345</v>
      </c>
      <c r="E2" s="70">
        <v>24990</v>
      </c>
    </row>
    <row r="3" spans="1:5" ht="15.75">
      <c r="A3" s="69" t="s">
        <v>26</v>
      </c>
      <c r="B3" s="68" t="s">
        <v>346</v>
      </c>
      <c r="C3" s="68" t="s">
        <v>344</v>
      </c>
      <c r="D3" s="68" t="s">
        <v>345</v>
      </c>
      <c r="E3" s="70">
        <v>26990</v>
      </c>
    </row>
    <row r="4" spans="1:5" ht="15.75">
      <c r="A4" s="69" t="s">
        <v>10</v>
      </c>
      <c r="B4" s="68" t="s">
        <v>347</v>
      </c>
      <c r="C4" s="68" t="s">
        <v>344</v>
      </c>
      <c r="D4" s="68" t="s">
        <v>345</v>
      </c>
      <c r="E4" s="70">
        <v>24990</v>
      </c>
    </row>
    <row r="5" spans="1:5" ht="15.75">
      <c r="A5" s="69" t="s">
        <v>348</v>
      </c>
      <c r="B5" s="68" t="s">
        <v>349</v>
      </c>
      <c r="C5" s="68" t="s">
        <v>344</v>
      </c>
      <c r="D5" s="68" t="s">
        <v>350</v>
      </c>
      <c r="E5" s="70">
        <v>25990</v>
      </c>
    </row>
    <row r="6" spans="1:5" ht="15.75">
      <c r="A6" s="69" t="s">
        <v>35</v>
      </c>
      <c r="B6" s="68" t="s">
        <v>351</v>
      </c>
      <c r="C6" s="68" t="s">
        <v>352</v>
      </c>
      <c r="D6" s="68" t="s">
        <v>353</v>
      </c>
      <c r="E6" s="70">
        <v>24990</v>
      </c>
    </row>
    <row r="7" spans="1:5" ht="15.75">
      <c r="A7" s="69" t="s">
        <v>39</v>
      </c>
      <c r="B7" s="68" t="s">
        <v>354</v>
      </c>
      <c r="C7" s="68" t="s">
        <v>352</v>
      </c>
      <c r="D7" s="68" t="s">
        <v>353</v>
      </c>
      <c r="E7" s="70">
        <v>24990</v>
      </c>
    </row>
    <row r="8" spans="1:5" ht="15.75">
      <c r="A8" s="69" t="s">
        <v>41</v>
      </c>
      <c r="B8" s="68" t="s">
        <v>355</v>
      </c>
      <c r="C8" s="68" t="s">
        <v>356</v>
      </c>
      <c r="D8" s="68" t="s">
        <v>357</v>
      </c>
      <c r="E8" s="70">
        <v>25990</v>
      </c>
    </row>
    <row r="9" spans="1:5" ht="15.75">
      <c r="A9" s="69" t="s">
        <v>47</v>
      </c>
      <c r="B9" s="68" t="s">
        <v>358</v>
      </c>
      <c r="C9" s="68" t="s">
        <v>356</v>
      </c>
      <c r="D9" s="68" t="s">
        <v>357</v>
      </c>
      <c r="E9" s="70">
        <v>25990</v>
      </c>
    </row>
    <row r="10" spans="1:5" ht="15.75">
      <c r="A10" s="69" t="s">
        <v>48</v>
      </c>
      <c r="B10" s="68" t="s">
        <v>359</v>
      </c>
      <c r="C10" s="68" t="s">
        <v>356</v>
      </c>
      <c r="D10" s="68" t="s">
        <v>357</v>
      </c>
      <c r="E10" s="70">
        <v>25990</v>
      </c>
    </row>
    <row r="11" spans="1:5" ht="15.75">
      <c r="A11" s="69" t="s">
        <v>49</v>
      </c>
      <c r="B11" s="68" t="s">
        <v>360</v>
      </c>
      <c r="C11" s="68" t="s">
        <v>352</v>
      </c>
      <c r="D11" s="68" t="s">
        <v>361</v>
      </c>
      <c r="E11" s="70">
        <v>25990</v>
      </c>
    </row>
    <row r="12" spans="1:5" ht="15.75">
      <c r="A12" s="69" t="s">
        <v>54</v>
      </c>
      <c r="B12" s="68" t="s">
        <v>362</v>
      </c>
      <c r="C12" s="68" t="s">
        <v>352</v>
      </c>
      <c r="D12" s="68" t="s">
        <v>361</v>
      </c>
      <c r="E12" s="70">
        <v>25990</v>
      </c>
    </row>
    <row r="13" spans="1:5" ht="15.75">
      <c r="A13" s="69" t="s">
        <v>55</v>
      </c>
      <c r="B13" s="68" t="s">
        <v>363</v>
      </c>
      <c r="C13" s="68" t="s">
        <v>352</v>
      </c>
      <c r="D13" s="68" t="s">
        <v>361</v>
      </c>
      <c r="E13" s="70">
        <v>25990</v>
      </c>
    </row>
    <row r="14" spans="1:5" ht="15.75">
      <c r="A14" s="69" t="s">
        <v>56</v>
      </c>
      <c r="B14" s="68" t="s">
        <v>364</v>
      </c>
      <c r="C14" s="68" t="s">
        <v>344</v>
      </c>
      <c r="D14" s="68" t="s">
        <v>345</v>
      </c>
      <c r="E14" s="70">
        <v>24990</v>
      </c>
    </row>
    <row r="15" spans="1:5" ht="15.75">
      <c r="A15" s="69" t="s">
        <v>60</v>
      </c>
      <c r="B15" s="68" t="s">
        <v>365</v>
      </c>
      <c r="C15" s="68" t="s">
        <v>344</v>
      </c>
      <c r="D15" s="68" t="s">
        <v>357</v>
      </c>
      <c r="E15" s="70">
        <v>25990</v>
      </c>
    </row>
    <row r="16" spans="1:5" ht="15.75">
      <c r="A16" s="69" t="s">
        <v>61</v>
      </c>
      <c r="B16" s="68" t="s">
        <v>366</v>
      </c>
      <c r="C16" s="68" t="s">
        <v>344</v>
      </c>
      <c r="D16" s="68" t="s">
        <v>357</v>
      </c>
      <c r="E16" s="70">
        <v>25990</v>
      </c>
    </row>
    <row r="17" spans="1:5" ht="15.75">
      <c r="A17" s="69" t="s">
        <v>62</v>
      </c>
      <c r="B17" s="68" t="s">
        <v>367</v>
      </c>
      <c r="C17" s="68" t="s">
        <v>344</v>
      </c>
      <c r="D17" s="68" t="s">
        <v>357</v>
      </c>
      <c r="E17" s="70">
        <v>25990</v>
      </c>
    </row>
    <row r="18" spans="1:5" ht="15.75">
      <c r="A18" s="69" t="s">
        <v>63</v>
      </c>
      <c r="B18" s="68" t="s">
        <v>368</v>
      </c>
      <c r="C18" s="68" t="s">
        <v>352</v>
      </c>
      <c r="D18" s="68" t="s">
        <v>345</v>
      </c>
      <c r="E18" s="70">
        <v>24990</v>
      </c>
    </row>
    <row r="19" spans="1:5" ht="15.75">
      <c r="A19" s="69" t="s">
        <v>64</v>
      </c>
      <c r="B19" s="68" t="s">
        <v>369</v>
      </c>
      <c r="C19" s="68" t="s">
        <v>352</v>
      </c>
      <c r="D19" s="68" t="s">
        <v>361</v>
      </c>
      <c r="E19" s="70">
        <v>25990</v>
      </c>
    </row>
    <row r="20" spans="1:5" ht="15.75">
      <c r="A20" s="69" t="s">
        <v>65</v>
      </c>
      <c r="B20" s="68" t="s">
        <v>370</v>
      </c>
      <c r="C20" s="68" t="s">
        <v>352</v>
      </c>
      <c r="D20" s="68" t="s">
        <v>361</v>
      </c>
      <c r="E20" s="70">
        <v>25990</v>
      </c>
    </row>
    <row r="21" spans="1:5" ht="15.75">
      <c r="A21" s="69" t="s">
        <v>66</v>
      </c>
      <c r="B21" s="68" t="s">
        <v>371</v>
      </c>
      <c r="C21" s="68" t="s">
        <v>344</v>
      </c>
      <c r="D21" s="68" t="s">
        <v>357</v>
      </c>
      <c r="E21" s="70">
        <v>25990</v>
      </c>
    </row>
    <row r="22" spans="1:5" ht="15.75">
      <c r="A22" s="69" t="s">
        <v>67</v>
      </c>
      <c r="B22" s="68" t="s">
        <v>372</v>
      </c>
      <c r="C22" s="68" t="s">
        <v>344</v>
      </c>
      <c r="D22" s="68" t="s">
        <v>357</v>
      </c>
      <c r="E22" s="70">
        <v>25990</v>
      </c>
    </row>
    <row r="23" spans="1:5" ht="15.75">
      <c r="A23" s="69" t="s">
        <v>69</v>
      </c>
      <c r="B23" s="68" t="s">
        <v>373</v>
      </c>
      <c r="C23" s="68" t="s">
        <v>344</v>
      </c>
      <c r="D23" s="68" t="s">
        <v>361</v>
      </c>
      <c r="E23" s="70">
        <v>25990</v>
      </c>
    </row>
    <row r="24" spans="1:5" ht="15.75">
      <c r="A24" s="69" t="s">
        <v>73</v>
      </c>
      <c r="B24" s="68" t="s">
        <v>374</v>
      </c>
      <c r="C24" s="68" t="s">
        <v>375</v>
      </c>
      <c r="D24" s="68" t="s">
        <v>361</v>
      </c>
      <c r="E24" s="70">
        <v>25990</v>
      </c>
    </row>
    <row r="25" spans="1:5" ht="15.75">
      <c r="A25" s="80" t="s">
        <v>77</v>
      </c>
      <c r="B25" s="81" t="s">
        <v>376</v>
      </c>
      <c r="C25" s="81" t="s">
        <v>375</v>
      </c>
      <c r="D25" s="81" t="s">
        <v>361</v>
      </c>
      <c r="E25" s="82">
        <v>25990</v>
      </c>
    </row>
    <row r="26" spans="1:5" ht="15.75">
      <c r="A26" s="80" t="s">
        <v>81</v>
      </c>
      <c r="B26" s="81" t="s">
        <v>377</v>
      </c>
      <c r="C26" s="81" t="s">
        <v>375</v>
      </c>
      <c r="D26" s="81" t="s">
        <v>361</v>
      </c>
      <c r="E26" s="82">
        <v>25990</v>
      </c>
    </row>
    <row r="27" spans="1:5" ht="15.75">
      <c r="A27" s="80" t="s">
        <v>83</v>
      </c>
      <c r="B27" s="83" t="s">
        <v>378</v>
      </c>
      <c r="C27" s="81" t="s">
        <v>375</v>
      </c>
      <c r="D27" s="81" t="s">
        <v>361</v>
      </c>
      <c r="E27" s="82">
        <v>27990</v>
      </c>
    </row>
    <row r="28" spans="1:5" ht="15.75">
      <c r="A28" s="84" t="s">
        <v>82</v>
      </c>
      <c r="B28" s="85" t="s">
        <v>379</v>
      </c>
      <c r="C28" s="86" t="s">
        <v>375</v>
      </c>
      <c r="D28" s="86" t="s">
        <v>361</v>
      </c>
      <c r="E28" s="87">
        <v>25990</v>
      </c>
    </row>
    <row r="29" spans="1:5" ht="15.75">
      <c r="A29" s="69" t="s">
        <v>84</v>
      </c>
      <c r="B29" s="68" t="s">
        <v>380</v>
      </c>
      <c r="C29" s="68" t="s">
        <v>344</v>
      </c>
      <c r="D29" s="68" t="s">
        <v>345</v>
      </c>
      <c r="E29" s="70">
        <v>24990</v>
      </c>
    </row>
    <row r="30" spans="1:5" ht="15.75">
      <c r="A30" s="69" t="s">
        <v>381</v>
      </c>
      <c r="B30" s="68" t="s">
        <v>382</v>
      </c>
      <c r="C30" s="68" t="s">
        <v>375</v>
      </c>
      <c r="D30" s="68" t="s">
        <v>357</v>
      </c>
      <c r="E30" s="70">
        <v>25990</v>
      </c>
    </row>
    <row r="31" spans="1:5" ht="15.75">
      <c r="A31" s="69" t="s">
        <v>86</v>
      </c>
      <c r="B31" s="68" t="s">
        <v>383</v>
      </c>
      <c r="C31" s="68" t="s">
        <v>344</v>
      </c>
      <c r="D31" s="68" t="s">
        <v>357</v>
      </c>
      <c r="E31" s="70">
        <v>25990</v>
      </c>
    </row>
    <row r="32" spans="1:5" ht="15.75">
      <c r="A32" s="69" t="s">
        <v>92</v>
      </c>
      <c r="B32" s="68" t="s">
        <v>384</v>
      </c>
      <c r="C32" s="68" t="s">
        <v>344</v>
      </c>
      <c r="D32" s="68" t="s">
        <v>357</v>
      </c>
      <c r="E32" s="70">
        <v>25990</v>
      </c>
    </row>
    <row r="33" spans="1:5" ht="15.75">
      <c r="A33" s="69" t="s">
        <v>94</v>
      </c>
      <c r="B33" s="68" t="s">
        <v>385</v>
      </c>
      <c r="C33" s="68" t="s">
        <v>344</v>
      </c>
      <c r="D33" s="68" t="s">
        <v>357</v>
      </c>
      <c r="E33" s="70">
        <v>25990</v>
      </c>
    </row>
    <row r="34" spans="1:5" ht="15.75">
      <c r="A34" s="69" t="s">
        <v>97</v>
      </c>
      <c r="B34" s="68" t="s">
        <v>386</v>
      </c>
      <c r="C34" s="68" t="s">
        <v>344</v>
      </c>
      <c r="D34" s="68" t="s">
        <v>345</v>
      </c>
      <c r="E34" s="70">
        <v>24990</v>
      </c>
    </row>
    <row r="35" spans="1:5" ht="15.75">
      <c r="A35" s="69" t="s">
        <v>103</v>
      </c>
      <c r="B35" s="68" t="s">
        <v>386</v>
      </c>
      <c r="C35" s="68" t="s">
        <v>344</v>
      </c>
      <c r="D35" s="68" t="s">
        <v>345</v>
      </c>
      <c r="E35" s="70">
        <v>24990</v>
      </c>
    </row>
    <row r="36" spans="1:5" ht="15.75">
      <c r="A36" s="69" t="s">
        <v>104</v>
      </c>
      <c r="B36" s="68" t="s">
        <v>387</v>
      </c>
      <c r="C36" s="68" t="s">
        <v>344</v>
      </c>
      <c r="D36" s="68" t="s">
        <v>345</v>
      </c>
      <c r="E36" s="70">
        <v>24990</v>
      </c>
    </row>
    <row r="37" spans="1:5" ht="15.75">
      <c r="A37" s="69" t="s">
        <v>388</v>
      </c>
      <c r="B37" s="68" t="s">
        <v>389</v>
      </c>
      <c r="C37" s="68" t="s">
        <v>344</v>
      </c>
      <c r="D37" s="68" t="s">
        <v>345</v>
      </c>
      <c r="E37" s="70">
        <v>24990</v>
      </c>
    </row>
    <row r="38" spans="1:5" ht="15.75">
      <c r="A38" s="69" t="s">
        <v>105</v>
      </c>
      <c r="B38" s="68" t="s">
        <v>390</v>
      </c>
      <c r="C38" s="68" t="s">
        <v>344</v>
      </c>
      <c r="D38" s="68" t="s">
        <v>345</v>
      </c>
      <c r="E38" s="70">
        <v>24990</v>
      </c>
    </row>
    <row r="39" spans="1:5" ht="15.75">
      <c r="A39" s="69" t="s">
        <v>109</v>
      </c>
      <c r="B39" s="68" t="s">
        <v>391</v>
      </c>
      <c r="C39" s="68" t="s">
        <v>344</v>
      </c>
      <c r="D39" s="68" t="s">
        <v>353</v>
      </c>
      <c r="E39" s="70">
        <v>24990</v>
      </c>
    </row>
    <row r="40" spans="1:5" ht="15.75">
      <c r="A40" s="69" t="s">
        <v>115</v>
      </c>
      <c r="B40" s="68" t="s">
        <v>392</v>
      </c>
      <c r="C40" s="68" t="s">
        <v>344</v>
      </c>
      <c r="D40" s="68" t="s">
        <v>353</v>
      </c>
      <c r="E40" s="70">
        <v>24990</v>
      </c>
    </row>
    <row r="41" spans="1:5" ht="15.75">
      <c r="A41" s="69" t="s">
        <v>117</v>
      </c>
      <c r="B41" s="68" t="s">
        <v>393</v>
      </c>
      <c r="C41" s="68" t="s">
        <v>344</v>
      </c>
      <c r="D41" s="68" t="s">
        <v>353</v>
      </c>
      <c r="E41" s="70">
        <v>27990</v>
      </c>
    </row>
    <row r="42" spans="1:5" ht="15.75">
      <c r="A42" s="69" t="s">
        <v>119</v>
      </c>
      <c r="B42" s="68" t="s">
        <v>394</v>
      </c>
      <c r="C42" s="68" t="s">
        <v>395</v>
      </c>
      <c r="D42" s="68" t="s">
        <v>345</v>
      </c>
      <c r="E42" s="70">
        <v>24990</v>
      </c>
    </row>
    <row r="43" spans="1:5" ht="15.75">
      <c r="A43" s="69">
        <v>4223</v>
      </c>
      <c r="B43" s="68" t="s">
        <v>396</v>
      </c>
      <c r="C43" s="68" t="s">
        <v>375</v>
      </c>
      <c r="D43" s="68" t="s">
        <v>357</v>
      </c>
      <c r="E43" s="70">
        <v>25990</v>
      </c>
    </row>
    <row r="44" spans="1:5" ht="15.75">
      <c r="A44" s="69" t="s">
        <v>128</v>
      </c>
      <c r="B44" s="68" t="s">
        <v>397</v>
      </c>
      <c r="C44" s="68" t="s">
        <v>352</v>
      </c>
      <c r="D44" s="68" t="s">
        <v>361</v>
      </c>
      <c r="E44" s="70">
        <v>25990</v>
      </c>
    </row>
    <row r="45" spans="1:5" ht="15.75">
      <c r="A45" s="69" t="s">
        <v>129</v>
      </c>
      <c r="B45" s="68" t="s">
        <v>398</v>
      </c>
      <c r="C45" s="68" t="s">
        <v>352</v>
      </c>
      <c r="D45" s="68" t="s">
        <v>361</v>
      </c>
      <c r="E45" s="70">
        <v>25990</v>
      </c>
    </row>
    <row r="46" spans="1:5" ht="15.75">
      <c r="A46" s="69" t="s">
        <v>130</v>
      </c>
      <c r="B46" s="68" t="s">
        <v>399</v>
      </c>
      <c r="C46" s="68" t="s">
        <v>375</v>
      </c>
      <c r="D46" s="68" t="s">
        <v>357</v>
      </c>
      <c r="E46" s="70">
        <v>25990</v>
      </c>
    </row>
    <row r="47" spans="1:5" ht="15.75">
      <c r="A47" s="69" t="s">
        <v>133</v>
      </c>
      <c r="B47" s="68" t="s">
        <v>400</v>
      </c>
      <c r="C47" s="68" t="s">
        <v>375</v>
      </c>
      <c r="D47" s="68" t="s">
        <v>357</v>
      </c>
      <c r="E47" s="70">
        <v>25990</v>
      </c>
    </row>
    <row r="48" spans="1:5" ht="15.75">
      <c r="A48" s="69" t="s">
        <v>135</v>
      </c>
      <c r="B48" s="65" t="s">
        <v>401</v>
      </c>
      <c r="C48" s="68" t="s">
        <v>352</v>
      </c>
      <c r="D48" s="68" t="s">
        <v>345</v>
      </c>
      <c r="E48" s="70">
        <v>24990</v>
      </c>
    </row>
    <row r="49" spans="1:5" ht="15.75">
      <c r="A49" s="69" t="s">
        <v>139</v>
      </c>
      <c r="B49" s="65" t="s">
        <v>401</v>
      </c>
      <c r="C49" s="68" t="s">
        <v>352</v>
      </c>
      <c r="D49" s="68" t="s">
        <v>345</v>
      </c>
      <c r="E49" s="70">
        <v>24990</v>
      </c>
    </row>
    <row r="50" spans="1:5" ht="15.75">
      <c r="A50" s="69" t="s">
        <v>140</v>
      </c>
      <c r="B50" s="68" t="s">
        <v>402</v>
      </c>
      <c r="C50" s="68" t="s">
        <v>344</v>
      </c>
      <c r="D50" s="68" t="s">
        <v>403</v>
      </c>
      <c r="E50" s="70">
        <v>24990</v>
      </c>
    </row>
    <row r="51" spans="1:5" ht="15.75">
      <c r="A51" s="69" t="s">
        <v>144</v>
      </c>
      <c r="B51" s="68" t="s">
        <v>404</v>
      </c>
      <c r="C51" s="68" t="s">
        <v>344</v>
      </c>
      <c r="D51" s="68" t="s">
        <v>403</v>
      </c>
      <c r="E51" s="70">
        <v>24990</v>
      </c>
    </row>
    <row r="52" spans="1:5" ht="15.75">
      <c r="A52" s="69">
        <v>4228</v>
      </c>
      <c r="B52" s="68" t="s">
        <v>405</v>
      </c>
      <c r="C52" s="68" t="s">
        <v>356</v>
      </c>
      <c r="D52" s="68" t="s">
        <v>357</v>
      </c>
      <c r="E52" s="70">
        <v>25990</v>
      </c>
    </row>
    <row r="53" spans="1:5" ht="15.75">
      <c r="A53" s="69">
        <v>4229</v>
      </c>
      <c r="B53" s="68" t="s">
        <v>406</v>
      </c>
      <c r="C53" s="68" t="s">
        <v>375</v>
      </c>
      <c r="D53" s="68" t="s">
        <v>345</v>
      </c>
      <c r="E53" s="70">
        <v>24990</v>
      </c>
    </row>
    <row r="54" spans="1:5" ht="15.75">
      <c r="A54" s="69">
        <v>4230</v>
      </c>
      <c r="B54" s="68" t="s">
        <v>407</v>
      </c>
      <c r="C54" s="68" t="s">
        <v>375</v>
      </c>
      <c r="D54" s="68" t="s">
        <v>408</v>
      </c>
      <c r="E54" s="70">
        <v>26990</v>
      </c>
    </row>
    <row r="55" spans="1:5" ht="15.75">
      <c r="A55" s="69">
        <v>4232</v>
      </c>
      <c r="B55" s="68" t="s">
        <v>409</v>
      </c>
      <c r="C55" s="68" t="s">
        <v>375</v>
      </c>
      <c r="D55" s="68" t="s">
        <v>361</v>
      </c>
      <c r="E55" s="70">
        <v>25990</v>
      </c>
    </row>
    <row r="56" spans="1:5" ht="15.75">
      <c r="A56" s="69" t="s">
        <v>165</v>
      </c>
      <c r="B56" s="68" t="s">
        <v>410</v>
      </c>
      <c r="C56" s="68" t="s">
        <v>375</v>
      </c>
      <c r="D56" s="68" t="s">
        <v>353</v>
      </c>
      <c r="E56" s="70">
        <v>24990</v>
      </c>
    </row>
    <row r="57" spans="1:5" ht="15.75">
      <c r="A57" s="69" t="s">
        <v>163</v>
      </c>
      <c r="B57" s="68" t="s">
        <v>411</v>
      </c>
      <c r="C57" s="68" t="s">
        <v>375</v>
      </c>
      <c r="D57" s="68" t="s">
        <v>353</v>
      </c>
      <c r="E57" s="70">
        <v>24990</v>
      </c>
    </row>
    <row r="58" spans="1:5" ht="15.75">
      <c r="A58" s="69" t="s">
        <v>167</v>
      </c>
      <c r="B58" s="68" t="s">
        <v>412</v>
      </c>
      <c r="C58" s="68" t="s">
        <v>375</v>
      </c>
      <c r="D58" s="68" t="s">
        <v>353</v>
      </c>
      <c r="E58" s="70">
        <v>24990</v>
      </c>
    </row>
    <row r="59" spans="1:5" ht="15.75">
      <c r="A59" s="69" t="s">
        <v>169</v>
      </c>
      <c r="B59" s="68" t="s">
        <v>413</v>
      </c>
      <c r="C59" s="68" t="s">
        <v>375</v>
      </c>
      <c r="D59" s="68" t="s">
        <v>353</v>
      </c>
      <c r="E59" s="70">
        <v>24990</v>
      </c>
    </row>
    <row r="60" spans="1:5" ht="15.75">
      <c r="A60" s="69" t="s">
        <v>171</v>
      </c>
      <c r="B60" s="68" t="s">
        <v>414</v>
      </c>
      <c r="C60" s="68" t="s">
        <v>375</v>
      </c>
      <c r="D60" s="68" t="s">
        <v>353</v>
      </c>
      <c r="E60" s="70">
        <v>24990</v>
      </c>
    </row>
    <row r="61" spans="1:5" ht="15.75">
      <c r="A61" s="69" t="s">
        <v>174</v>
      </c>
      <c r="B61" s="67" t="s">
        <v>415</v>
      </c>
      <c r="C61" s="68" t="s">
        <v>375</v>
      </c>
      <c r="D61" s="68" t="s">
        <v>357</v>
      </c>
      <c r="E61" s="70">
        <v>25990</v>
      </c>
    </row>
    <row r="62" spans="1:5" ht="15.75">
      <c r="A62" s="69" t="s">
        <v>175</v>
      </c>
      <c r="B62" s="68" t="s">
        <v>416</v>
      </c>
      <c r="C62" s="68" t="s">
        <v>375</v>
      </c>
      <c r="D62" s="68" t="s">
        <v>357</v>
      </c>
      <c r="E62" s="70">
        <v>25990</v>
      </c>
    </row>
    <row r="63" spans="1:5" ht="15.75">
      <c r="A63" s="69" t="s">
        <v>176</v>
      </c>
      <c r="B63" s="68" t="s">
        <v>417</v>
      </c>
      <c r="C63" s="68" t="s">
        <v>375</v>
      </c>
      <c r="D63" s="68" t="s">
        <v>357</v>
      </c>
      <c r="E63" s="70">
        <v>25990</v>
      </c>
    </row>
    <row r="64" spans="1:5" ht="15.75">
      <c r="A64" s="69" t="s">
        <v>177</v>
      </c>
      <c r="B64" s="68" t="s">
        <v>413</v>
      </c>
      <c r="C64" s="68" t="s">
        <v>375</v>
      </c>
      <c r="D64" s="68" t="s">
        <v>357</v>
      </c>
      <c r="E64" s="70">
        <v>25990</v>
      </c>
    </row>
    <row r="65" spans="1:5" ht="15.75">
      <c r="A65" s="69" t="s">
        <v>178</v>
      </c>
      <c r="B65" s="68" t="s">
        <v>414</v>
      </c>
      <c r="C65" s="68" t="s">
        <v>375</v>
      </c>
      <c r="D65" s="68" t="s">
        <v>357</v>
      </c>
      <c r="E65" s="70">
        <v>25990</v>
      </c>
    </row>
    <row r="66" spans="1:5" ht="15.75">
      <c r="A66" s="69" t="s">
        <v>179</v>
      </c>
      <c r="B66" s="66" t="s">
        <v>418</v>
      </c>
      <c r="C66" s="68" t="s">
        <v>344</v>
      </c>
      <c r="D66" s="68" t="s">
        <v>345</v>
      </c>
      <c r="E66" s="70">
        <v>24990</v>
      </c>
    </row>
    <row r="67" spans="1:5" ht="15.75">
      <c r="A67" s="69" t="s">
        <v>182</v>
      </c>
      <c r="B67" s="68" t="s">
        <v>419</v>
      </c>
      <c r="C67" s="68" t="s">
        <v>344</v>
      </c>
      <c r="D67" s="68" t="s">
        <v>408</v>
      </c>
      <c r="E67" s="70">
        <v>26990</v>
      </c>
    </row>
    <row r="68" spans="1:5" ht="15.75">
      <c r="A68" s="69" t="s">
        <v>183</v>
      </c>
      <c r="B68" s="68" t="s">
        <v>420</v>
      </c>
      <c r="C68" s="68" t="s">
        <v>344</v>
      </c>
      <c r="D68" s="68" t="s">
        <v>408</v>
      </c>
      <c r="E68" s="70">
        <v>26990</v>
      </c>
    </row>
    <row r="69" spans="1:5" ht="15.75">
      <c r="A69" s="69" t="s">
        <v>186</v>
      </c>
      <c r="B69" s="68" t="s">
        <v>421</v>
      </c>
      <c r="C69" s="68" t="s">
        <v>375</v>
      </c>
      <c r="D69" s="68" t="s">
        <v>357</v>
      </c>
      <c r="E69" s="70">
        <v>25990</v>
      </c>
    </row>
    <row r="70" spans="1:5" ht="15.75">
      <c r="A70" s="69" t="s">
        <v>191</v>
      </c>
      <c r="B70" s="68" t="s">
        <v>422</v>
      </c>
      <c r="C70" s="68" t="s">
        <v>344</v>
      </c>
      <c r="D70" s="68" t="s">
        <v>345</v>
      </c>
      <c r="E70" s="70">
        <v>24990</v>
      </c>
    </row>
    <row r="71" spans="1:5" ht="15.75">
      <c r="A71" s="69" t="s">
        <v>195</v>
      </c>
      <c r="B71" s="68" t="s">
        <v>423</v>
      </c>
      <c r="C71" s="68" t="s">
        <v>344</v>
      </c>
      <c r="D71" s="68" t="s">
        <v>408</v>
      </c>
      <c r="E71" s="70">
        <v>26990</v>
      </c>
    </row>
    <row r="72" spans="1:5" ht="15.75">
      <c r="A72" s="69" t="s">
        <v>198</v>
      </c>
      <c r="B72" s="68" t="s">
        <v>424</v>
      </c>
      <c r="C72" s="68" t="s">
        <v>344</v>
      </c>
      <c r="D72" s="68" t="s">
        <v>345</v>
      </c>
      <c r="E72" s="70">
        <v>24990</v>
      </c>
    </row>
    <row r="73" spans="1:5" ht="15.75">
      <c r="A73" s="69" t="s">
        <v>425</v>
      </c>
      <c r="B73" s="68" t="s">
        <v>426</v>
      </c>
      <c r="C73" s="68" t="s">
        <v>344</v>
      </c>
      <c r="D73" s="68" t="s">
        <v>345</v>
      </c>
      <c r="E73" s="70">
        <v>24990</v>
      </c>
    </row>
    <row r="74" spans="1:5" ht="15.75">
      <c r="A74" s="69" t="s">
        <v>203</v>
      </c>
      <c r="B74" s="68" t="s">
        <v>427</v>
      </c>
      <c r="C74" s="68" t="s">
        <v>344</v>
      </c>
      <c r="D74" s="68" t="s">
        <v>345</v>
      </c>
      <c r="E74" s="70">
        <v>24990</v>
      </c>
    </row>
    <row r="75" spans="1:5" ht="15.75">
      <c r="A75" s="69" t="s">
        <v>206</v>
      </c>
      <c r="B75" s="68" t="s">
        <v>428</v>
      </c>
      <c r="C75" s="68" t="s">
        <v>344</v>
      </c>
      <c r="D75" s="68" t="s">
        <v>345</v>
      </c>
      <c r="E75" s="70">
        <v>24990</v>
      </c>
    </row>
    <row r="76" spans="1:5" ht="15.75">
      <c r="A76" s="69" t="s">
        <v>209</v>
      </c>
      <c r="B76" s="68" t="s">
        <v>429</v>
      </c>
      <c r="C76" s="68" t="s">
        <v>344</v>
      </c>
      <c r="D76" s="68" t="s">
        <v>353</v>
      </c>
      <c r="E76" s="70">
        <v>24990</v>
      </c>
    </row>
    <row r="77" spans="1:5" ht="15.75">
      <c r="A77" s="69" t="s">
        <v>212</v>
      </c>
      <c r="B77" s="68" t="s">
        <v>430</v>
      </c>
      <c r="C77" s="68" t="s">
        <v>375</v>
      </c>
      <c r="D77" s="68" t="s">
        <v>350</v>
      </c>
      <c r="E77" s="70">
        <v>25990</v>
      </c>
    </row>
    <row r="78" spans="1:5" ht="15.75">
      <c r="A78" s="69" t="s">
        <v>217</v>
      </c>
      <c r="B78" s="68" t="s">
        <v>431</v>
      </c>
      <c r="C78" s="68" t="s">
        <v>375</v>
      </c>
      <c r="D78" s="68" t="s">
        <v>350</v>
      </c>
      <c r="E78" s="70">
        <v>25990</v>
      </c>
    </row>
    <row r="79" spans="1:5" ht="15.75">
      <c r="A79" s="69" t="s">
        <v>218</v>
      </c>
      <c r="B79" s="68" t="s">
        <v>432</v>
      </c>
      <c r="C79" s="68" t="s">
        <v>375</v>
      </c>
      <c r="D79" s="68" t="s">
        <v>350</v>
      </c>
      <c r="E79" s="70">
        <v>25990</v>
      </c>
    </row>
    <row r="80" spans="1:5" ht="15.75">
      <c r="A80" s="69" t="s">
        <v>220</v>
      </c>
      <c r="B80" s="68" t="s">
        <v>433</v>
      </c>
      <c r="C80" s="68" t="s">
        <v>344</v>
      </c>
      <c r="D80" s="68" t="s">
        <v>350</v>
      </c>
      <c r="E80" s="70">
        <v>27990</v>
      </c>
    </row>
    <row r="81" spans="1:5" ht="15.75">
      <c r="A81" s="69" t="s">
        <v>222</v>
      </c>
      <c r="B81" s="68" t="s">
        <v>434</v>
      </c>
      <c r="C81" s="68" t="s">
        <v>344</v>
      </c>
      <c r="D81" s="68" t="s">
        <v>350</v>
      </c>
      <c r="E81" s="70">
        <v>27990</v>
      </c>
    </row>
    <row r="82" spans="1:5" ht="15.75">
      <c r="A82" s="69" t="s">
        <v>435</v>
      </c>
      <c r="B82" s="68" t="s">
        <v>365</v>
      </c>
      <c r="C82" s="68" t="s">
        <v>344</v>
      </c>
      <c r="D82" s="68" t="s">
        <v>357</v>
      </c>
      <c r="E82" s="70">
        <v>25990</v>
      </c>
    </row>
    <row r="83" spans="1:5" ht="15.75">
      <c r="A83" s="69" t="s">
        <v>223</v>
      </c>
      <c r="B83" s="68" t="s">
        <v>436</v>
      </c>
      <c r="C83" s="68" t="s">
        <v>344</v>
      </c>
      <c r="D83" s="68" t="s">
        <v>350</v>
      </c>
      <c r="E83" s="70">
        <v>25990</v>
      </c>
    </row>
    <row r="84" spans="1:5" ht="15.75">
      <c r="A84" s="69">
        <v>4256</v>
      </c>
      <c r="B84" s="65" t="s">
        <v>437</v>
      </c>
      <c r="C84" s="68" t="s">
        <v>375</v>
      </c>
      <c r="D84" s="68" t="s">
        <v>408</v>
      </c>
      <c r="E84" s="70">
        <v>25990</v>
      </c>
    </row>
    <row r="85" spans="1:5" ht="15.75">
      <c r="A85" s="69" t="s">
        <v>228</v>
      </c>
      <c r="B85" s="68" t="s">
        <v>438</v>
      </c>
      <c r="C85" s="68" t="s">
        <v>375</v>
      </c>
      <c r="D85" s="68" t="s">
        <v>350</v>
      </c>
      <c r="E85" s="70">
        <v>25990</v>
      </c>
    </row>
    <row r="86" spans="1:5" ht="15.75">
      <c r="A86" s="69" t="s">
        <v>229</v>
      </c>
      <c r="B86" s="68" t="s">
        <v>439</v>
      </c>
      <c r="C86" s="68" t="s">
        <v>375</v>
      </c>
      <c r="D86" s="68" t="s">
        <v>350</v>
      </c>
      <c r="E86" s="70">
        <v>25990</v>
      </c>
    </row>
    <row r="87" spans="1:5" ht="15.75">
      <c r="A87" s="69" t="s">
        <v>230</v>
      </c>
      <c r="B87" s="68" t="s">
        <v>440</v>
      </c>
      <c r="C87" s="68" t="s">
        <v>375</v>
      </c>
      <c r="D87" s="68" t="s">
        <v>350</v>
      </c>
      <c r="E87" s="70">
        <v>25990</v>
      </c>
    </row>
    <row r="88" spans="1:5" ht="15.75">
      <c r="A88" s="69" t="s">
        <v>231</v>
      </c>
      <c r="B88" s="68" t="s">
        <v>441</v>
      </c>
      <c r="C88" s="68" t="s">
        <v>375</v>
      </c>
      <c r="D88" s="68" t="s">
        <v>350</v>
      </c>
      <c r="E88" s="70">
        <v>25990</v>
      </c>
    </row>
    <row r="89" spans="1:5" ht="15.75">
      <c r="A89" s="69" t="s">
        <v>59</v>
      </c>
      <c r="B89" s="68" t="s">
        <v>442</v>
      </c>
      <c r="C89" s="68" t="s">
        <v>352</v>
      </c>
      <c r="D89" s="68" t="s">
        <v>361</v>
      </c>
      <c r="E89" s="70">
        <v>25990</v>
      </c>
    </row>
  </sheetData>
  <conditionalFormatting sqref="A69:A8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5F79-0358-44EE-8ECB-568AB0C9B510}">
  <sheetPr>
    <tabColor theme="8" tint="-0.249977111117893"/>
  </sheetPr>
  <dimension ref="A1:O53"/>
  <sheetViews>
    <sheetView topLeftCell="A29" workbookViewId="0">
      <selection activeCell="T48" sqref="T48"/>
    </sheetView>
  </sheetViews>
  <sheetFormatPr defaultColWidth="11.42578125" defaultRowHeight="15"/>
  <cols>
    <col min="1" max="1" width="8.5703125" bestFit="1" customWidth="1"/>
    <col min="2" max="2" width="9" bestFit="1" customWidth="1"/>
    <col min="3" max="3" width="4.5703125" bestFit="1" customWidth="1"/>
    <col min="4" max="4" width="22.85546875" bestFit="1" customWidth="1"/>
    <col min="5" max="5" width="5.5703125" bestFit="1" customWidth="1"/>
    <col min="6" max="6" width="8.85546875" bestFit="1" customWidth="1"/>
    <col min="7" max="7" width="3" bestFit="1" customWidth="1"/>
    <col min="8" max="13" width="5.140625" bestFit="1" customWidth="1"/>
    <col min="15" max="15" width="6.14062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10</v>
      </c>
      <c r="B3" s="38" t="s">
        <v>11</v>
      </c>
      <c r="C3" s="9" t="s">
        <v>12</v>
      </c>
      <c r="D3" s="9" t="s">
        <v>13</v>
      </c>
      <c r="E3" s="10"/>
      <c r="F3" s="11" t="s">
        <v>14</v>
      </c>
      <c r="G3" s="11"/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>+A3</f>
        <v>4201-00</v>
      </c>
      <c r="B4" s="39" t="s">
        <v>16</v>
      </c>
      <c r="C4" s="39"/>
      <c r="D4" s="39"/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>+A4</f>
        <v>4201-00</v>
      </c>
      <c r="B5" s="3">
        <v>45979</v>
      </c>
      <c r="C5" s="4" t="s">
        <v>17</v>
      </c>
      <c r="D5" s="4" t="s">
        <v>18</v>
      </c>
      <c r="E5" s="5" t="s">
        <v>3</v>
      </c>
      <c r="F5" s="29">
        <v>11507</v>
      </c>
      <c r="G5" s="2"/>
      <c r="H5" s="7">
        <v>39</v>
      </c>
      <c r="I5" s="7">
        <v>59</v>
      </c>
      <c r="J5" s="7">
        <v>62</v>
      </c>
      <c r="K5" s="7">
        <v>59</v>
      </c>
      <c r="L5" s="7">
        <v>39</v>
      </c>
      <c r="M5" s="7">
        <v>23</v>
      </c>
      <c r="N5" s="8"/>
      <c r="O5" s="14">
        <f>SUM(H5:N5)</f>
        <v>281</v>
      </c>
    </row>
    <row r="6" spans="1:15" ht="20.25" thickTop="1" thickBot="1">
      <c r="A6" s="33" t="str">
        <f>+A5</f>
        <v>4201-00</v>
      </c>
      <c r="B6" s="3"/>
      <c r="C6" s="3"/>
      <c r="D6" s="53" t="s">
        <v>443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/>
    </row>
    <row r="7" spans="1:15" ht="20.25" thickTop="1" thickBot="1">
      <c r="A7" s="33" t="str">
        <f>+A6</f>
        <v>4201-00</v>
      </c>
      <c r="B7" s="3"/>
      <c r="C7" s="3"/>
      <c r="D7" s="53" t="s">
        <v>444</v>
      </c>
      <c r="E7" s="5" t="s">
        <v>3</v>
      </c>
      <c r="F7" s="31"/>
      <c r="G7" s="6"/>
      <c r="H7" s="15"/>
      <c r="I7" s="15"/>
      <c r="J7" s="15"/>
      <c r="K7" s="15"/>
      <c r="L7" s="15"/>
      <c r="M7" s="15"/>
      <c r="N7" s="15"/>
      <c r="O7" s="16"/>
    </row>
    <row r="8" spans="1:15" ht="15.75" thickTop="1">
      <c r="D8" s="61" t="s">
        <v>445</v>
      </c>
    </row>
    <row r="10" spans="1:15" ht="15.75" thickBot="1"/>
    <row r="11" spans="1:15" ht="16.5" thickTop="1" thickBot="1">
      <c r="A11" s="42" t="s">
        <v>7</v>
      </c>
      <c r="B11" s="43" t="s">
        <v>8</v>
      </c>
      <c r="C11" s="43"/>
      <c r="D11" s="43"/>
      <c r="E11" s="44" t="s">
        <v>9</v>
      </c>
      <c r="F11" s="45"/>
      <c r="G11" s="45"/>
      <c r="H11" s="44"/>
      <c r="I11" s="44"/>
      <c r="J11" s="44"/>
      <c r="K11" s="44"/>
      <c r="L11" s="44"/>
      <c r="M11" s="44"/>
      <c r="N11" s="44"/>
      <c r="O11" s="44"/>
    </row>
    <row r="12" spans="1:15" ht="17.25" thickTop="1" thickBot="1">
      <c r="A12" s="32" t="s">
        <v>24</v>
      </c>
      <c r="B12" s="38" t="s">
        <v>11</v>
      </c>
      <c r="C12" s="9" t="s">
        <v>12</v>
      </c>
      <c r="D12" s="9" t="s">
        <v>13</v>
      </c>
      <c r="E12" s="10"/>
      <c r="F12" s="11" t="s">
        <v>14</v>
      </c>
      <c r="G12" s="11"/>
      <c r="H12" s="12">
        <v>36</v>
      </c>
      <c r="I12" s="12">
        <v>38</v>
      </c>
      <c r="J12" s="12">
        <v>40</v>
      </c>
      <c r="K12" s="12">
        <v>42</v>
      </c>
      <c r="L12" s="12">
        <v>44</v>
      </c>
      <c r="M12" s="12">
        <v>46</v>
      </c>
      <c r="N12" s="12"/>
      <c r="O12" s="13" t="s">
        <v>15</v>
      </c>
    </row>
    <row r="13" spans="1:15" ht="16.5" thickTop="1" thickBot="1">
      <c r="A13" s="33" t="str">
        <f>+A12</f>
        <v>4201-01</v>
      </c>
      <c r="B13" s="39" t="s">
        <v>16</v>
      </c>
      <c r="C13" s="39"/>
      <c r="D13" s="39"/>
      <c r="E13" s="40"/>
      <c r="F13" s="41" t="s">
        <v>1</v>
      </c>
      <c r="G13" s="41"/>
      <c r="H13" s="50"/>
      <c r="I13" s="50"/>
      <c r="J13" s="50"/>
      <c r="K13" s="50"/>
      <c r="L13" s="50"/>
      <c r="M13" s="50"/>
      <c r="N13" s="50"/>
      <c r="O13" s="51"/>
    </row>
    <row r="14" spans="1:15" ht="20.25" thickTop="1" thickBot="1">
      <c r="A14" s="33" t="str">
        <f>+A13</f>
        <v>4201-01</v>
      </c>
      <c r="B14" s="3">
        <v>45979</v>
      </c>
      <c r="C14" s="4" t="s">
        <v>17</v>
      </c>
      <c r="D14" s="4" t="s">
        <v>18</v>
      </c>
      <c r="E14" s="5" t="s">
        <v>3</v>
      </c>
      <c r="F14" s="29">
        <v>11507</v>
      </c>
      <c r="G14" s="2"/>
      <c r="H14" s="7">
        <v>39</v>
      </c>
      <c r="I14" s="7">
        <v>59</v>
      </c>
      <c r="J14" s="7">
        <v>62</v>
      </c>
      <c r="K14" s="7">
        <v>59</v>
      </c>
      <c r="L14" s="7">
        <v>39</v>
      </c>
      <c r="M14" s="7">
        <v>23</v>
      </c>
      <c r="N14" s="8"/>
      <c r="O14" s="14">
        <f>SUM(H14:N14)</f>
        <v>281</v>
      </c>
    </row>
    <row r="15" spans="1:15" ht="20.25" thickTop="1" thickBot="1">
      <c r="A15" s="33" t="str">
        <f>+A14</f>
        <v>4201-01</v>
      </c>
      <c r="B15" s="3"/>
      <c r="C15" s="3"/>
      <c r="D15" s="53" t="s">
        <v>443</v>
      </c>
      <c r="E15" s="5" t="s">
        <v>3</v>
      </c>
      <c r="F15" s="31"/>
      <c r="G15" s="6"/>
      <c r="H15" s="7"/>
      <c r="I15" s="7"/>
      <c r="J15" s="7"/>
      <c r="K15" s="7"/>
      <c r="L15" s="7"/>
      <c r="M15" s="7"/>
      <c r="N15" s="15"/>
      <c r="O15" s="14"/>
    </row>
    <row r="16" spans="1:15" ht="20.25" thickTop="1" thickBot="1">
      <c r="A16" s="33" t="str">
        <f>+A15</f>
        <v>4201-01</v>
      </c>
      <c r="B16" s="3"/>
      <c r="C16" s="3"/>
      <c r="D16" s="53" t="s">
        <v>446</v>
      </c>
      <c r="E16" s="5" t="s">
        <v>3</v>
      </c>
      <c r="F16" s="31"/>
      <c r="G16" s="6"/>
      <c r="H16" s="15"/>
      <c r="I16" s="15"/>
      <c r="J16" s="15"/>
      <c r="K16" s="15"/>
      <c r="L16" s="15"/>
      <c r="M16" s="15"/>
      <c r="N16" s="15"/>
      <c r="O16" s="23"/>
    </row>
    <row r="17" spans="1:15" ht="19.5" thickTop="1">
      <c r="O17" s="55">
        <f>SUM(O5:O16)</f>
        <v>562</v>
      </c>
    </row>
    <row r="19" spans="1:15" ht="15.75" thickBot="1"/>
    <row r="20" spans="1:15" ht="16.5" thickTop="1" thickBot="1">
      <c r="A20" s="254" t="s">
        <v>7</v>
      </c>
      <c r="B20" s="43" t="s">
        <v>8</v>
      </c>
      <c r="C20" s="43"/>
      <c r="D20" s="43"/>
      <c r="E20" s="44" t="s">
        <v>9</v>
      </c>
      <c r="F20" s="45"/>
      <c r="G20" s="45"/>
      <c r="H20" s="44"/>
      <c r="I20" s="44"/>
      <c r="J20" s="44"/>
      <c r="K20" s="44"/>
      <c r="L20" s="44"/>
      <c r="M20" s="44"/>
      <c r="N20" s="44"/>
      <c r="O20" s="44"/>
    </row>
    <row r="21" spans="1:15" ht="16.5" thickTop="1" thickBot="1">
      <c r="A21" s="255" t="s">
        <v>10</v>
      </c>
      <c r="B21" s="38" t="s">
        <v>11</v>
      </c>
      <c r="C21" s="9" t="s">
        <v>12</v>
      </c>
      <c r="D21" s="9" t="s">
        <v>13</v>
      </c>
      <c r="E21" s="10"/>
      <c r="F21" s="256" t="s">
        <v>14</v>
      </c>
      <c r="G21" s="257">
        <v>34</v>
      </c>
      <c r="H21" s="257">
        <v>36</v>
      </c>
      <c r="I21" s="257">
        <v>38</v>
      </c>
      <c r="J21" s="257">
        <v>40</v>
      </c>
      <c r="K21" s="257">
        <v>42</v>
      </c>
      <c r="L21" s="257">
        <v>44</v>
      </c>
      <c r="M21" s="257">
        <v>46</v>
      </c>
      <c r="N21" s="257"/>
      <c r="O21" s="258" t="s">
        <v>15</v>
      </c>
    </row>
    <row r="22" spans="1:15" ht="16.5" thickTop="1" thickBot="1">
      <c r="A22" s="260" t="str">
        <f t="shared" ref="A22:A25" si="0">+A21</f>
        <v>4201-00</v>
      </c>
      <c r="B22" s="39" t="s">
        <v>16</v>
      </c>
      <c r="C22" s="39"/>
      <c r="D22" s="39"/>
      <c r="E22" s="40"/>
      <c r="F22" s="261" t="s">
        <v>1</v>
      </c>
      <c r="G22" s="261"/>
      <c r="H22" s="262"/>
      <c r="I22" s="262"/>
      <c r="J22" s="262"/>
      <c r="K22" s="262"/>
      <c r="L22" s="262"/>
      <c r="M22" s="262"/>
      <c r="N22" s="262"/>
      <c r="O22" s="263"/>
    </row>
    <row r="23" spans="1:15" ht="16.5" thickTop="1" thickBot="1">
      <c r="A23" s="260" t="str">
        <f t="shared" si="0"/>
        <v>4201-00</v>
      </c>
      <c r="B23" s="3"/>
      <c r="C23" s="4" t="s">
        <v>17</v>
      </c>
      <c r="D23" s="4" t="s">
        <v>18</v>
      </c>
      <c r="E23" s="5" t="s">
        <v>3</v>
      </c>
      <c r="F23" s="265"/>
      <c r="G23" s="2"/>
      <c r="H23" s="7"/>
      <c r="I23" s="7"/>
      <c r="J23" s="7"/>
      <c r="K23" s="7"/>
      <c r="L23" s="7"/>
      <c r="M23" s="7"/>
      <c r="N23" s="8"/>
      <c r="O23" s="14"/>
    </row>
    <row r="24" spans="1:15" ht="16.5" thickTop="1" thickBot="1">
      <c r="A24" s="260" t="str">
        <f t="shared" si="0"/>
        <v>4201-00</v>
      </c>
      <c r="B24" s="3">
        <v>46043</v>
      </c>
      <c r="C24" s="3"/>
      <c r="D24" s="52"/>
      <c r="E24" s="5" t="s">
        <v>3</v>
      </c>
      <c r="F24" s="269" t="s">
        <v>20</v>
      </c>
      <c r="G24" s="6"/>
      <c r="H24" s="7">
        <f>50-H41-H33</f>
        <v>24</v>
      </c>
      <c r="I24" s="7">
        <f>100-I41-I33</f>
        <v>50</v>
      </c>
      <c r="J24" s="7">
        <f>120-J41-J33</f>
        <v>62</v>
      </c>
      <c r="K24" s="7">
        <f>100-K41-K33</f>
        <v>46</v>
      </c>
      <c r="L24" s="7">
        <f>90-L41-L33</f>
        <v>50</v>
      </c>
      <c r="M24" s="7">
        <f>60-M41-M33</f>
        <v>29</v>
      </c>
      <c r="N24" s="15"/>
      <c r="O24" s="14">
        <f t="shared" ref="O24" si="1">SUM(H24:N24)</f>
        <v>261</v>
      </c>
    </row>
    <row r="25" spans="1:15" ht="16.5" thickTop="1" thickBot="1">
      <c r="A25" s="260" t="str">
        <f t="shared" si="0"/>
        <v>4201-00</v>
      </c>
      <c r="B25" s="3"/>
      <c r="C25" s="3"/>
      <c r="D25" s="57" t="s">
        <v>21</v>
      </c>
      <c r="E25" s="5" t="s">
        <v>3</v>
      </c>
      <c r="F25" s="269"/>
      <c r="G25" s="6"/>
      <c r="H25" s="15"/>
      <c r="I25" s="15"/>
      <c r="J25" s="15"/>
      <c r="K25" s="15"/>
      <c r="L25" s="15"/>
      <c r="M25" s="15"/>
      <c r="N25" s="15"/>
      <c r="O25" s="16"/>
    </row>
    <row r="26" spans="1:15" ht="15.75" thickTop="1"/>
    <row r="28" spans="1:15" ht="15.75" thickBot="1"/>
    <row r="29" spans="1:15" ht="16.5" thickTop="1" thickBot="1">
      <c r="A29" s="254" t="s">
        <v>7</v>
      </c>
      <c r="B29" s="43" t="s">
        <v>8</v>
      </c>
      <c r="C29" s="43"/>
      <c r="D29" s="43"/>
      <c r="E29" s="44" t="s">
        <v>9</v>
      </c>
      <c r="F29" s="45"/>
      <c r="G29" s="45"/>
      <c r="H29" s="44"/>
      <c r="I29" s="44"/>
      <c r="J29" s="44"/>
      <c r="K29" s="44"/>
      <c r="L29" s="44"/>
      <c r="M29" s="44"/>
      <c r="N29" s="44"/>
      <c r="O29" s="44"/>
    </row>
    <row r="30" spans="1:15" ht="16.5" thickTop="1" thickBot="1">
      <c r="A30" s="255" t="s">
        <v>24</v>
      </c>
      <c r="B30" s="38" t="s">
        <v>11</v>
      </c>
      <c r="C30" s="9" t="s">
        <v>12</v>
      </c>
      <c r="D30" s="9" t="s">
        <v>13</v>
      </c>
      <c r="E30" s="10"/>
      <c r="F30" s="256" t="s">
        <v>14</v>
      </c>
      <c r="G30" s="257">
        <v>34</v>
      </c>
      <c r="H30" s="257">
        <v>36</v>
      </c>
      <c r="I30" s="257">
        <v>38</v>
      </c>
      <c r="J30" s="257">
        <v>40</v>
      </c>
      <c r="K30" s="257">
        <v>42</v>
      </c>
      <c r="L30" s="257">
        <v>44</v>
      </c>
      <c r="M30" s="257">
        <v>46</v>
      </c>
      <c r="N30" s="257"/>
      <c r="O30" s="258" t="s">
        <v>15</v>
      </c>
    </row>
    <row r="31" spans="1:15" ht="16.5" thickTop="1" thickBot="1">
      <c r="A31" s="260" t="str">
        <f t="shared" ref="A31:A34" si="2">+A30</f>
        <v>4201-01</v>
      </c>
      <c r="B31" s="39" t="s">
        <v>16</v>
      </c>
      <c r="C31" s="39"/>
      <c r="D31" s="39"/>
      <c r="E31" s="40"/>
      <c r="F31" s="261" t="s">
        <v>1</v>
      </c>
      <c r="G31" s="261"/>
      <c r="H31" s="262"/>
      <c r="I31" s="262"/>
      <c r="J31" s="262"/>
      <c r="K31" s="262"/>
      <c r="L31" s="262"/>
      <c r="M31" s="262"/>
      <c r="N31" s="262"/>
      <c r="O31" s="263"/>
    </row>
    <row r="32" spans="1:15" ht="16.5" thickTop="1" thickBot="1">
      <c r="A32" s="260" t="str">
        <f t="shared" si="2"/>
        <v>4201-01</v>
      </c>
      <c r="B32" s="3"/>
      <c r="C32" s="4" t="s">
        <v>17</v>
      </c>
      <c r="D32" s="4" t="s">
        <v>18</v>
      </c>
      <c r="E32" s="5" t="s">
        <v>3</v>
      </c>
      <c r="F32" s="265"/>
      <c r="G32" s="2"/>
      <c r="H32" s="7"/>
      <c r="I32" s="7"/>
      <c r="J32" s="7"/>
      <c r="K32" s="7"/>
      <c r="L32" s="7"/>
      <c r="M32" s="7"/>
      <c r="N32" s="8"/>
      <c r="O32" s="14"/>
    </row>
    <row r="33" spans="1:15" ht="16.5" thickTop="1" thickBot="1">
      <c r="A33" s="260" t="str">
        <f t="shared" si="2"/>
        <v>4201-01</v>
      </c>
      <c r="B33" s="3"/>
      <c r="C33" s="3"/>
      <c r="D33" s="52"/>
      <c r="E33" s="5" t="s">
        <v>3</v>
      </c>
      <c r="F33" s="269" t="s">
        <v>20</v>
      </c>
      <c r="G33" s="6"/>
      <c r="H33" s="7">
        <v>2</v>
      </c>
      <c r="I33" s="7">
        <v>8</v>
      </c>
      <c r="J33" s="7">
        <v>12</v>
      </c>
      <c r="K33" s="7">
        <v>10</v>
      </c>
      <c r="L33" s="7">
        <v>7</v>
      </c>
      <c r="M33" s="7">
        <v>8</v>
      </c>
      <c r="N33" s="15"/>
      <c r="O33" s="14">
        <f t="shared" ref="O33" si="3">SUM(H33:N33)</f>
        <v>47</v>
      </c>
    </row>
    <row r="34" spans="1:15" ht="16.5" thickTop="1" thickBot="1">
      <c r="A34" s="260" t="str">
        <f t="shared" si="2"/>
        <v>4201-01</v>
      </c>
      <c r="B34" s="3"/>
      <c r="C34" s="3"/>
      <c r="D34" s="57" t="s">
        <v>25</v>
      </c>
      <c r="E34" s="5" t="s">
        <v>3</v>
      </c>
      <c r="F34" s="269"/>
      <c r="G34" s="6"/>
      <c r="H34" s="15"/>
      <c r="I34" s="15"/>
      <c r="J34" s="15"/>
      <c r="K34" s="15"/>
      <c r="L34" s="15"/>
      <c r="M34" s="15"/>
      <c r="N34" s="15"/>
      <c r="O34" s="16"/>
    </row>
    <row r="35" spans="1:15" ht="15.75" thickTop="1"/>
    <row r="37" spans="1:15" ht="15.75" thickBot="1"/>
    <row r="38" spans="1:15" ht="16.5" thickTop="1" thickBot="1">
      <c r="A38" s="254" t="s">
        <v>7</v>
      </c>
      <c r="B38" s="43" t="s">
        <v>8</v>
      </c>
      <c r="C38" s="43"/>
      <c r="D38" s="43"/>
      <c r="E38" s="44" t="s">
        <v>9</v>
      </c>
      <c r="F38" s="45"/>
      <c r="G38" s="45"/>
      <c r="H38" s="44"/>
      <c r="I38" s="44"/>
      <c r="J38" s="44"/>
      <c r="K38" s="44"/>
      <c r="L38" s="44"/>
      <c r="M38" s="44"/>
      <c r="N38" s="44"/>
      <c r="O38" s="44"/>
    </row>
    <row r="39" spans="1:15" ht="16.5" thickTop="1" thickBot="1">
      <c r="A39" s="255" t="s">
        <v>26</v>
      </c>
      <c r="B39" s="38" t="s">
        <v>11</v>
      </c>
      <c r="C39" s="9" t="s">
        <v>12</v>
      </c>
      <c r="D39" s="9" t="s">
        <v>13</v>
      </c>
      <c r="E39" s="10"/>
      <c r="F39" s="256" t="s">
        <v>14</v>
      </c>
      <c r="G39" s="257">
        <v>34</v>
      </c>
      <c r="H39" s="257">
        <v>36</v>
      </c>
      <c r="I39" s="257">
        <v>38</v>
      </c>
      <c r="J39" s="257">
        <v>40</v>
      </c>
      <c r="K39" s="257">
        <v>42</v>
      </c>
      <c r="L39" s="257">
        <v>44</v>
      </c>
      <c r="M39" s="257">
        <v>46</v>
      </c>
      <c r="N39" s="257"/>
      <c r="O39" s="258" t="s">
        <v>15</v>
      </c>
    </row>
    <row r="40" spans="1:15" ht="16.5" thickTop="1" thickBot="1">
      <c r="A40" s="260" t="str">
        <f t="shared" ref="A40:A43" si="4">+A39</f>
        <v>4201-60</v>
      </c>
      <c r="B40" s="39" t="s">
        <v>16</v>
      </c>
      <c r="C40" s="39"/>
      <c r="D40" s="39"/>
      <c r="E40" s="40"/>
      <c r="F40" s="261" t="s">
        <v>1</v>
      </c>
      <c r="G40" s="261"/>
      <c r="H40" s="262"/>
      <c r="I40" s="262"/>
      <c r="J40" s="262"/>
      <c r="K40" s="262"/>
      <c r="L40" s="262"/>
      <c r="M40" s="262"/>
      <c r="N40" s="262"/>
      <c r="O40" s="263"/>
    </row>
    <row r="41" spans="1:15" ht="16.5" thickTop="1" thickBot="1">
      <c r="A41" s="260" t="str">
        <f t="shared" si="4"/>
        <v>4201-60</v>
      </c>
      <c r="B41" s="3"/>
      <c r="C41" s="4" t="s">
        <v>17</v>
      </c>
      <c r="D41" s="4" t="s">
        <v>18</v>
      </c>
      <c r="E41" s="5" t="s">
        <v>3</v>
      </c>
      <c r="F41" s="265">
        <v>11550</v>
      </c>
      <c r="G41" s="2"/>
      <c r="H41" s="7">
        <v>24</v>
      </c>
      <c r="I41" s="7">
        <v>42</v>
      </c>
      <c r="J41" s="7">
        <v>46</v>
      </c>
      <c r="K41" s="7">
        <v>44</v>
      </c>
      <c r="L41" s="7">
        <v>33</v>
      </c>
      <c r="M41" s="7">
        <v>23</v>
      </c>
      <c r="N41" s="8"/>
      <c r="O41" s="14">
        <f t="shared" ref="O41" si="5">SUM(H41:N41)</f>
        <v>212</v>
      </c>
    </row>
    <row r="42" spans="1:15" ht="16.5" thickTop="1" thickBot="1">
      <c r="A42" s="260" t="str">
        <f t="shared" si="4"/>
        <v>4201-60</v>
      </c>
      <c r="B42" s="3"/>
      <c r="C42" s="3"/>
      <c r="D42" s="57" t="s">
        <v>21</v>
      </c>
      <c r="E42" s="5" t="s">
        <v>3</v>
      </c>
      <c r="F42" s="269"/>
      <c r="G42" s="6"/>
      <c r="H42" s="7"/>
      <c r="I42" s="7"/>
      <c r="J42" s="7"/>
      <c r="K42" s="7"/>
      <c r="L42" s="7"/>
      <c r="M42" s="7"/>
      <c r="N42" s="15"/>
      <c r="O42" s="14"/>
    </row>
    <row r="43" spans="1:15" ht="16.5" thickTop="1" thickBot="1">
      <c r="A43" s="260" t="str">
        <f t="shared" si="4"/>
        <v>4201-60</v>
      </c>
      <c r="B43" s="3"/>
      <c r="C43" s="3"/>
      <c r="D43" s="57" t="s">
        <v>27</v>
      </c>
      <c r="E43" s="5" t="s">
        <v>3</v>
      </c>
      <c r="F43" s="269"/>
      <c r="G43" s="6"/>
      <c r="H43" s="15"/>
      <c r="I43" s="15"/>
      <c r="J43" s="15"/>
      <c r="K43" s="15"/>
      <c r="L43" s="15"/>
      <c r="M43" s="15"/>
      <c r="N43" s="15"/>
      <c r="O43" s="16"/>
    </row>
    <row r="44" spans="1:15" ht="19.5" thickTop="1">
      <c r="O44" s="455">
        <f>SUM(O22:O43)</f>
        <v>520</v>
      </c>
    </row>
    <row r="47" spans="1:15" ht="15.75" thickBot="1"/>
    <row r="48" spans="1:15" ht="16.5" thickTop="1" thickBot="1">
      <c r="A48" s="254" t="s">
        <v>7</v>
      </c>
      <c r="B48" s="43" t="s">
        <v>8</v>
      </c>
      <c r="C48" s="43"/>
      <c r="D48" s="43"/>
      <c r="E48" s="44" t="s">
        <v>9</v>
      </c>
      <c r="F48" s="45"/>
      <c r="G48" s="45"/>
      <c r="H48" s="44"/>
      <c r="I48" s="44"/>
      <c r="J48" s="44"/>
      <c r="K48" s="44"/>
      <c r="L48" s="44"/>
      <c r="M48" s="44"/>
      <c r="N48" s="44"/>
      <c r="O48" s="44"/>
    </row>
    <row r="49" spans="1:15" ht="16.5" thickTop="1" thickBot="1">
      <c r="A49" s="255" t="s">
        <v>10</v>
      </c>
      <c r="B49" s="38" t="s">
        <v>11</v>
      </c>
      <c r="C49" s="9" t="s">
        <v>12</v>
      </c>
      <c r="D49" s="9" t="s">
        <v>13</v>
      </c>
      <c r="E49" s="10"/>
      <c r="F49" s="256" t="s">
        <v>14</v>
      </c>
      <c r="G49" s="257">
        <v>34</v>
      </c>
      <c r="H49" s="257">
        <v>36</v>
      </c>
      <c r="I49" s="257">
        <v>38</v>
      </c>
      <c r="J49" s="257">
        <v>40</v>
      </c>
      <c r="K49" s="257">
        <v>42</v>
      </c>
      <c r="L49" s="257">
        <v>44</v>
      </c>
      <c r="M49" s="257">
        <v>46</v>
      </c>
      <c r="N49" s="257"/>
      <c r="O49" s="258" t="s">
        <v>15</v>
      </c>
    </row>
    <row r="50" spans="1:15" ht="16.5" thickTop="1" thickBot="1">
      <c r="A50" s="260" t="str">
        <f t="shared" ref="A50:A52" si="6">+A49</f>
        <v>4201-00</v>
      </c>
      <c r="B50" s="39" t="s">
        <v>16</v>
      </c>
      <c r="C50" s="39"/>
      <c r="D50" s="39"/>
      <c r="E50" s="40"/>
      <c r="F50" s="261" t="s">
        <v>1</v>
      </c>
      <c r="G50" s="261"/>
      <c r="H50" s="262"/>
      <c r="I50" s="262"/>
      <c r="J50" s="262"/>
      <c r="K50" s="262"/>
      <c r="L50" s="262"/>
      <c r="M50" s="262"/>
      <c r="N50" s="262"/>
      <c r="O50" s="263">
        <f t="shared" ref="O50" si="7">SUM(H50:N50)</f>
        <v>0</v>
      </c>
    </row>
    <row r="51" spans="1:15" ht="16.5" thickTop="1" thickBot="1">
      <c r="A51" s="260" t="str">
        <f t="shared" si="6"/>
        <v>4201-00</v>
      </c>
      <c r="B51" s="3">
        <v>46055</v>
      </c>
      <c r="C51" s="4" t="s">
        <v>17</v>
      </c>
      <c r="D51" s="4" t="s">
        <v>18</v>
      </c>
      <c r="E51" s="5" t="s">
        <v>3</v>
      </c>
      <c r="F51" s="265" t="s">
        <v>22</v>
      </c>
      <c r="G51" s="2"/>
      <c r="H51" s="7">
        <v>55</v>
      </c>
      <c r="I51" s="7">
        <v>110</v>
      </c>
      <c r="J51" s="7">
        <v>129</v>
      </c>
      <c r="K51" s="7">
        <v>110</v>
      </c>
      <c r="L51" s="7">
        <v>55</v>
      </c>
      <c r="M51" s="7">
        <v>38</v>
      </c>
      <c r="N51" s="8"/>
      <c r="O51" s="14">
        <v>497</v>
      </c>
    </row>
    <row r="52" spans="1:15" ht="16.5" thickTop="1" thickBot="1">
      <c r="A52" s="260" t="str">
        <f t="shared" si="6"/>
        <v>4201-00</v>
      </c>
      <c r="B52" s="3"/>
      <c r="C52" s="3"/>
      <c r="D52" s="57" t="s">
        <v>21</v>
      </c>
      <c r="E52" s="5" t="s">
        <v>3</v>
      </c>
      <c r="F52" s="269"/>
      <c r="G52" s="6"/>
      <c r="H52" s="7"/>
      <c r="I52" s="7"/>
      <c r="J52" s="7"/>
      <c r="K52" s="7"/>
      <c r="L52" s="7"/>
      <c r="M52" s="7"/>
      <c r="N52" s="15"/>
      <c r="O52" s="14"/>
    </row>
    <row r="53" spans="1:15" ht="15.75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829D-B243-4A26-9A5E-9EF9E634A95E}">
  <dimension ref="A1"/>
  <sheetViews>
    <sheetView workbookViewId="0">
      <selection activeCell="I29" sqref="I29"/>
    </sheetView>
  </sheetViews>
  <sheetFormatPr defaultColWidth="11.42578125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B9A2-3CFB-415B-9386-4B34B48DC672}">
  <sheetPr>
    <tabColor theme="8" tint="-0.249977111117893"/>
  </sheetPr>
  <dimension ref="A1:O25"/>
  <sheetViews>
    <sheetView workbookViewId="0">
      <selection activeCell="O23" activeCellId="2" sqref="O14 O5 O23"/>
    </sheetView>
  </sheetViews>
  <sheetFormatPr defaultColWidth="11.42578125" defaultRowHeight="15"/>
  <cols>
    <col min="1" max="1" width="8.5703125" bestFit="1" customWidth="1"/>
    <col min="2" max="2" width="9.42578125" bestFit="1" customWidth="1"/>
    <col min="3" max="3" width="4.5703125" bestFit="1" customWidth="1"/>
    <col min="4" max="4" width="8.85546875" bestFit="1" customWidth="1"/>
    <col min="5" max="5" width="5" bestFit="1" customWidth="1"/>
    <col min="6" max="6" width="8.42578125" bestFit="1" customWidth="1"/>
    <col min="7" max="13" width="3.28515625" bestFit="1" customWidth="1"/>
    <col min="15" max="15" width="5.710937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41</v>
      </c>
      <c r="B3" s="38" t="s">
        <v>36</v>
      </c>
      <c r="C3" s="9" t="s">
        <v>12</v>
      </c>
      <c r="D3" s="9" t="s">
        <v>37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6" si="0">+A3</f>
        <v>4204-00</v>
      </c>
      <c r="B4" s="39" t="s">
        <v>16</v>
      </c>
      <c r="C4" s="39"/>
      <c r="D4" s="39" t="str">
        <f>+B3</f>
        <v>B2868-V3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4204-00</v>
      </c>
      <c r="B5" s="3">
        <v>46006</v>
      </c>
      <c r="C5" s="4" t="s">
        <v>17</v>
      </c>
      <c r="D5" s="4" t="s">
        <v>42</v>
      </c>
      <c r="E5" s="5" t="s">
        <v>3</v>
      </c>
      <c r="F5" s="29">
        <v>11542</v>
      </c>
      <c r="G5" s="2"/>
      <c r="H5" s="7">
        <f>78-H14-H23</f>
        <v>54</v>
      </c>
      <c r="I5" s="7">
        <f>100-I14-I23</f>
        <v>39</v>
      </c>
      <c r="J5" s="7">
        <f>100-J14-J23</f>
        <v>35</v>
      </c>
      <c r="K5" s="7">
        <f>100-K14-K23</f>
        <v>44</v>
      </c>
      <c r="L5" s="7">
        <f>78-L14-L23</f>
        <v>30</v>
      </c>
      <c r="M5" s="7">
        <f>50-M14-M23</f>
        <v>23</v>
      </c>
      <c r="N5" s="8"/>
      <c r="O5" s="14">
        <f t="shared" ref="O5:O6" si="1">SUM(H5:N5)</f>
        <v>225</v>
      </c>
    </row>
    <row r="6" spans="1:15" ht="20.25" thickTop="1" thickBot="1">
      <c r="A6" s="33" t="str">
        <f t="shared" si="0"/>
        <v>4204-00</v>
      </c>
      <c r="B6" s="3"/>
      <c r="C6" s="3"/>
      <c r="D6" s="52" t="s">
        <v>43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15.75" thickTop="1"/>
    <row r="10" spans="1:15" ht="15.75" thickBot="1"/>
    <row r="11" spans="1:15" ht="16.5" thickTop="1" thickBot="1">
      <c r="A11" s="42" t="s">
        <v>7</v>
      </c>
      <c r="B11" s="43" t="s">
        <v>8</v>
      </c>
      <c r="C11" s="43"/>
      <c r="D11" s="43"/>
      <c r="E11" s="44" t="s">
        <v>9</v>
      </c>
      <c r="F11" s="45"/>
      <c r="G11" s="45"/>
      <c r="H11" s="44"/>
      <c r="I11" s="44"/>
      <c r="J11" s="44"/>
      <c r="K11" s="44"/>
      <c r="L11" s="44"/>
      <c r="M11" s="44"/>
      <c r="N11" s="44"/>
      <c r="O11" s="44"/>
    </row>
    <row r="12" spans="1:15" ht="17.25" thickTop="1" thickBot="1">
      <c r="A12" s="32" t="s">
        <v>47</v>
      </c>
      <c r="B12" s="38" t="s">
        <v>36</v>
      </c>
      <c r="C12" s="9" t="s">
        <v>12</v>
      </c>
      <c r="D12" s="9" t="s">
        <v>37</v>
      </c>
      <c r="E12" s="10"/>
      <c r="F12" s="11" t="s">
        <v>14</v>
      </c>
      <c r="G12" s="12">
        <v>34</v>
      </c>
      <c r="H12" s="12">
        <v>36</v>
      </c>
      <c r="I12" s="12">
        <v>38</v>
      </c>
      <c r="J12" s="12">
        <v>40</v>
      </c>
      <c r="K12" s="12">
        <v>42</v>
      </c>
      <c r="L12" s="12">
        <v>44</v>
      </c>
      <c r="M12" s="12">
        <v>46</v>
      </c>
      <c r="N12" s="12"/>
      <c r="O12" s="13" t="s">
        <v>15</v>
      </c>
    </row>
    <row r="13" spans="1:15" ht="16.5" thickTop="1" thickBot="1">
      <c r="A13" s="33" t="str">
        <f t="shared" ref="A13:A15" si="2">+A12</f>
        <v>4204-01</v>
      </c>
      <c r="B13" s="39" t="s">
        <v>16</v>
      </c>
      <c r="C13" s="39"/>
      <c r="D13" s="39" t="str">
        <f>+B12</f>
        <v>B2868-V3</v>
      </c>
      <c r="E13" s="40"/>
      <c r="F13" s="41" t="s">
        <v>1</v>
      </c>
      <c r="G13" s="41"/>
      <c r="H13" s="50"/>
      <c r="I13" s="50"/>
      <c r="J13" s="50"/>
      <c r="K13" s="50"/>
      <c r="L13" s="50"/>
      <c r="M13" s="50"/>
      <c r="N13" s="50"/>
      <c r="O13" s="51"/>
    </row>
    <row r="14" spans="1:15" ht="20.25" thickTop="1" thickBot="1">
      <c r="A14" s="33" t="str">
        <f t="shared" si="2"/>
        <v>4204-01</v>
      </c>
      <c r="B14" s="3"/>
      <c r="C14" s="4" t="s">
        <v>17</v>
      </c>
      <c r="D14" s="4" t="s">
        <v>42</v>
      </c>
      <c r="E14" s="5" t="s">
        <v>3</v>
      </c>
      <c r="F14" s="29"/>
      <c r="G14" s="2"/>
      <c r="H14" s="7"/>
      <c r="I14" s="7">
        <v>4</v>
      </c>
      <c r="J14" s="7">
        <v>8</v>
      </c>
      <c r="K14" s="7">
        <v>8</v>
      </c>
      <c r="L14" s="7">
        <v>7</v>
      </c>
      <c r="M14" s="7">
        <v>5</v>
      </c>
      <c r="N14" s="8"/>
      <c r="O14" s="14">
        <f t="shared" ref="O14:O15" si="3">SUM(H14:N14)</f>
        <v>32</v>
      </c>
    </row>
    <row r="15" spans="1:15" ht="20.25" thickTop="1" thickBot="1">
      <c r="A15" s="33" t="str">
        <f t="shared" si="2"/>
        <v>4204-01</v>
      </c>
      <c r="B15" s="3"/>
      <c r="C15" s="3"/>
      <c r="D15" s="52" t="s">
        <v>43</v>
      </c>
      <c r="E15" s="5" t="s">
        <v>3</v>
      </c>
      <c r="F15" s="31"/>
      <c r="G15" s="6"/>
      <c r="H15" s="7"/>
      <c r="I15" s="7"/>
      <c r="J15" s="7"/>
      <c r="K15" s="7"/>
      <c r="L15" s="7"/>
      <c r="M15" s="7"/>
      <c r="N15" s="15"/>
      <c r="O15" s="14">
        <f t="shared" si="3"/>
        <v>0</v>
      </c>
    </row>
    <row r="16" spans="1:15" ht="15.75" thickTop="1"/>
    <row r="19" spans="1:15" ht="15.75" thickBot="1"/>
    <row r="20" spans="1:15" ht="16.5" thickTop="1" thickBot="1">
      <c r="A20" s="42" t="s">
        <v>7</v>
      </c>
      <c r="B20" s="43" t="s">
        <v>8</v>
      </c>
      <c r="C20" s="43"/>
      <c r="D20" s="43"/>
      <c r="E20" s="44" t="s">
        <v>9</v>
      </c>
      <c r="F20" s="45"/>
      <c r="G20" s="45"/>
      <c r="H20" s="44"/>
      <c r="I20" s="44"/>
      <c r="J20" s="44"/>
      <c r="K20" s="44"/>
      <c r="L20" s="44"/>
      <c r="M20" s="44"/>
      <c r="N20" s="44"/>
      <c r="O20" s="44"/>
    </row>
    <row r="21" spans="1:15" ht="17.25" thickTop="1" thickBot="1">
      <c r="A21" s="32" t="s">
        <v>48</v>
      </c>
      <c r="B21" s="38" t="s">
        <v>36</v>
      </c>
      <c r="C21" s="9" t="s">
        <v>12</v>
      </c>
      <c r="D21" s="9" t="s">
        <v>37</v>
      </c>
      <c r="E21" s="10"/>
      <c r="F21" s="11" t="s">
        <v>14</v>
      </c>
      <c r="G21" s="12">
        <v>34</v>
      </c>
      <c r="H21" s="12">
        <v>36</v>
      </c>
      <c r="I21" s="12">
        <v>38</v>
      </c>
      <c r="J21" s="12">
        <v>40</v>
      </c>
      <c r="K21" s="12">
        <v>42</v>
      </c>
      <c r="L21" s="12">
        <v>44</v>
      </c>
      <c r="M21" s="12">
        <v>46</v>
      </c>
      <c r="N21" s="12"/>
      <c r="O21" s="13" t="s">
        <v>15</v>
      </c>
    </row>
    <row r="22" spans="1:15" ht="16.5" thickTop="1" thickBot="1">
      <c r="A22" s="33" t="str">
        <f t="shared" ref="A22:A24" si="4">+A21</f>
        <v>4204-02</v>
      </c>
      <c r="B22" s="39" t="s">
        <v>16</v>
      </c>
      <c r="C22" s="39"/>
      <c r="D22" s="39" t="str">
        <f>+B21</f>
        <v>B2868-V3</v>
      </c>
      <c r="E22" s="40"/>
      <c r="F22" s="41" t="s">
        <v>1</v>
      </c>
      <c r="G22" s="41"/>
      <c r="H22" s="50"/>
      <c r="I22" s="50"/>
      <c r="J22" s="50"/>
      <c r="K22" s="50"/>
      <c r="L22" s="50"/>
      <c r="M22" s="50"/>
      <c r="N22" s="50"/>
      <c r="O22" s="51"/>
    </row>
    <row r="23" spans="1:15" ht="20.25" thickTop="1" thickBot="1">
      <c r="A23" s="33" t="str">
        <f t="shared" si="4"/>
        <v>4204-02</v>
      </c>
      <c r="B23" s="3"/>
      <c r="C23" s="4" t="s">
        <v>17</v>
      </c>
      <c r="D23" s="4" t="s">
        <v>42</v>
      </c>
      <c r="E23" s="5" t="s">
        <v>3</v>
      </c>
      <c r="F23" s="29"/>
      <c r="G23" s="2"/>
      <c r="H23" s="7">
        <v>24</v>
      </c>
      <c r="I23" s="7">
        <v>57</v>
      </c>
      <c r="J23" s="7">
        <v>57</v>
      </c>
      <c r="K23" s="7">
        <v>48</v>
      </c>
      <c r="L23" s="7">
        <v>41</v>
      </c>
      <c r="M23" s="7">
        <v>22</v>
      </c>
      <c r="N23" s="8"/>
      <c r="O23" s="14">
        <f t="shared" ref="O23:O24" si="5">SUM(H23:N23)</f>
        <v>249</v>
      </c>
    </row>
    <row r="24" spans="1:15" ht="20.25" thickTop="1" thickBot="1">
      <c r="A24" s="33" t="str">
        <f t="shared" si="4"/>
        <v>4204-02</v>
      </c>
      <c r="B24" s="3"/>
      <c r="C24" s="3"/>
      <c r="D24" s="52" t="s">
        <v>43</v>
      </c>
      <c r="E24" s="5" t="s">
        <v>3</v>
      </c>
      <c r="F24" s="31"/>
      <c r="G24" s="6"/>
      <c r="H24" s="7"/>
      <c r="I24" s="7"/>
      <c r="J24" s="7"/>
      <c r="K24" s="7"/>
      <c r="L24" s="7"/>
      <c r="M24" s="7"/>
      <c r="N24" s="15"/>
      <c r="O24" s="14">
        <f t="shared" si="5"/>
        <v>0</v>
      </c>
    </row>
    <row r="25" spans="1:15" ht="15.75" thickTop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2590-F234-40EB-9EDA-B65608DFB149}">
  <sheetPr>
    <tabColor theme="8" tint="-0.249977111117893"/>
  </sheetPr>
  <dimension ref="A1:O19"/>
  <sheetViews>
    <sheetView workbookViewId="0">
      <selection activeCell="Q14" sqref="Q14"/>
    </sheetView>
  </sheetViews>
  <sheetFormatPr defaultColWidth="11.42578125" defaultRowHeight="21"/>
  <cols>
    <col min="1" max="1" width="8.5703125" bestFit="1" customWidth="1"/>
    <col min="2" max="2" width="7" bestFit="1" customWidth="1"/>
    <col min="3" max="3" width="5.140625" bestFit="1" customWidth="1"/>
    <col min="4" max="4" width="7.5703125" bestFit="1" customWidth="1"/>
    <col min="5" max="5" width="5.42578125" bestFit="1" customWidth="1"/>
    <col min="6" max="6" width="6.7109375" bestFit="1" customWidth="1"/>
    <col min="7" max="13" width="3.28515625" bestFit="1" customWidth="1"/>
    <col min="15" max="15" width="6.7109375" style="165" bestFit="1" customWidth="1"/>
  </cols>
  <sheetData>
    <row r="1" spans="1:15" ht="21.75" thickBot="1"/>
    <row r="2" spans="1:15" ht="22.5" thickTop="1" thickBot="1">
      <c r="A2" s="116" t="s">
        <v>7</v>
      </c>
      <c r="B2" s="125" t="s">
        <v>8</v>
      </c>
      <c r="C2" s="125"/>
      <c r="D2" s="125"/>
      <c r="E2" s="77" t="s">
        <v>9</v>
      </c>
      <c r="F2" s="124"/>
      <c r="G2" s="124"/>
      <c r="H2" s="77"/>
      <c r="I2" s="77"/>
      <c r="J2" s="77"/>
      <c r="K2" s="77"/>
      <c r="L2" s="77"/>
      <c r="M2" s="77"/>
      <c r="N2" s="77"/>
      <c r="O2" s="166"/>
    </row>
    <row r="3" spans="1:15" ht="22.5" thickTop="1" thickBot="1">
      <c r="A3" s="117" t="s">
        <v>49</v>
      </c>
      <c r="B3" s="126" t="s">
        <v>50</v>
      </c>
      <c r="C3" s="127" t="s">
        <v>12</v>
      </c>
      <c r="D3" s="127" t="s">
        <v>13</v>
      </c>
      <c r="E3" s="128"/>
      <c r="F3" s="129" t="s">
        <v>14</v>
      </c>
      <c r="G3" s="130">
        <v>34</v>
      </c>
      <c r="H3" s="130">
        <v>36</v>
      </c>
      <c r="I3" s="130">
        <v>38</v>
      </c>
      <c r="J3" s="130">
        <v>40</v>
      </c>
      <c r="K3" s="130">
        <v>42</v>
      </c>
      <c r="L3" s="130">
        <v>44</v>
      </c>
      <c r="M3" s="130">
        <v>46</v>
      </c>
      <c r="N3" s="130"/>
      <c r="O3" s="167" t="s">
        <v>15</v>
      </c>
    </row>
    <row r="4" spans="1:15" ht="22.5" thickTop="1" thickBot="1">
      <c r="A4" s="118" t="str">
        <f t="shared" ref="A4:A6" si="0">+A3</f>
        <v>4205-00</v>
      </c>
      <c r="B4" s="131" t="s">
        <v>16</v>
      </c>
      <c r="C4" s="131"/>
      <c r="D4" s="131" t="str">
        <f>+B3</f>
        <v>Ayla</v>
      </c>
      <c r="E4" s="132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168">
        <f>SUM(H4:N4)</f>
        <v>0</v>
      </c>
    </row>
    <row r="5" spans="1:15" ht="22.5" thickTop="1" thickBot="1">
      <c r="A5" s="118" t="str">
        <f t="shared" si="0"/>
        <v>4205-00</v>
      </c>
      <c r="B5" s="133">
        <v>46058</v>
      </c>
      <c r="C5" s="134" t="s">
        <v>17</v>
      </c>
      <c r="D5" s="134" t="s">
        <v>51</v>
      </c>
      <c r="E5" s="135" t="s">
        <v>3</v>
      </c>
      <c r="F5" s="136">
        <v>11555</v>
      </c>
      <c r="G5" s="137"/>
      <c r="H5" s="138">
        <f>77-H11-H17</f>
        <v>47</v>
      </c>
      <c r="I5" s="138">
        <f>157-I11-I17</f>
        <v>84</v>
      </c>
      <c r="J5" s="138">
        <f>160-J11-J17</f>
        <v>78</v>
      </c>
      <c r="K5" s="138">
        <f>157-K11-K17</f>
        <v>78</v>
      </c>
      <c r="L5" s="138">
        <f>110-L11-L17</f>
        <v>52</v>
      </c>
      <c r="M5" s="138">
        <f>94-M11-M17</f>
        <v>43</v>
      </c>
      <c r="N5" s="139"/>
      <c r="O5" s="169">
        <f t="shared" ref="O5" si="1">SUM(H5:N5)</f>
        <v>382</v>
      </c>
    </row>
    <row r="6" spans="1:15" ht="22.5" thickTop="1" thickBot="1">
      <c r="A6" s="118" t="str">
        <f t="shared" si="0"/>
        <v>4205-00</v>
      </c>
      <c r="B6" s="133"/>
      <c r="C6" s="133"/>
      <c r="D6" s="140"/>
      <c r="E6" s="135" t="s">
        <v>3</v>
      </c>
      <c r="F6" s="141"/>
      <c r="G6" s="142"/>
      <c r="H6" s="138"/>
      <c r="I6" s="138">
        <v>0</v>
      </c>
      <c r="J6" s="138"/>
      <c r="K6" s="138"/>
      <c r="L6" s="138"/>
      <c r="M6" s="138"/>
      <c r="N6" s="143"/>
      <c r="O6" s="169"/>
    </row>
    <row r="7" spans="1:15" ht="17.25" customHeight="1" thickTop="1" thickBot="1"/>
    <row r="8" spans="1:15" ht="22.5" thickTop="1" thickBot="1">
      <c r="A8" s="116" t="s">
        <v>7</v>
      </c>
      <c r="B8" s="125" t="s">
        <v>8</v>
      </c>
      <c r="C8" s="125"/>
      <c r="D8" s="125"/>
      <c r="E8" s="77" t="s">
        <v>9</v>
      </c>
      <c r="F8" s="124"/>
      <c r="G8" s="124"/>
      <c r="H8" s="77"/>
      <c r="I8" s="77"/>
      <c r="J8" s="77"/>
      <c r="K8" s="77"/>
      <c r="L8" s="77"/>
      <c r="M8" s="77"/>
      <c r="N8" s="77"/>
      <c r="O8" s="166"/>
    </row>
    <row r="9" spans="1:15" ht="22.5" thickTop="1" thickBot="1">
      <c r="A9" s="117" t="s">
        <v>54</v>
      </c>
      <c r="B9" s="126" t="s">
        <v>50</v>
      </c>
      <c r="C9" s="127" t="s">
        <v>12</v>
      </c>
      <c r="D9" s="127" t="s">
        <v>13</v>
      </c>
      <c r="E9" s="128"/>
      <c r="F9" s="129" t="s">
        <v>14</v>
      </c>
      <c r="G9" s="130">
        <v>34</v>
      </c>
      <c r="H9" s="130">
        <v>36</v>
      </c>
      <c r="I9" s="130">
        <v>38</v>
      </c>
      <c r="J9" s="130">
        <v>40</v>
      </c>
      <c r="K9" s="130">
        <v>42</v>
      </c>
      <c r="L9" s="130">
        <v>44</v>
      </c>
      <c r="M9" s="130">
        <v>46</v>
      </c>
      <c r="N9" s="130"/>
      <c r="O9" s="167" t="s">
        <v>15</v>
      </c>
    </row>
    <row r="10" spans="1:15" ht="22.5" thickTop="1" thickBot="1">
      <c r="A10" s="118" t="str">
        <f t="shared" ref="A10:A12" si="2">+A9</f>
        <v>4205-01</v>
      </c>
      <c r="B10" s="131" t="s">
        <v>16</v>
      </c>
      <c r="C10" s="131"/>
      <c r="D10" s="131" t="str">
        <f>+B9</f>
        <v>Ayla</v>
      </c>
      <c r="E10" s="132"/>
      <c r="F10" s="41" t="s">
        <v>1</v>
      </c>
      <c r="G10" s="41"/>
      <c r="H10" s="50"/>
      <c r="I10" s="50"/>
      <c r="J10" s="50"/>
      <c r="K10" s="50"/>
      <c r="L10" s="50"/>
      <c r="M10" s="50"/>
      <c r="N10" s="50"/>
      <c r="O10" s="168">
        <f>SUM(H10:N10)</f>
        <v>0</v>
      </c>
    </row>
    <row r="11" spans="1:15" ht="22.5" thickTop="1" thickBot="1">
      <c r="A11" s="118" t="str">
        <f t="shared" si="2"/>
        <v>4205-01</v>
      </c>
      <c r="B11" s="133">
        <v>46058</v>
      </c>
      <c r="C11" s="134" t="s">
        <v>17</v>
      </c>
      <c r="D11" s="134" t="s">
        <v>51</v>
      </c>
      <c r="E11" s="135" t="s">
        <v>3</v>
      </c>
      <c r="F11" s="136">
        <v>11555</v>
      </c>
      <c r="G11" s="137"/>
      <c r="H11" s="138">
        <v>30</v>
      </c>
      <c r="I11" s="138">
        <v>69</v>
      </c>
      <c r="J11" s="138">
        <v>74</v>
      </c>
      <c r="K11" s="138">
        <v>71</v>
      </c>
      <c r="L11" s="138">
        <v>51</v>
      </c>
      <c r="M11" s="138">
        <v>46</v>
      </c>
      <c r="N11" s="139"/>
      <c r="O11" s="169">
        <f t="shared" ref="O11" si="3">SUM(H11:N11)</f>
        <v>341</v>
      </c>
    </row>
    <row r="12" spans="1:15" ht="22.5" thickTop="1" thickBot="1">
      <c r="A12" s="118" t="str">
        <f t="shared" si="2"/>
        <v>4205-01</v>
      </c>
      <c r="B12" s="133"/>
      <c r="C12" s="133"/>
      <c r="D12" s="140"/>
      <c r="E12" s="135" t="s">
        <v>3</v>
      </c>
      <c r="F12" s="141"/>
      <c r="G12" s="142"/>
      <c r="H12" s="138"/>
      <c r="I12" s="138"/>
      <c r="J12" s="138"/>
      <c r="K12" s="138"/>
      <c r="L12" s="138"/>
      <c r="M12" s="138"/>
      <c r="N12" s="143"/>
      <c r="O12" s="169"/>
    </row>
    <row r="13" spans="1:15" ht="22.5" thickTop="1" thickBot="1"/>
    <row r="14" spans="1:15" ht="22.5" thickTop="1" thickBot="1">
      <c r="A14" s="116" t="s">
        <v>7</v>
      </c>
      <c r="B14" s="125" t="s">
        <v>8</v>
      </c>
      <c r="C14" s="125"/>
      <c r="D14" s="125"/>
      <c r="E14" s="77" t="s">
        <v>9</v>
      </c>
      <c r="F14" s="124"/>
      <c r="G14" s="124"/>
      <c r="H14" s="77"/>
      <c r="I14" s="77"/>
      <c r="J14" s="77"/>
      <c r="K14" s="77"/>
      <c r="L14" s="77"/>
      <c r="M14" s="77"/>
      <c r="N14" s="77"/>
      <c r="O14" s="166"/>
    </row>
    <row r="15" spans="1:15" ht="22.5" thickTop="1" thickBot="1">
      <c r="A15" s="117" t="s">
        <v>55</v>
      </c>
      <c r="B15" s="126" t="s">
        <v>50</v>
      </c>
      <c r="C15" s="127" t="s">
        <v>12</v>
      </c>
      <c r="D15" s="127" t="s">
        <v>13</v>
      </c>
      <c r="E15" s="128"/>
      <c r="F15" s="129" t="s">
        <v>14</v>
      </c>
      <c r="G15" s="130">
        <v>34</v>
      </c>
      <c r="H15" s="130">
        <v>36</v>
      </c>
      <c r="I15" s="130">
        <v>38</v>
      </c>
      <c r="J15" s="130">
        <v>40</v>
      </c>
      <c r="K15" s="130">
        <v>42</v>
      </c>
      <c r="L15" s="130">
        <v>44</v>
      </c>
      <c r="M15" s="130">
        <v>46</v>
      </c>
      <c r="N15" s="130"/>
      <c r="O15" s="167" t="s">
        <v>15</v>
      </c>
    </row>
    <row r="16" spans="1:15" ht="22.5" thickTop="1" thickBot="1">
      <c r="A16" s="118" t="str">
        <f t="shared" ref="A16:A18" si="4">+A15</f>
        <v>4205-02</v>
      </c>
      <c r="B16" s="131" t="s">
        <v>16</v>
      </c>
      <c r="C16" s="131"/>
      <c r="D16" s="131" t="str">
        <f>+B15</f>
        <v>Ayla</v>
      </c>
      <c r="E16" s="132"/>
      <c r="F16" s="41" t="s">
        <v>1</v>
      </c>
      <c r="G16" s="41"/>
      <c r="H16" s="50"/>
      <c r="I16" s="50"/>
      <c r="J16" s="50"/>
      <c r="K16" s="50"/>
      <c r="L16" s="50"/>
      <c r="M16" s="50"/>
      <c r="N16" s="50"/>
      <c r="O16" s="168">
        <f>SUM(H16:N16)</f>
        <v>0</v>
      </c>
    </row>
    <row r="17" spans="1:15" ht="22.5" thickTop="1" thickBot="1">
      <c r="A17" s="118" t="str">
        <f t="shared" si="4"/>
        <v>4205-02</v>
      </c>
      <c r="B17" s="133">
        <v>46058</v>
      </c>
      <c r="C17" s="134" t="s">
        <v>17</v>
      </c>
      <c r="D17" s="134" t="s">
        <v>51</v>
      </c>
      <c r="E17" s="135" t="s">
        <v>3</v>
      </c>
      <c r="F17" s="136">
        <v>11555</v>
      </c>
      <c r="G17" s="137"/>
      <c r="H17" s="138"/>
      <c r="I17" s="138">
        <v>4</v>
      </c>
      <c r="J17" s="138">
        <v>8</v>
      </c>
      <c r="K17" s="138">
        <v>8</v>
      </c>
      <c r="L17" s="138">
        <v>7</v>
      </c>
      <c r="M17" s="138">
        <v>5</v>
      </c>
      <c r="N17" s="139"/>
      <c r="O17" s="169">
        <f t="shared" ref="O17" si="5">SUM(H17:N17)</f>
        <v>32</v>
      </c>
    </row>
    <row r="18" spans="1:15" ht="22.5" thickTop="1" thickBot="1">
      <c r="A18" s="118" t="str">
        <f t="shared" si="4"/>
        <v>4205-02</v>
      </c>
      <c r="B18" s="133"/>
      <c r="C18" s="133"/>
      <c r="D18" s="140"/>
      <c r="E18" s="135" t="s">
        <v>3</v>
      </c>
      <c r="F18" s="141"/>
      <c r="G18" s="142"/>
      <c r="H18" s="138"/>
      <c r="I18" s="138"/>
      <c r="J18" s="138"/>
      <c r="K18" s="138"/>
      <c r="L18" s="138"/>
      <c r="M18" s="138"/>
      <c r="N18" s="143"/>
      <c r="O18" s="170"/>
    </row>
    <row r="19" spans="1:15" ht="21.75" thickTop="1">
      <c r="O19" s="171">
        <f>SUM(O5:O18)</f>
        <v>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19BB-E1D7-4A35-A3E7-F515EED34006}">
  <sheetPr>
    <tabColor theme="8" tint="-0.249977111117893"/>
  </sheetPr>
  <dimension ref="A1:O15"/>
  <sheetViews>
    <sheetView workbookViewId="0">
      <selection activeCell="S24" sqref="S24"/>
    </sheetView>
  </sheetViews>
  <sheetFormatPr defaultColWidth="11.42578125" defaultRowHeight="15"/>
  <cols>
    <col min="1" max="1" width="8.5703125" bestFit="1" customWidth="1"/>
    <col min="2" max="2" width="8.140625" bestFit="1" customWidth="1"/>
    <col min="3" max="3" width="5.140625" bestFit="1" customWidth="1"/>
    <col min="4" max="4" width="7.5703125" bestFit="1" customWidth="1"/>
    <col min="5" max="5" width="6.28515625" bestFit="1" customWidth="1"/>
    <col min="6" max="6" width="6.7109375" bestFit="1" customWidth="1"/>
    <col min="7" max="7" width="3.28515625" bestFit="1" customWidth="1"/>
    <col min="8" max="13" width="6.28515625" bestFit="1" customWidth="1"/>
    <col min="15" max="15" width="6.7109375" bestFit="1" customWidth="1"/>
  </cols>
  <sheetData>
    <row r="1" spans="1:15" ht="16.5" thickTop="1" thickBot="1">
      <c r="A1" s="119" t="s">
        <v>7</v>
      </c>
      <c r="B1" s="125" t="s">
        <v>8</v>
      </c>
      <c r="C1" s="125"/>
      <c r="D1" s="125"/>
      <c r="E1" s="77" t="s">
        <v>9</v>
      </c>
      <c r="F1" s="124"/>
      <c r="G1" s="124"/>
      <c r="H1" s="77"/>
      <c r="I1" s="77"/>
      <c r="J1" s="77"/>
      <c r="K1" s="77"/>
      <c r="L1" s="77"/>
      <c r="M1" s="77"/>
      <c r="N1" s="77"/>
      <c r="O1" s="77"/>
    </row>
    <row r="2" spans="1:15" ht="16.5" thickTop="1" thickBot="1">
      <c r="A2" s="120" t="s">
        <v>66</v>
      </c>
      <c r="B2" s="126" t="s">
        <v>50</v>
      </c>
      <c r="C2" s="127" t="s">
        <v>12</v>
      </c>
      <c r="D2" s="127" t="s">
        <v>13</v>
      </c>
      <c r="E2" s="128"/>
      <c r="F2" s="129" t="s">
        <v>14</v>
      </c>
      <c r="G2" s="130">
        <v>34</v>
      </c>
      <c r="H2" s="130">
        <v>36</v>
      </c>
      <c r="I2" s="130">
        <v>38</v>
      </c>
      <c r="J2" s="130">
        <v>40</v>
      </c>
      <c r="K2" s="130">
        <v>42</v>
      </c>
      <c r="L2" s="130">
        <v>44</v>
      </c>
      <c r="M2" s="130">
        <v>46</v>
      </c>
      <c r="N2" s="130"/>
      <c r="O2" s="76" t="s">
        <v>15</v>
      </c>
    </row>
    <row r="3" spans="1:15" ht="16.5" thickTop="1" thickBot="1">
      <c r="A3" s="121" t="str">
        <f t="shared" ref="A3:A5" si="0">+A2</f>
        <v>4211-00</v>
      </c>
      <c r="B3" s="131" t="s">
        <v>16</v>
      </c>
      <c r="C3" s="131"/>
      <c r="D3" s="131" t="str">
        <f>+B2</f>
        <v>Ayla</v>
      </c>
      <c r="E3" s="132"/>
      <c r="F3" s="41" t="s">
        <v>1</v>
      </c>
      <c r="G3" s="41"/>
      <c r="H3" s="50"/>
      <c r="I3" s="50"/>
      <c r="J3" s="50"/>
      <c r="K3" s="50"/>
      <c r="L3" s="50"/>
      <c r="M3" s="50"/>
      <c r="N3" s="50"/>
      <c r="O3" s="51"/>
    </row>
    <row r="4" spans="1:15" ht="16.5" thickTop="1" thickBot="1">
      <c r="A4" s="121" t="str">
        <f t="shared" si="0"/>
        <v>4211-00</v>
      </c>
      <c r="B4" s="133">
        <v>46063</v>
      </c>
      <c r="C4" s="134" t="s">
        <v>17</v>
      </c>
      <c r="D4" s="134" t="s">
        <v>42</v>
      </c>
      <c r="E4" s="135" t="s">
        <v>3</v>
      </c>
      <c r="F4" s="136">
        <v>11557</v>
      </c>
      <c r="G4" s="137"/>
      <c r="H4" s="138">
        <f>40-H13</f>
        <v>25</v>
      </c>
      <c r="I4" s="138">
        <f>84-I13</f>
        <v>38</v>
      </c>
      <c r="J4" s="138">
        <f>100-J13</f>
        <v>50</v>
      </c>
      <c r="K4" s="138">
        <f>96-K13</f>
        <v>48</v>
      </c>
      <c r="L4" s="138">
        <f>75-L13</f>
        <v>44</v>
      </c>
      <c r="M4" s="138">
        <f>51-M13</f>
        <v>22</v>
      </c>
      <c r="N4" s="139"/>
      <c r="O4" s="73">
        <f t="shared" ref="O4" si="1">SUM(H4:N4)</f>
        <v>227</v>
      </c>
    </row>
    <row r="5" spans="1:15" ht="16.5" thickTop="1" thickBot="1">
      <c r="A5" s="121" t="str">
        <f t="shared" si="0"/>
        <v>4211-00</v>
      </c>
      <c r="B5" s="133"/>
      <c r="C5" s="133"/>
      <c r="D5" s="140"/>
      <c r="E5" s="135" t="s">
        <v>3</v>
      </c>
      <c r="F5" s="141"/>
      <c r="G5" s="142"/>
      <c r="H5" s="138"/>
      <c r="I5" s="138"/>
      <c r="J5" s="138"/>
      <c r="K5" s="138"/>
      <c r="L5" s="138"/>
      <c r="M5" s="138"/>
      <c r="N5" s="143"/>
      <c r="O5" s="73"/>
    </row>
    <row r="6" spans="1:15" ht="15.75" thickTop="1"/>
    <row r="9" spans="1:15" ht="15.75" thickBot="1"/>
    <row r="10" spans="1:15" ht="16.5" thickTop="1" thickBot="1">
      <c r="A10" s="119" t="s">
        <v>7</v>
      </c>
      <c r="B10" s="125" t="s">
        <v>8</v>
      </c>
      <c r="C10" s="125"/>
      <c r="D10" s="125"/>
      <c r="E10" s="77" t="s">
        <v>9</v>
      </c>
      <c r="F10" s="124"/>
      <c r="G10" s="124"/>
      <c r="H10" s="77"/>
      <c r="I10" s="77"/>
      <c r="J10" s="77"/>
      <c r="K10" s="77"/>
      <c r="L10" s="77"/>
      <c r="M10" s="77"/>
      <c r="N10" s="77"/>
      <c r="O10" s="77"/>
    </row>
    <row r="11" spans="1:15" ht="16.5" thickTop="1" thickBot="1">
      <c r="A11" s="120" t="s">
        <v>67</v>
      </c>
      <c r="B11" s="126" t="s">
        <v>50</v>
      </c>
      <c r="C11" s="127" t="s">
        <v>12</v>
      </c>
      <c r="D11" s="127" t="s">
        <v>13</v>
      </c>
      <c r="E11" s="128"/>
      <c r="F11" s="129" t="s">
        <v>14</v>
      </c>
      <c r="G11" s="130">
        <v>34</v>
      </c>
      <c r="H11" s="130">
        <v>36</v>
      </c>
      <c r="I11" s="130">
        <v>38</v>
      </c>
      <c r="J11" s="130">
        <v>40</v>
      </c>
      <c r="K11" s="130">
        <v>42</v>
      </c>
      <c r="L11" s="130">
        <v>44</v>
      </c>
      <c r="M11" s="130">
        <v>46</v>
      </c>
      <c r="N11" s="130"/>
      <c r="O11" s="76" t="s">
        <v>15</v>
      </c>
    </row>
    <row r="12" spans="1:15" ht="16.5" thickTop="1" thickBot="1">
      <c r="A12" s="121" t="str">
        <f t="shared" ref="A12:A14" si="2">+A11</f>
        <v>4211-01</v>
      </c>
      <c r="B12" s="131" t="s">
        <v>16</v>
      </c>
      <c r="C12" s="131"/>
      <c r="D12" s="131" t="str">
        <f>+B11</f>
        <v>Ayla</v>
      </c>
      <c r="E12" s="132"/>
      <c r="F12" s="41" t="s">
        <v>1</v>
      </c>
      <c r="G12" s="41"/>
      <c r="H12" s="50"/>
      <c r="I12" s="50"/>
      <c r="J12" s="50"/>
      <c r="K12" s="50"/>
      <c r="L12" s="50"/>
      <c r="M12" s="50"/>
      <c r="N12" s="50"/>
      <c r="O12" s="51"/>
    </row>
    <row r="13" spans="1:15" ht="16.5" thickTop="1" thickBot="1">
      <c r="A13" s="121" t="str">
        <f t="shared" si="2"/>
        <v>4211-01</v>
      </c>
      <c r="B13" s="133"/>
      <c r="C13" s="134" t="s">
        <v>17</v>
      </c>
      <c r="D13" s="134" t="s">
        <v>42</v>
      </c>
      <c r="E13" s="135" t="s">
        <v>3</v>
      </c>
      <c r="F13" s="136"/>
      <c r="G13" s="137"/>
      <c r="H13" s="138">
        <v>15</v>
      </c>
      <c r="I13" s="138">
        <v>46</v>
      </c>
      <c r="J13" s="138">
        <v>50</v>
      </c>
      <c r="K13" s="138">
        <v>48</v>
      </c>
      <c r="L13" s="138">
        <v>31</v>
      </c>
      <c r="M13" s="138">
        <v>29</v>
      </c>
      <c r="N13" s="139"/>
      <c r="O13" s="73">
        <f t="shared" ref="O13" si="3">SUM(H13:N13)</f>
        <v>219</v>
      </c>
    </row>
    <row r="14" spans="1:15" ht="16.5" thickTop="1" thickBot="1">
      <c r="A14" s="121" t="str">
        <f t="shared" si="2"/>
        <v>4211-01</v>
      </c>
      <c r="B14" s="133"/>
      <c r="C14" s="133"/>
      <c r="D14" s="140"/>
      <c r="E14" s="135" t="s">
        <v>3</v>
      </c>
      <c r="F14" s="141"/>
      <c r="G14" s="142"/>
      <c r="H14" s="138"/>
      <c r="I14" s="138"/>
      <c r="J14" s="138"/>
      <c r="K14" s="138"/>
      <c r="L14" s="138"/>
      <c r="M14" s="138"/>
      <c r="N14" s="143"/>
      <c r="O14" s="190"/>
    </row>
    <row r="15" spans="1:15" ht="19.5" thickTop="1">
      <c r="O15" s="55">
        <f>SUM(O3:O14)</f>
        <v>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BE12-BFD0-4ECE-BEAF-9A8E02E688F9}">
  <sheetPr>
    <tabColor theme="8" tint="-0.249977111117893"/>
  </sheetPr>
  <dimension ref="A1:O7"/>
  <sheetViews>
    <sheetView workbookViewId="0">
      <selection activeCell="A2" sqref="A2:O6"/>
    </sheetView>
  </sheetViews>
  <sheetFormatPr defaultColWidth="11.42578125" defaultRowHeight="15"/>
  <cols>
    <col min="1" max="1" width="8.5703125" bestFit="1" customWidth="1"/>
    <col min="2" max="2" width="10.85546875" bestFit="1" customWidth="1"/>
    <col min="3" max="3" width="5.140625" bestFit="1" customWidth="1"/>
    <col min="4" max="4" width="10" bestFit="1" customWidth="1"/>
    <col min="5" max="5" width="5.42578125" bestFit="1" customWidth="1"/>
    <col min="6" max="6" width="6.7109375" bestFit="1" customWidth="1"/>
    <col min="7" max="8" width="3.28515625" bestFit="1" customWidth="1"/>
    <col min="9" max="11" width="4.42578125" bestFit="1" customWidth="1"/>
    <col min="12" max="13" width="3.28515625" bestFit="1" customWidth="1"/>
    <col min="15" max="15" width="6.7109375" bestFit="1" customWidth="1"/>
  </cols>
  <sheetData>
    <row r="1" spans="1:15" ht="15.75" thickBot="1"/>
    <row r="2" spans="1:15" ht="16.5" thickTop="1" thickBot="1">
      <c r="A2" s="42" t="s">
        <v>7</v>
      </c>
      <c r="B2" s="125" t="s">
        <v>8</v>
      </c>
      <c r="C2" s="125"/>
      <c r="D2" s="125"/>
      <c r="E2" s="77" t="s">
        <v>9</v>
      </c>
      <c r="F2" s="124"/>
      <c r="G2" s="124"/>
      <c r="H2" s="77"/>
      <c r="I2" s="77"/>
      <c r="J2" s="77"/>
      <c r="K2" s="77"/>
      <c r="L2" s="77"/>
      <c r="M2" s="77"/>
      <c r="N2" s="77"/>
      <c r="O2" s="77"/>
    </row>
    <row r="3" spans="1:15" ht="16.5" thickTop="1" thickBot="1">
      <c r="A3" s="32" t="s">
        <v>63</v>
      </c>
      <c r="B3" s="126" t="s">
        <v>36</v>
      </c>
      <c r="C3" s="127" t="s">
        <v>12</v>
      </c>
      <c r="D3" s="127" t="s">
        <v>37</v>
      </c>
      <c r="E3" s="128"/>
      <c r="F3" s="129" t="s">
        <v>14</v>
      </c>
      <c r="G3" s="130">
        <v>34</v>
      </c>
      <c r="H3" s="130">
        <v>36</v>
      </c>
      <c r="I3" s="130">
        <v>38</v>
      </c>
      <c r="J3" s="130">
        <v>40</v>
      </c>
      <c r="K3" s="130">
        <v>42</v>
      </c>
      <c r="L3" s="130">
        <v>44</v>
      </c>
      <c r="M3" s="130">
        <v>46</v>
      </c>
      <c r="N3" s="130"/>
      <c r="O3" s="76" t="s">
        <v>15</v>
      </c>
    </row>
    <row r="4" spans="1:15" ht="16.5" thickTop="1" thickBot="1">
      <c r="A4" s="33" t="str">
        <f t="shared" ref="A4:A6" si="0">+A3</f>
        <v>4209-00</v>
      </c>
      <c r="B4" s="131" t="s">
        <v>16</v>
      </c>
      <c r="C4" s="131"/>
      <c r="D4" s="131" t="str">
        <f>+B3</f>
        <v>B2868-V3</v>
      </c>
      <c r="E4" s="132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16.5" thickTop="1" thickBot="1">
      <c r="A5" s="33" t="str">
        <f t="shared" si="0"/>
        <v>4209-00</v>
      </c>
      <c r="B5" s="133">
        <v>46063</v>
      </c>
      <c r="C5" s="134" t="s">
        <v>17</v>
      </c>
      <c r="D5" s="134" t="s">
        <v>18</v>
      </c>
      <c r="E5" s="135" t="s">
        <v>3</v>
      </c>
      <c r="F5" s="136">
        <v>11556</v>
      </c>
      <c r="G5" s="137"/>
      <c r="H5" s="138">
        <v>54</v>
      </c>
      <c r="I5" s="138">
        <v>104</v>
      </c>
      <c r="J5" s="138">
        <v>110</v>
      </c>
      <c r="K5" s="138">
        <v>100</v>
      </c>
      <c r="L5" s="138">
        <v>74</v>
      </c>
      <c r="M5" s="138">
        <v>60</v>
      </c>
      <c r="N5" s="139"/>
      <c r="O5" s="73">
        <f t="shared" ref="O5" si="1">SUM(H5:N5)</f>
        <v>502</v>
      </c>
    </row>
    <row r="6" spans="1:15" ht="16.5" thickTop="1" thickBot="1">
      <c r="A6" s="33" t="str">
        <f t="shared" si="0"/>
        <v>4209-00</v>
      </c>
      <c r="B6" s="133"/>
      <c r="C6" s="133"/>
      <c r="D6" s="140"/>
      <c r="E6" s="135" t="s">
        <v>3</v>
      </c>
      <c r="F6" s="141"/>
      <c r="G6" s="142"/>
      <c r="H6" s="138"/>
      <c r="I6" s="138"/>
      <c r="J6" s="138"/>
      <c r="K6" s="138"/>
      <c r="L6" s="138"/>
      <c r="M6" s="138"/>
      <c r="N6" s="143"/>
      <c r="O6" s="73"/>
    </row>
    <row r="7" spans="1:15" ht="15.75" thickTop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DBAD-6A2F-49A6-A20B-3A7466107479}">
  <sheetPr>
    <tabColor theme="8" tint="-0.249977111117893"/>
  </sheetPr>
  <dimension ref="A1:O7"/>
  <sheetViews>
    <sheetView workbookViewId="0">
      <selection activeCell="S10" sqref="S10"/>
    </sheetView>
  </sheetViews>
  <sheetFormatPr defaultColWidth="11.42578125" defaultRowHeight="15"/>
  <cols>
    <col min="1" max="1" width="8.5703125" bestFit="1" customWidth="1"/>
    <col min="2" max="2" width="9.42578125" bestFit="1" customWidth="1"/>
    <col min="3" max="3" width="4.5703125" bestFit="1" customWidth="1"/>
    <col min="4" max="4" width="8.85546875" bestFit="1" customWidth="1"/>
    <col min="5" max="5" width="5.5703125" bestFit="1" customWidth="1"/>
    <col min="6" max="6" width="14.5703125" bestFit="1" customWidth="1"/>
    <col min="7" max="7" width="3.28515625" bestFit="1" customWidth="1"/>
    <col min="8" max="13" width="6.28515625" bestFit="1" customWidth="1"/>
    <col min="15" max="15" width="6.2851562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56</v>
      </c>
      <c r="B3" s="38" t="s">
        <v>36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6" si="0">+A3</f>
        <v>4206-00</v>
      </c>
      <c r="B4" s="39" t="s">
        <v>16</v>
      </c>
      <c r="C4" s="39"/>
      <c r="D4" s="39" t="str">
        <f>+B3</f>
        <v>B2868-V3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>
        <f>SUM(H4:N4)</f>
        <v>0</v>
      </c>
    </row>
    <row r="5" spans="1:15" ht="20.25" thickTop="1" thickBot="1">
      <c r="A5" s="33" t="str">
        <f t="shared" si="0"/>
        <v>4206-00</v>
      </c>
      <c r="B5" s="3">
        <v>46028</v>
      </c>
      <c r="C5" s="4" t="s">
        <v>17</v>
      </c>
      <c r="D5" s="4" t="s">
        <v>18</v>
      </c>
      <c r="E5" s="5" t="s">
        <v>3</v>
      </c>
      <c r="F5" s="29" t="s">
        <v>57</v>
      </c>
      <c r="G5" s="2"/>
      <c r="H5" s="7">
        <v>38</v>
      </c>
      <c r="I5" s="7">
        <v>50</v>
      </c>
      <c r="J5" s="7">
        <v>50</v>
      </c>
      <c r="K5" s="7">
        <v>50</v>
      </c>
      <c r="L5" s="7">
        <v>40</v>
      </c>
      <c r="M5" s="7">
        <v>30</v>
      </c>
      <c r="N5" s="8"/>
      <c r="O5" s="94">
        <f t="shared" ref="O5:O6" si="1">SUM(H5:N5)</f>
        <v>258</v>
      </c>
    </row>
    <row r="6" spans="1:15" ht="20.25" thickTop="1" thickBot="1">
      <c r="A6" s="33" t="str">
        <f t="shared" si="0"/>
        <v>4206-00</v>
      </c>
      <c r="B6" s="3"/>
      <c r="C6" s="3"/>
      <c r="D6" s="52"/>
      <c r="E6" s="5" t="s">
        <v>3</v>
      </c>
      <c r="F6" s="29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15.75" thickTop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00CA-02A1-44CC-9B61-4D2737B1EBBE}">
  <sheetPr>
    <tabColor theme="8" tint="-0.249977111117893"/>
  </sheetPr>
  <dimension ref="A1:O20"/>
  <sheetViews>
    <sheetView workbookViewId="0">
      <selection activeCell="K5" sqref="K5"/>
    </sheetView>
  </sheetViews>
  <sheetFormatPr defaultColWidth="11.42578125" defaultRowHeight="15"/>
  <cols>
    <col min="1" max="1" width="8.5703125" bestFit="1" customWidth="1"/>
    <col min="2" max="2" width="9.42578125" bestFit="1" customWidth="1"/>
    <col min="3" max="3" width="4.5703125" bestFit="1" customWidth="1"/>
    <col min="4" max="4" width="11.28515625" bestFit="1" customWidth="1"/>
    <col min="5" max="5" width="5.5703125" bestFit="1" customWidth="1"/>
    <col min="6" max="6" width="11.28515625" bestFit="1" customWidth="1"/>
    <col min="7" max="7" width="2.42578125" bestFit="1" customWidth="1"/>
    <col min="8" max="13" width="4.140625" bestFit="1" customWidth="1"/>
    <col min="15" max="15" width="5.710937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69</v>
      </c>
      <c r="B3" s="38" t="s">
        <v>36</v>
      </c>
      <c r="C3" s="9" t="s">
        <v>12</v>
      </c>
      <c r="D3" s="9" t="s">
        <v>13</v>
      </c>
      <c r="E3" s="10"/>
      <c r="F3" s="11" t="s">
        <v>14</v>
      </c>
      <c r="G3" s="11"/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10" si="0">+A3</f>
        <v>4213-00</v>
      </c>
      <c r="B4" s="39" t="s">
        <v>16</v>
      </c>
      <c r="C4" s="39"/>
      <c r="D4" s="39" t="str">
        <f>+B3</f>
        <v>B2868-V3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4213-00</v>
      </c>
      <c r="B5" s="3">
        <v>45953</v>
      </c>
      <c r="C5" s="4" t="s">
        <v>17</v>
      </c>
      <c r="D5" s="4" t="s">
        <v>51</v>
      </c>
      <c r="E5" s="5" t="s">
        <v>3</v>
      </c>
      <c r="F5" s="29" t="s">
        <v>70</v>
      </c>
      <c r="G5" s="2"/>
      <c r="H5" s="7">
        <v>23</v>
      </c>
      <c r="I5" s="7">
        <v>40</v>
      </c>
      <c r="J5" s="7">
        <v>47</v>
      </c>
      <c r="K5" s="7">
        <v>42</v>
      </c>
      <c r="L5" s="7">
        <v>30</v>
      </c>
      <c r="M5" s="7">
        <v>18</v>
      </c>
      <c r="N5" s="8"/>
      <c r="O5" s="14">
        <f t="shared" ref="O5:O10" si="1">SUM(H5:N5)</f>
        <v>200</v>
      </c>
    </row>
    <row r="6" spans="1:15" ht="20.25" thickTop="1" thickBot="1">
      <c r="A6" s="33" t="str">
        <f t="shared" si="0"/>
        <v>4213-00</v>
      </c>
      <c r="B6" s="3"/>
      <c r="C6" s="3"/>
      <c r="D6" s="53" t="s">
        <v>71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20.25" thickTop="1" thickBot="1">
      <c r="A7" s="33" t="str">
        <f t="shared" si="0"/>
        <v>4213-00</v>
      </c>
      <c r="B7" s="3"/>
      <c r="C7" s="3"/>
      <c r="D7" s="53" t="s">
        <v>72</v>
      </c>
      <c r="E7" s="5" t="s">
        <v>3</v>
      </c>
      <c r="F7" s="31"/>
      <c r="G7" s="6"/>
      <c r="H7" s="15"/>
      <c r="I7" s="15"/>
      <c r="J7" s="15"/>
      <c r="K7" s="15"/>
      <c r="L7" s="15"/>
      <c r="M7" s="15"/>
      <c r="N7" s="15"/>
      <c r="O7" s="16">
        <f t="shared" si="1"/>
        <v>0</v>
      </c>
    </row>
    <row r="8" spans="1:15" ht="20.25" thickTop="1" thickBot="1">
      <c r="A8" s="33" t="str">
        <f t="shared" si="0"/>
        <v>4213-00</v>
      </c>
      <c r="B8" s="3"/>
      <c r="C8" s="3"/>
      <c r="D8" s="3"/>
      <c r="E8" s="5" t="s">
        <v>3</v>
      </c>
      <c r="F8" s="31"/>
      <c r="G8" s="6"/>
      <c r="H8" s="8"/>
      <c r="I8" s="8"/>
      <c r="J8" s="8"/>
      <c r="K8" s="8"/>
      <c r="L8" s="8"/>
      <c r="M8" s="8"/>
      <c r="N8" s="15"/>
      <c r="O8" s="16">
        <f t="shared" si="1"/>
        <v>0</v>
      </c>
    </row>
    <row r="9" spans="1:15" ht="20.25" thickTop="1" thickBot="1">
      <c r="A9" s="34" t="str">
        <f t="shared" si="0"/>
        <v>4213-00</v>
      </c>
      <c r="B9" s="19"/>
      <c r="C9" s="19"/>
      <c r="D9" s="19"/>
      <c r="E9" s="20" t="s">
        <v>3</v>
      </c>
      <c r="F9" s="30"/>
      <c r="G9" s="21"/>
      <c r="H9" s="22"/>
      <c r="I9" s="22"/>
      <c r="J9" s="22"/>
      <c r="K9" s="22"/>
      <c r="L9" s="22"/>
      <c r="M9" s="22"/>
      <c r="N9" s="22"/>
      <c r="O9" s="23">
        <f t="shared" si="1"/>
        <v>0</v>
      </c>
    </row>
    <row r="10" spans="1:15" ht="16.5" thickTop="1" thickBot="1">
      <c r="A10" s="46" t="str">
        <f t="shared" si="0"/>
        <v>4213-00</v>
      </c>
      <c r="B10" s="47"/>
      <c r="C10" s="47"/>
      <c r="D10" s="47"/>
      <c r="E10" s="48" t="s">
        <v>23</v>
      </c>
      <c r="F10" s="49" t="str">
        <f>+B3</f>
        <v>B2868-V3</v>
      </c>
      <c r="G10" s="48">
        <f>+G4-G5-G6-G7-G9+G8</f>
        <v>0</v>
      </c>
      <c r="H10" s="48">
        <f>+H4-H5-H6-H7-H9+H8</f>
        <v>-23</v>
      </c>
      <c r="I10" s="48">
        <f>+I4-I5-I6-I7-I9+I8</f>
        <v>-40</v>
      </c>
      <c r="J10" s="48">
        <f>+J4-J5-J6-J7-J9-J8</f>
        <v>-47</v>
      </c>
      <c r="K10" s="48">
        <f>+K4-K5-K6-K7-K9-K8</f>
        <v>-42</v>
      </c>
      <c r="L10" s="48">
        <f>+L4-L5-L6-L7-L9-L8</f>
        <v>-30</v>
      </c>
      <c r="M10" s="48">
        <f>+M4-M5-M6-M7-M9-M8</f>
        <v>-18</v>
      </c>
      <c r="N10" s="48"/>
      <c r="O10" s="48">
        <f t="shared" si="1"/>
        <v>-200</v>
      </c>
    </row>
    <row r="11" spans="1:15" ht="16.5" thickTop="1" thickBot="1">
      <c r="A11" s="42" t="s">
        <v>7</v>
      </c>
      <c r="B11" s="43" t="s">
        <v>8</v>
      </c>
      <c r="C11" s="43"/>
      <c r="D11" s="43"/>
      <c r="E11" s="44" t="s">
        <v>9</v>
      </c>
      <c r="F11" s="45"/>
      <c r="G11" s="45"/>
      <c r="H11" s="44"/>
      <c r="I11" s="44"/>
      <c r="J11" s="44"/>
      <c r="K11" s="44"/>
      <c r="L11" s="44"/>
      <c r="M11" s="44"/>
      <c r="N11" s="44"/>
      <c r="O11" s="44"/>
    </row>
    <row r="12" spans="1:15" ht="17.25" thickTop="1" thickBot="1">
      <c r="A12" s="32" t="s">
        <v>73</v>
      </c>
      <c r="B12" s="38" t="s">
        <v>36</v>
      </c>
      <c r="C12" s="9" t="s">
        <v>12</v>
      </c>
      <c r="D12" s="9" t="s">
        <v>13</v>
      </c>
      <c r="E12" s="10"/>
      <c r="F12" s="11" t="s">
        <v>14</v>
      </c>
      <c r="G12" s="11"/>
      <c r="H12" s="12">
        <v>36</v>
      </c>
      <c r="I12" s="12">
        <v>38</v>
      </c>
      <c r="J12" s="12">
        <v>40</v>
      </c>
      <c r="K12" s="12">
        <v>42</v>
      </c>
      <c r="L12" s="12">
        <v>44</v>
      </c>
      <c r="M12" s="12">
        <v>46</v>
      </c>
      <c r="N12" s="12"/>
      <c r="O12" s="13" t="s">
        <v>15</v>
      </c>
    </row>
    <row r="13" spans="1:15" ht="16.5" thickTop="1" thickBot="1">
      <c r="A13" s="33" t="str">
        <f t="shared" ref="A13:A19" si="2">+A12</f>
        <v>4213-01</v>
      </c>
      <c r="B13" s="39" t="s">
        <v>16</v>
      </c>
      <c r="C13" s="39"/>
      <c r="D13" s="39" t="str">
        <f>+B12</f>
        <v>B2868-V3</v>
      </c>
      <c r="E13" s="40"/>
      <c r="F13" s="41" t="s">
        <v>1</v>
      </c>
      <c r="G13" s="41"/>
      <c r="H13" s="50"/>
      <c r="I13" s="50"/>
      <c r="J13" s="50"/>
      <c r="K13" s="50"/>
      <c r="L13" s="50"/>
      <c r="M13" s="50"/>
      <c r="N13" s="50"/>
      <c r="O13" s="51"/>
    </row>
    <row r="14" spans="1:15" ht="20.25" thickTop="1" thickBot="1">
      <c r="A14" s="33" t="str">
        <f t="shared" si="2"/>
        <v>4213-01</v>
      </c>
      <c r="B14" s="3">
        <v>46006</v>
      </c>
      <c r="C14" s="4" t="s">
        <v>17</v>
      </c>
      <c r="D14" s="4" t="s">
        <v>51</v>
      </c>
      <c r="E14" s="5" t="s">
        <v>3</v>
      </c>
      <c r="F14" s="29" t="s">
        <v>70</v>
      </c>
      <c r="G14" s="2"/>
      <c r="H14" s="7">
        <v>34</v>
      </c>
      <c r="I14" s="7">
        <v>60</v>
      </c>
      <c r="J14" s="7">
        <v>71</v>
      </c>
      <c r="K14" s="7">
        <v>62</v>
      </c>
      <c r="L14" s="7">
        <v>46</v>
      </c>
      <c r="M14" s="7">
        <v>27</v>
      </c>
      <c r="N14" s="8"/>
      <c r="O14" s="14">
        <f t="shared" ref="O14:O19" si="3">SUM(H14:N14)</f>
        <v>300</v>
      </c>
    </row>
    <row r="15" spans="1:15" ht="20.25" thickTop="1" thickBot="1">
      <c r="A15" s="33" t="str">
        <f t="shared" si="2"/>
        <v>4213-01</v>
      </c>
      <c r="B15" s="3">
        <v>45953</v>
      </c>
      <c r="C15" s="3"/>
      <c r="D15" s="53" t="s">
        <v>71</v>
      </c>
      <c r="E15" s="5" t="s">
        <v>3</v>
      </c>
      <c r="F15" s="31"/>
      <c r="G15" s="6"/>
      <c r="H15" s="7"/>
      <c r="I15" s="7"/>
      <c r="J15" s="7"/>
      <c r="K15" s="7"/>
      <c r="L15" s="7"/>
      <c r="M15" s="7"/>
      <c r="N15" s="15"/>
      <c r="O15" s="14">
        <f t="shared" si="3"/>
        <v>0</v>
      </c>
    </row>
    <row r="16" spans="1:15" ht="20.25" thickTop="1" thickBot="1">
      <c r="A16" s="33" t="str">
        <f t="shared" si="2"/>
        <v>4213-01</v>
      </c>
      <c r="B16" s="3"/>
      <c r="C16" s="3"/>
      <c r="D16" s="53" t="s">
        <v>74</v>
      </c>
      <c r="E16" s="5" t="s">
        <v>3</v>
      </c>
      <c r="F16" s="31"/>
      <c r="G16" s="6"/>
      <c r="H16" s="15"/>
      <c r="I16" s="15"/>
      <c r="J16" s="15"/>
      <c r="K16" s="15"/>
      <c r="L16" s="15"/>
      <c r="M16" s="15"/>
      <c r="N16" s="15"/>
      <c r="O16" s="16">
        <f t="shared" si="3"/>
        <v>0</v>
      </c>
    </row>
    <row r="17" spans="1:15" ht="20.25" thickTop="1" thickBot="1">
      <c r="A17" s="33" t="str">
        <f t="shared" si="2"/>
        <v>4213-01</v>
      </c>
      <c r="B17" s="3"/>
      <c r="C17" s="3"/>
      <c r="D17" s="3"/>
      <c r="E17" s="5" t="s">
        <v>3</v>
      </c>
      <c r="F17" s="31"/>
      <c r="G17" s="6"/>
      <c r="H17" s="8"/>
      <c r="I17" s="8"/>
      <c r="J17" s="8"/>
      <c r="K17" s="8"/>
      <c r="L17" s="8"/>
      <c r="M17" s="8"/>
      <c r="N17" s="15"/>
      <c r="O17" s="16">
        <f t="shared" si="3"/>
        <v>0</v>
      </c>
    </row>
    <row r="18" spans="1:15" ht="20.25" thickTop="1" thickBot="1">
      <c r="A18" s="34" t="str">
        <f t="shared" si="2"/>
        <v>4213-01</v>
      </c>
      <c r="B18" s="19"/>
      <c r="C18" s="19"/>
      <c r="D18" s="19"/>
      <c r="E18" s="20" t="s">
        <v>3</v>
      </c>
      <c r="F18" s="30"/>
      <c r="G18" s="21"/>
      <c r="H18" s="22"/>
      <c r="I18" s="22"/>
      <c r="J18" s="22"/>
      <c r="K18" s="22"/>
      <c r="L18" s="22"/>
      <c r="M18" s="22"/>
      <c r="N18" s="22"/>
      <c r="O18" s="23">
        <f t="shared" si="3"/>
        <v>0</v>
      </c>
    </row>
    <row r="19" spans="1:15" ht="16.5" thickTop="1" thickBot="1">
      <c r="A19" s="46" t="str">
        <f t="shared" si="2"/>
        <v>4213-01</v>
      </c>
      <c r="B19" s="47"/>
      <c r="C19" s="47"/>
      <c r="D19" s="47"/>
      <c r="E19" s="48" t="s">
        <v>23</v>
      </c>
      <c r="F19" s="49" t="str">
        <f>+B12</f>
        <v>B2868-V3</v>
      </c>
      <c r="G19" s="48">
        <f>+G13-G14-G15-G16-G18+G17</f>
        <v>0</v>
      </c>
      <c r="H19" s="48">
        <f>+H13-H14-H15-H16-H18+H17</f>
        <v>-34</v>
      </c>
      <c r="I19" s="48">
        <f>+I13-I14-I15-I16-I18+I17</f>
        <v>-60</v>
      </c>
      <c r="J19" s="48">
        <f>+J13-J14-J15-J16-J18-J17</f>
        <v>-71</v>
      </c>
      <c r="K19" s="48">
        <f>+K13-K14-K15-K16-K18-K17</f>
        <v>-62</v>
      </c>
      <c r="L19" s="48">
        <f>+L13-L14-L15-L16-L18-L17</f>
        <v>-46</v>
      </c>
      <c r="M19" s="48">
        <f>+M13-M14-M15-M16-M18-M17</f>
        <v>-27</v>
      </c>
      <c r="N19" s="48"/>
      <c r="O19" s="48">
        <f t="shared" si="3"/>
        <v>-300</v>
      </c>
    </row>
    <row r="20" spans="1:15" ht="15.75" thickTop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62AF-5F86-447B-90FD-408147D60DF1}">
  <sheetPr>
    <tabColor theme="8" tint="-0.249977111117893"/>
  </sheetPr>
  <dimension ref="A1:AA48"/>
  <sheetViews>
    <sheetView workbookViewId="0">
      <selection activeCell="V15" sqref="V15"/>
    </sheetView>
  </sheetViews>
  <sheetFormatPr defaultColWidth="11.42578125" defaultRowHeight="15"/>
  <cols>
    <col min="1" max="1" width="11" bestFit="1" customWidth="1"/>
    <col min="2" max="2" width="10.85546875" bestFit="1" customWidth="1"/>
    <col min="3" max="3" width="5.140625" bestFit="1" customWidth="1"/>
    <col min="4" max="4" width="10" bestFit="1" customWidth="1"/>
    <col min="5" max="5" width="5.42578125" bestFit="1" customWidth="1"/>
    <col min="6" max="6" width="8.42578125" bestFit="1" customWidth="1"/>
    <col min="7" max="8" width="3.28515625" bestFit="1" customWidth="1"/>
    <col min="9" max="13" width="3.7109375" bestFit="1" customWidth="1"/>
    <col min="15" max="15" width="6.7109375" bestFit="1" customWidth="1"/>
    <col min="19" max="19" width="10" bestFit="1" customWidth="1"/>
    <col min="20" max="20" width="12.5703125" bestFit="1" customWidth="1"/>
    <col min="21" max="21" width="4.140625" bestFit="1" customWidth="1"/>
    <col min="22" max="24" width="5.5703125" bestFit="1" customWidth="1"/>
    <col min="25" max="26" width="4.140625" bestFit="1" customWidth="1"/>
    <col min="27" max="27" width="7" bestFit="1" customWidth="1"/>
  </cols>
  <sheetData>
    <row r="1" spans="1:15" ht="15.75" thickBot="1">
      <c r="A1" s="197" t="s">
        <v>7</v>
      </c>
      <c r="B1" s="198" t="s">
        <v>8</v>
      </c>
      <c r="C1" s="198"/>
      <c r="D1" s="198"/>
      <c r="E1" s="199" t="s">
        <v>9</v>
      </c>
      <c r="F1" s="200"/>
      <c r="G1" s="200"/>
      <c r="H1" s="199"/>
      <c r="I1" s="199"/>
      <c r="J1" s="199"/>
      <c r="K1" s="199"/>
      <c r="L1" s="199"/>
      <c r="M1" s="199"/>
      <c r="N1" s="199"/>
      <c r="O1" s="201"/>
    </row>
    <row r="2" spans="1:15" ht="17.25" thickTop="1" thickBot="1">
      <c r="A2" s="202" t="s">
        <v>77</v>
      </c>
      <c r="B2" s="38" t="s">
        <v>36</v>
      </c>
      <c r="C2" s="9" t="s">
        <v>12</v>
      </c>
      <c r="D2" s="9" t="s">
        <v>13</v>
      </c>
      <c r="E2" s="10"/>
      <c r="F2" s="11" t="s">
        <v>14</v>
      </c>
      <c r="G2" s="12">
        <v>34</v>
      </c>
      <c r="H2" s="12">
        <v>36</v>
      </c>
      <c r="I2" s="12">
        <v>38</v>
      </c>
      <c r="J2" s="12">
        <v>40</v>
      </c>
      <c r="K2" s="12">
        <v>42</v>
      </c>
      <c r="L2" s="12">
        <v>44</v>
      </c>
      <c r="M2" s="12">
        <v>46</v>
      </c>
      <c r="N2" s="12"/>
      <c r="O2" s="203" t="s">
        <v>15</v>
      </c>
    </row>
    <row r="3" spans="1:15" ht="16.5" thickTop="1" thickBot="1">
      <c r="A3" s="204" t="str">
        <f t="shared" ref="A3:A5" si="0">+A2</f>
        <v>4214-00</v>
      </c>
      <c r="B3" s="39" t="s">
        <v>16</v>
      </c>
      <c r="C3" s="39"/>
      <c r="D3" s="39" t="str">
        <f>+B2</f>
        <v>B2868-V3</v>
      </c>
      <c r="E3" s="40"/>
      <c r="F3" s="41" t="s">
        <v>1</v>
      </c>
      <c r="G3" s="41"/>
      <c r="H3" s="50"/>
      <c r="I3" s="50"/>
      <c r="J3" s="50"/>
      <c r="K3" s="50"/>
      <c r="L3" s="50"/>
      <c r="M3" s="50"/>
      <c r="N3" s="50"/>
      <c r="O3" s="205"/>
    </row>
    <row r="4" spans="1:15" ht="20.25" thickTop="1" thickBot="1">
      <c r="A4" s="204" t="str">
        <f t="shared" si="0"/>
        <v>4214-00</v>
      </c>
      <c r="B4" s="3">
        <v>46006</v>
      </c>
      <c r="C4" s="4" t="s">
        <v>17</v>
      </c>
      <c r="D4" s="4" t="s">
        <v>51</v>
      </c>
      <c r="E4" s="5" t="s">
        <v>3</v>
      </c>
      <c r="F4" s="29">
        <v>11541</v>
      </c>
      <c r="G4" s="2"/>
      <c r="H4" s="7">
        <f>78-H7-H16-H25</f>
        <v>26</v>
      </c>
      <c r="I4" s="7">
        <f>119-I7-I16-I25</f>
        <v>39</v>
      </c>
      <c r="J4" s="7">
        <f>124-J7-J16-J25</f>
        <v>41</v>
      </c>
      <c r="K4" s="7">
        <f>119-K7-K16-K25</f>
        <v>36</v>
      </c>
      <c r="L4" s="7">
        <f>78-L7-L16-L25</f>
        <v>5</v>
      </c>
      <c r="M4" s="7">
        <f>50-M7-M16-M25</f>
        <v>-16</v>
      </c>
      <c r="N4" s="8"/>
      <c r="O4" s="206">
        <f t="shared" ref="O4" si="1">SUM(H4:N4)</f>
        <v>131</v>
      </c>
    </row>
    <row r="5" spans="1:15" ht="20.25" thickTop="1" thickBot="1">
      <c r="A5" s="204" t="str">
        <f t="shared" si="0"/>
        <v>4214-00</v>
      </c>
      <c r="B5" s="3"/>
      <c r="C5" s="3"/>
      <c r="D5" s="52" t="s">
        <v>78</v>
      </c>
      <c r="E5" s="5" t="s">
        <v>3</v>
      </c>
      <c r="F5" s="31"/>
      <c r="G5" s="6"/>
      <c r="H5" s="7"/>
      <c r="I5" s="7"/>
      <c r="J5" s="7"/>
      <c r="K5" s="7"/>
      <c r="L5" s="7"/>
      <c r="M5" s="7"/>
      <c r="N5" s="15"/>
      <c r="O5" s="207"/>
    </row>
    <row r="6" spans="1:15" ht="15.75" thickTop="1">
      <c r="A6" s="208"/>
      <c r="O6" s="209"/>
    </row>
    <row r="7" spans="1:15">
      <c r="A7" s="208"/>
      <c r="O7" s="209"/>
    </row>
    <row r="8" spans="1:15">
      <c r="A8" s="208"/>
      <c r="O8" s="209"/>
    </row>
    <row r="9" spans="1:15">
      <c r="A9" s="208"/>
      <c r="O9" s="209"/>
    </row>
    <row r="10" spans="1:15">
      <c r="A10" s="208"/>
      <c r="O10" s="209"/>
    </row>
    <row r="11" spans="1:15">
      <c r="A11" s="208"/>
      <c r="O11" s="209"/>
    </row>
    <row r="12" spans="1:15">
      <c r="A12" s="208"/>
      <c r="O12" s="209"/>
    </row>
    <row r="13" spans="1:15" ht="15.75" thickBot="1">
      <c r="A13" s="208"/>
      <c r="O13" s="209"/>
    </row>
    <row r="14" spans="1:15" ht="17.25" thickTop="1" thickBot="1">
      <c r="A14" s="202" t="s">
        <v>82</v>
      </c>
      <c r="B14" s="38" t="s">
        <v>36</v>
      </c>
      <c r="C14" s="9" t="s">
        <v>12</v>
      </c>
      <c r="D14" s="9" t="s">
        <v>13</v>
      </c>
      <c r="E14" s="10"/>
      <c r="F14" s="11" t="s">
        <v>14</v>
      </c>
      <c r="G14" s="12">
        <v>34</v>
      </c>
      <c r="H14" s="12">
        <v>36</v>
      </c>
      <c r="I14" s="12">
        <v>38</v>
      </c>
      <c r="J14" s="12">
        <v>40</v>
      </c>
      <c r="K14" s="12">
        <v>42</v>
      </c>
      <c r="L14" s="12">
        <v>44</v>
      </c>
      <c r="M14" s="12">
        <v>46</v>
      </c>
      <c r="N14" s="12"/>
      <c r="O14" s="203" t="s">
        <v>15</v>
      </c>
    </row>
    <row r="15" spans="1:15" ht="16.5" thickTop="1" thickBot="1">
      <c r="A15" s="204" t="str">
        <f t="shared" ref="A15:A17" si="2">+A14</f>
        <v>4214-02</v>
      </c>
      <c r="B15" s="39" t="s">
        <v>16</v>
      </c>
      <c r="C15" s="39"/>
      <c r="D15" s="39" t="str">
        <f>+B14</f>
        <v>B2868-V3</v>
      </c>
      <c r="E15" s="40"/>
      <c r="F15" s="41" t="s">
        <v>1</v>
      </c>
      <c r="G15" s="41"/>
      <c r="H15" s="50"/>
      <c r="I15" s="50"/>
      <c r="J15" s="50"/>
      <c r="K15" s="50"/>
      <c r="L15" s="50"/>
      <c r="M15" s="50"/>
      <c r="N15" s="50"/>
      <c r="O15" s="205"/>
    </row>
    <row r="16" spans="1:15" ht="20.25" thickTop="1" thickBot="1">
      <c r="A16" s="204" t="str">
        <f t="shared" si="2"/>
        <v>4214-02</v>
      </c>
      <c r="B16" s="3"/>
      <c r="C16" s="4" t="s">
        <v>17</v>
      </c>
      <c r="D16" s="4" t="s">
        <v>51</v>
      </c>
      <c r="E16" s="5" t="s">
        <v>3</v>
      </c>
      <c r="F16" s="29">
        <v>11541</v>
      </c>
      <c r="G16" s="2"/>
      <c r="H16" s="7">
        <v>16</v>
      </c>
      <c r="I16" s="7">
        <v>42</v>
      </c>
      <c r="J16" s="7">
        <v>43</v>
      </c>
      <c r="K16" s="7">
        <v>41</v>
      </c>
      <c r="L16" s="7">
        <v>29</v>
      </c>
      <c r="M16" s="7">
        <v>20</v>
      </c>
      <c r="N16" s="8"/>
      <c r="O16" s="206">
        <f t="shared" ref="O16" si="3">SUM(H16:N16)</f>
        <v>191</v>
      </c>
    </row>
    <row r="17" spans="1:27" ht="20.25" thickTop="1" thickBot="1">
      <c r="A17" s="204" t="str">
        <f t="shared" si="2"/>
        <v>4214-02</v>
      </c>
      <c r="B17" s="3"/>
      <c r="C17" s="3"/>
      <c r="D17" s="52" t="s">
        <v>78</v>
      </c>
      <c r="E17" s="5" t="s">
        <v>3</v>
      </c>
      <c r="F17" s="31"/>
      <c r="G17" s="6"/>
      <c r="H17" s="7"/>
      <c r="I17" s="7"/>
      <c r="J17" s="7"/>
      <c r="K17" s="7"/>
      <c r="L17" s="7"/>
      <c r="M17" s="7"/>
      <c r="N17" s="15"/>
      <c r="O17" s="210"/>
    </row>
    <row r="18" spans="1:27" ht="16.5" thickTop="1">
      <c r="A18" s="208"/>
      <c r="O18" s="211">
        <f>SUM(O3:O17)</f>
        <v>322</v>
      </c>
    </row>
    <row r="19" spans="1:27">
      <c r="A19" s="208"/>
      <c r="O19" s="209"/>
    </row>
    <row r="20" spans="1:27" ht="15.75" thickBot="1">
      <c r="A20" s="212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4"/>
    </row>
    <row r="22" spans="1:27" ht="15.75" thickBot="1"/>
    <row r="23" spans="1:27" ht="15.75" thickBot="1">
      <c r="A23" s="226" t="s">
        <v>447</v>
      </c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6"/>
    </row>
    <row r="24" spans="1:27" ht="20.25" thickTop="1" thickBot="1">
      <c r="A24" s="217" t="s">
        <v>7</v>
      </c>
      <c r="B24" s="125" t="s">
        <v>8</v>
      </c>
      <c r="C24" s="125"/>
      <c r="D24" s="125"/>
      <c r="E24" s="77" t="s">
        <v>9</v>
      </c>
      <c r="F24" s="124"/>
      <c r="G24" s="124"/>
      <c r="H24" s="77"/>
      <c r="I24" s="77"/>
      <c r="J24" s="77"/>
      <c r="K24" s="77"/>
      <c r="L24" s="77"/>
      <c r="M24" s="77"/>
      <c r="N24" s="77"/>
      <c r="O24" s="218"/>
      <c r="S24" s="192" t="s">
        <v>3</v>
      </c>
      <c r="T24" s="193">
        <v>46070</v>
      </c>
      <c r="U24" s="192">
        <v>36</v>
      </c>
      <c r="V24" s="192">
        <v>38</v>
      </c>
      <c r="W24" s="192">
        <v>40</v>
      </c>
      <c r="X24" s="192">
        <v>42</v>
      </c>
      <c r="Y24" s="160">
        <v>44</v>
      </c>
      <c r="Z24" s="160">
        <v>46</v>
      </c>
      <c r="AA24" s="160" t="s">
        <v>28</v>
      </c>
    </row>
    <row r="25" spans="1:27" ht="20.25" thickTop="1" thickBot="1">
      <c r="A25" s="219" t="s">
        <v>77</v>
      </c>
      <c r="B25" s="126" t="s">
        <v>36</v>
      </c>
      <c r="C25" s="127" t="s">
        <v>12</v>
      </c>
      <c r="D25" s="127" t="s">
        <v>13</v>
      </c>
      <c r="E25" s="128"/>
      <c r="F25" s="129" t="s">
        <v>14</v>
      </c>
      <c r="G25" s="130">
        <v>34</v>
      </c>
      <c r="H25" s="130">
        <v>36</v>
      </c>
      <c r="I25" s="130">
        <v>38</v>
      </c>
      <c r="J25" s="130">
        <v>40</v>
      </c>
      <c r="K25" s="130">
        <v>42</v>
      </c>
      <c r="L25" s="130">
        <v>44</v>
      </c>
      <c r="M25" s="130">
        <v>46</v>
      </c>
      <c r="N25" s="130"/>
      <c r="O25" s="220" t="s">
        <v>15</v>
      </c>
      <c r="S25" s="194" t="s">
        <v>29</v>
      </c>
      <c r="T25" s="192">
        <v>11559</v>
      </c>
      <c r="U25" s="194">
        <v>28</v>
      </c>
      <c r="V25" s="194">
        <v>100</v>
      </c>
      <c r="W25" s="194">
        <v>110</v>
      </c>
      <c r="X25" s="194">
        <v>100</v>
      </c>
      <c r="Y25" s="194">
        <v>78</v>
      </c>
      <c r="Z25" s="194">
        <v>84</v>
      </c>
      <c r="AA25" s="194">
        <v>500</v>
      </c>
    </row>
    <row r="26" spans="1:27" ht="20.25" thickTop="1" thickBot="1">
      <c r="A26" s="221" t="str">
        <f t="shared" ref="A26:A28" si="4">+A25</f>
        <v>4214-00</v>
      </c>
      <c r="B26" s="131" t="s">
        <v>16</v>
      </c>
      <c r="C26" s="131"/>
      <c r="D26" s="131" t="str">
        <f>+B25</f>
        <v>B2868-V3</v>
      </c>
      <c r="E26" s="132"/>
      <c r="F26" s="41" t="s">
        <v>1</v>
      </c>
      <c r="G26" s="41"/>
      <c r="H26" s="50"/>
      <c r="I26" s="50"/>
      <c r="J26" s="50"/>
      <c r="K26" s="50"/>
      <c r="L26" s="50"/>
      <c r="M26" s="50"/>
      <c r="N26" s="50"/>
      <c r="O26" s="205"/>
      <c r="S26" s="195" t="s">
        <v>30</v>
      </c>
      <c r="T26" s="196">
        <v>4214</v>
      </c>
      <c r="U26" s="191"/>
      <c r="V26" s="191"/>
      <c r="W26" s="191"/>
      <c r="X26" s="191"/>
      <c r="Y26" s="27"/>
      <c r="Z26" s="27"/>
      <c r="AA26" s="27"/>
    </row>
    <row r="27" spans="1:27" ht="20.25" thickTop="1" thickBot="1">
      <c r="A27" s="221" t="str">
        <f t="shared" si="4"/>
        <v>4214-00</v>
      </c>
      <c r="B27" s="133"/>
      <c r="C27" s="133"/>
      <c r="D27" s="133" t="s">
        <v>79</v>
      </c>
      <c r="E27" s="135" t="s">
        <v>3</v>
      </c>
      <c r="F27" s="154" t="s">
        <v>80</v>
      </c>
      <c r="G27" s="142"/>
      <c r="H27" s="143"/>
      <c r="I27" s="143">
        <v>32</v>
      </c>
      <c r="J27" s="143">
        <v>34</v>
      </c>
      <c r="K27" s="143">
        <v>36</v>
      </c>
      <c r="L27" s="143">
        <v>33</v>
      </c>
      <c r="M27" s="143">
        <v>48</v>
      </c>
      <c r="N27" s="143"/>
      <c r="O27" s="222">
        <f>SUM(H27:N27)</f>
        <v>183</v>
      </c>
      <c r="S27" s="194" t="s">
        <v>32</v>
      </c>
      <c r="T27" s="192" t="s">
        <v>36</v>
      </c>
      <c r="U27" s="191"/>
      <c r="V27" s="191"/>
      <c r="W27" s="191"/>
      <c r="X27" s="191"/>
      <c r="Y27" s="27"/>
      <c r="Z27" s="27"/>
      <c r="AA27" s="27"/>
    </row>
    <row r="28" spans="1:27" ht="20.25" thickTop="1" thickBot="1">
      <c r="A28" s="221" t="str">
        <f t="shared" si="4"/>
        <v>4214-00</v>
      </c>
      <c r="B28" s="133"/>
      <c r="C28" s="133"/>
      <c r="D28" s="133"/>
      <c r="E28" s="135" t="s">
        <v>3</v>
      </c>
      <c r="F28" s="141"/>
      <c r="G28" s="142"/>
      <c r="H28" s="139"/>
      <c r="I28" s="139"/>
      <c r="J28" s="139"/>
      <c r="K28" s="139"/>
      <c r="L28" s="139"/>
      <c r="M28" s="139"/>
      <c r="N28" s="143"/>
      <c r="O28" s="222"/>
      <c r="S28" s="194" t="s">
        <v>12</v>
      </c>
      <c r="T28" s="192" t="s">
        <v>13</v>
      </c>
      <c r="U28" s="191"/>
      <c r="V28" s="191"/>
      <c r="W28" s="191"/>
      <c r="X28" s="191"/>
      <c r="Y28" s="27"/>
      <c r="Z28" s="27"/>
      <c r="AA28" s="27"/>
    </row>
    <row r="29" spans="1:27" ht="20.25" thickTop="1" thickBot="1">
      <c r="A29" s="227" t="s">
        <v>448</v>
      </c>
      <c r="O29" s="209"/>
      <c r="S29" s="194" t="s">
        <v>17</v>
      </c>
      <c r="T29" s="192" t="s">
        <v>51</v>
      </c>
      <c r="U29" s="191"/>
      <c r="V29" s="191"/>
      <c r="W29" s="191"/>
      <c r="X29" s="191"/>
      <c r="Y29" s="27"/>
      <c r="Z29" s="27"/>
      <c r="AA29" s="27"/>
    </row>
    <row r="30" spans="1:27" ht="16.5" thickTop="1" thickBot="1">
      <c r="A30" s="219" t="s">
        <v>81</v>
      </c>
      <c r="B30" s="126" t="s">
        <v>36</v>
      </c>
      <c r="C30" s="127" t="s">
        <v>12</v>
      </c>
      <c r="D30" s="127" t="s">
        <v>13</v>
      </c>
      <c r="E30" s="128"/>
      <c r="F30" s="129" t="s">
        <v>14</v>
      </c>
      <c r="G30" s="130">
        <v>34</v>
      </c>
      <c r="H30" s="130">
        <v>36</v>
      </c>
      <c r="I30" s="130">
        <v>38</v>
      </c>
      <c r="J30" s="130">
        <v>40</v>
      </c>
      <c r="K30" s="130">
        <v>42</v>
      </c>
      <c r="L30" s="130">
        <v>44</v>
      </c>
      <c r="M30" s="130">
        <v>46</v>
      </c>
      <c r="N30" s="130"/>
      <c r="O30" s="220" t="s">
        <v>15</v>
      </c>
    </row>
    <row r="31" spans="1:27" ht="16.5" thickTop="1" thickBot="1">
      <c r="A31" s="221" t="str">
        <f t="shared" ref="A31:A34" si="5">+A30</f>
        <v>4214-01</v>
      </c>
      <c r="B31" s="131" t="s">
        <v>16</v>
      </c>
      <c r="C31" s="131"/>
      <c r="D31" s="131" t="str">
        <f>+B30</f>
        <v>B2868-V3</v>
      </c>
      <c r="E31" s="132"/>
      <c r="F31" s="41" t="s">
        <v>1</v>
      </c>
      <c r="G31" s="41"/>
      <c r="H31" s="50"/>
      <c r="I31" s="50"/>
      <c r="J31" s="50"/>
      <c r="K31" s="50"/>
      <c r="L31" s="50"/>
      <c r="M31" s="50"/>
      <c r="N31" s="50"/>
      <c r="O31" s="205"/>
    </row>
    <row r="32" spans="1:27" ht="16.5" thickTop="1" thickBot="1">
      <c r="A32" s="221" t="str">
        <f t="shared" si="5"/>
        <v>4214-01</v>
      </c>
      <c r="B32" s="133"/>
      <c r="C32" s="134" t="s">
        <v>17</v>
      </c>
      <c r="D32" s="134" t="s">
        <v>51</v>
      </c>
      <c r="E32" s="135" t="s">
        <v>3</v>
      </c>
      <c r="F32" s="136"/>
      <c r="G32" s="137"/>
      <c r="H32" s="138"/>
      <c r="I32" s="138"/>
      <c r="J32" s="138"/>
      <c r="K32" s="138"/>
      <c r="L32" s="138"/>
      <c r="M32" s="138"/>
      <c r="N32" s="139"/>
      <c r="O32" s="223"/>
    </row>
    <row r="33" spans="1:15" ht="16.5" thickTop="1" thickBot="1">
      <c r="A33" s="221" t="str">
        <f t="shared" si="5"/>
        <v>4214-01</v>
      </c>
      <c r="B33" s="133"/>
      <c r="C33" s="133"/>
      <c r="D33" s="140" t="s">
        <v>78</v>
      </c>
      <c r="E33" s="135" t="s">
        <v>3</v>
      </c>
      <c r="F33" s="154" t="s">
        <v>80</v>
      </c>
      <c r="G33" s="142"/>
      <c r="H33" s="138">
        <v>14</v>
      </c>
      <c r="I33" s="138">
        <v>33</v>
      </c>
      <c r="J33" s="138">
        <v>43</v>
      </c>
      <c r="K33" s="138">
        <v>36</v>
      </c>
      <c r="L33" s="138">
        <v>27</v>
      </c>
      <c r="M33" s="138">
        <v>20</v>
      </c>
      <c r="N33" s="143"/>
      <c r="O33" s="223">
        <f t="shared" ref="O33" si="6">SUM(H33:N33)</f>
        <v>173</v>
      </c>
    </row>
    <row r="34" spans="1:15" ht="16.5" thickTop="1" thickBot="1">
      <c r="A34" s="221" t="str">
        <f t="shared" si="5"/>
        <v>4214-01</v>
      </c>
      <c r="B34" s="133"/>
      <c r="C34" s="133"/>
      <c r="D34" s="133"/>
      <c r="E34" s="135" t="s">
        <v>3</v>
      </c>
      <c r="F34" s="141"/>
      <c r="G34" s="142"/>
      <c r="H34" s="143"/>
      <c r="I34" s="143"/>
      <c r="J34" s="143"/>
      <c r="K34" s="143"/>
      <c r="L34" s="143"/>
      <c r="M34" s="143"/>
      <c r="N34" s="143"/>
      <c r="O34" s="222"/>
    </row>
    <row r="35" spans="1:15" ht="16.5" thickTop="1" thickBot="1">
      <c r="A35" s="227" t="s">
        <v>449</v>
      </c>
      <c r="O35" s="209"/>
    </row>
    <row r="36" spans="1:15" ht="16.5" thickTop="1" thickBot="1">
      <c r="A36" s="217" t="s">
        <v>7</v>
      </c>
      <c r="B36" s="125" t="s">
        <v>8</v>
      </c>
      <c r="C36" s="125"/>
      <c r="D36" s="125"/>
      <c r="E36" s="77" t="s">
        <v>9</v>
      </c>
      <c r="F36" s="124"/>
      <c r="G36" s="124"/>
      <c r="H36" s="77"/>
      <c r="I36" s="77"/>
      <c r="J36" s="77"/>
      <c r="K36" s="77"/>
      <c r="L36" s="77"/>
      <c r="M36" s="77"/>
      <c r="N36" s="77"/>
      <c r="O36" s="218"/>
    </row>
    <row r="37" spans="1:15" ht="16.5" thickTop="1" thickBot="1">
      <c r="A37" s="219" t="s">
        <v>82</v>
      </c>
      <c r="B37" s="126" t="s">
        <v>36</v>
      </c>
      <c r="C37" s="127" t="s">
        <v>12</v>
      </c>
      <c r="D37" s="127" t="s">
        <v>13</v>
      </c>
      <c r="E37" s="128"/>
      <c r="F37" s="129" t="s">
        <v>14</v>
      </c>
      <c r="G37" s="130">
        <v>34</v>
      </c>
      <c r="H37" s="130">
        <v>36</v>
      </c>
      <c r="I37" s="130">
        <v>38</v>
      </c>
      <c r="J37" s="130">
        <v>40</v>
      </c>
      <c r="K37" s="130">
        <v>42</v>
      </c>
      <c r="L37" s="130">
        <v>44</v>
      </c>
      <c r="M37" s="130">
        <v>46</v>
      </c>
      <c r="N37" s="130"/>
      <c r="O37" s="220" t="s">
        <v>15</v>
      </c>
    </row>
    <row r="38" spans="1:15" ht="16.5" thickTop="1" thickBot="1">
      <c r="A38" s="221" t="str">
        <f t="shared" ref="A38" si="7">+A37</f>
        <v>4214-02</v>
      </c>
      <c r="B38" s="131" t="s">
        <v>16</v>
      </c>
      <c r="C38" s="131"/>
      <c r="D38" s="131" t="str">
        <f>+B37</f>
        <v>B2868-V3</v>
      </c>
      <c r="E38" s="132"/>
      <c r="F38" s="41" t="s">
        <v>1</v>
      </c>
      <c r="G38" s="41"/>
      <c r="H38" s="50"/>
      <c r="I38" s="50"/>
      <c r="J38" s="50"/>
      <c r="K38" s="50"/>
      <c r="L38" s="50"/>
      <c r="M38" s="50"/>
      <c r="N38" s="50"/>
      <c r="O38" s="205"/>
    </row>
    <row r="39" spans="1:15" ht="16.5" thickTop="1" thickBot="1">
      <c r="A39" s="221" t="s">
        <v>82</v>
      </c>
      <c r="B39" s="133"/>
      <c r="C39" s="134"/>
      <c r="D39" s="134" t="s">
        <v>78</v>
      </c>
      <c r="E39" s="135" t="s">
        <v>3</v>
      </c>
      <c r="F39" s="136" t="s">
        <v>80</v>
      </c>
      <c r="G39" s="137"/>
      <c r="H39" s="138">
        <v>4</v>
      </c>
      <c r="I39" s="138">
        <v>6</v>
      </c>
      <c r="J39" s="138">
        <v>3</v>
      </c>
      <c r="K39" s="138">
        <v>6</v>
      </c>
      <c r="L39" s="138">
        <v>6</v>
      </c>
      <c r="M39" s="138">
        <v>9</v>
      </c>
      <c r="N39" s="139"/>
      <c r="O39" s="223">
        <v>34</v>
      </c>
    </row>
    <row r="40" spans="1:15" ht="16.5" thickTop="1" thickBot="1">
      <c r="A40" s="221" t="s">
        <v>82</v>
      </c>
      <c r="B40" s="133"/>
      <c r="C40" s="133"/>
      <c r="D40" s="140"/>
      <c r="E40" s="135"/>
      <c r="F40" s="154"/>
      <c r="G40" s="142"/>
      <c r="H40" s="138"/>
      <c r="I40" s="138"/>
      <c r="J40" s="138"/>
      <c r="K40" s="138"/>
      <c r="L40" s="138"/>
      <c r="M40" s="138"/>
      <c r="N40" s="143"/>
      <c r="O40" s="223"/>
    </row>
    <row r="41" spans="1:15" ht="16.5" thickTop="1" thickBot="1">
      <c r="A41" s="208"/>
      <c r="O41" s="209"/>
    </row>
    <row r="42" spans="1:15" ht="17.25" thickTop="1" thickBot="1">
      <c r="A42" s="228" t="s">
        <v>448</v>
      </c>
      <c r="B42" s="225" t="s">
        <v>27</v>
      </c>
      <c r="O42" s="209"/>
    </row>
    <row r="43" spans="1:15" ht="16.5" thickTop="1" thickBot="1">
      <c r="A43" s="217" t="s">
        <v>7</v>
      </c>
      <c r="B43" s="125" t="s">
        <v>8</v>
      </c>
      <c r="C43" s="125"/>
      <c r="D43" s="125"/>
      <c r="E43" s="77" t="s">
        <v>9</v>
      </c>
      <c r="F43" s="124"/>
      <c r="G43" s="124"/>
      <c r="H43" s="77"/>
      <c r="I43" s="77"/>
      <c r="J43" s="77"/>
      <c r="K43" s="77"/>
      <c r="L43" s="77"/>
      <c r="M43" s="77"/>
      <c r="N43" s="77"/>
      <c r="O43" s="218"/>
    </row>
    <row r="44" spans="1:15" ht="16.5" thickTop="1" thickBot="1">
      <c r="A44" s="219" t="s">
        <v>83</v>
      </c>
      <c r="B44" s="126" t="s">
        <v>36</v>
      </c>
      <c r="C44" s="127" t="s">
        <v>12</v>
      </c>
      <c r="D44" s="127" t="s">
        <v>13</v>
      </c>
      <c r="E44" s="128"/>
      <c r="F44" s="129" t="s">
        <v>14</v>
      </c>
      <c r="G44" s="130">
        <v>34</v>
      </c>
      <c r="H44" s="130">
        <v>36</v>
      </c>
      <c r="I44" s="130">
        <v>38</v>
      </c>
      <c r="J44" s="130">
        <v>40</v>
      </c>
      <c r="K44" s="130">
        <v>42</v>
      </c>
      <c r="L44" s="130">
        <v>44</v>
      </c>
      <c r="M44" s="130">
        <v>46</v>
      </c>
      <c r="N44" s="130"/>
      <c r="O44" s="220" t="s">
        <v>15</v>
      </c>
    </row>
    <row r="45" spans="1:15" ht="16.5" thickTop="1" thickBot="1">
      <c r="A45" s="221" t="str">
        <f t="shared" ref="A45:A47" si="8">+A44</f>
        <v>4214-60</v>
      </c>
      <c r="B45" s="131" t="s">
        <v>16</v>
      </c>
      <c r="C45" s="131"/>
      <c r="D45" s="131" t="str">
        <f>+B44</f>
        <v>B2868-V3</v>
      </c>
      <c r="E45" s="132"/>
      <c r="F45" s="41" t="s">
        <v>1</v>
      </c>
      <c r="G45" s="41"/>
      <c r="H45" s="50"/>
      <c r="I45" s="50"/>
      <c r="J45" s="50"/>
      <c r="K45" s="50"/>
      <c r="L45" s="50"/>
      <c r="M45" s="50"/>
      <c r="N45" s="50"/>
      <c r="O45" s="205"/>
    </row>
    <row r="46" spans="1:15" ht="16.5" thickTop="1" thickBot="1">
      <c r="A46" s="221" t="str">
        <f t="shared" si="8"/>
        <v>4214-60</v>
      </c>
      <c r="B46" s="133"/>
      <c r="C46" s="134" t="s">
        <v>17</v>
      </c>
      <c r="D46" s="134" t="s">
        <v>51</v>
      </c>
      <c r="E46" s="135" t="s">
        <v>3</v>
      </c>
      <c r="F46" s="154" t="s">
        <v>80</v>
      </c>
      <c r="G46" s="142"/>
      <c r="H46" s="138">
        <v>10</v>
      </c>
      <c r="I46" s="138">
        <v>29</v>
      </c>
      <c r="J46" s="138">
        <v>30</v>
      </c>
      <c r="K46" s="138">
        <v>22</v>
      </c>
      <c r="L46" s="138">
        <v>12</v>
      </c>
      <c r="M46" s="138">
        <v>7</v>
      </c>
      <c r="N46" s="143"/>
      <c r="O46" s="223">
        <f>SUM(H46:N46)</f>
        <v>110</v>
      </c>
    </row>
    <row r="47" spans="1:15" ht="16.5" thickTop="1" thickBot="1">
      <c r="A47" s="221" t="str">
        <f t="shared" si="8"/>
        <v>4214-60</v>
      </c>
      <c r="B47" s="133"/>
      <c r="C47" s="133"/>
      <c r="D47" s="140" t="s">
        <v>78</v>
      </c>
      <c r="E47" s="135" t="s">
        <v>3</v>
      </c>
      <c r="O47" s="209"/>
    </row>
    <row r="48" spans="1:15" ht="20.25" thickTop="1" thickBot="1">
      <c r="A48" s="212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24">
        <f>SUM(O26:O47)</f>
        <v>500</v>
      </c>
    </row>
  </sheetData>
  <phoneticPr fontId="3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2D07-5DCD-4752-AFA5-26281ADD507E}">
  <sheetPr>
    <tabColor theme="8" tint="-0.249977111117893"/>
  </sheetPr>
  <dimension ref="A1:O45"/>
  <sheetViews>
    <sheetView topLeftCell="A17" workbookViewId="0">
      <selection activeCell="A23" sqref="A23:O45"/>
    </sheetView>
  </sheetViews>
  <sheetFormatPr defaultColWidth="11.42578125" defaultRowHeight="15"/>
  <cols>
    <col min="1" max="1" width="8.5703125" bestFit="1" customWidth="1"/>
    <col min="2" max="2" width="9.42578125" bestFit="1" customWidth="1"/>
    <col min="3" max="3" width="4.5703125" bestFit="1" customWidth="1"/>
    <col min="4" max="4" width="27.140625" bestFit="1" customWidth="1"/>
    <col min="5" max="5" width="5.5703125" bestFit="1" customWidth="1"/>
    <col min="6" max="6" width="11.85546875" bestFit="1" customWidth="1"/>
    <col min="7" max="7" width="2.42578125" bestFit="1" customWidth="1"/>
    <col min="8" max="13" width="4.140625" bestFit="1" customWidth="1"/>
    <col min="15" max="15" width="5.710937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86</v>
      </c>
      <c r="B3" s="38" t="s">
        <v>36</v>
      </c>
      <c r="C3" s="9" t="s">
        <v>12</v>
      </c>
      <c r="D3" s="9" t="s">
        <v>13</v>
      </c>
      <c r="E3" s="10"/>
      <c r="F3" s="11" t="s">
        <v>14</v>
      </c>
      <c r="G3" s="11"/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10" si="0">+A3</f>
        <v>4218-00</v>
      </c>
      <c r="B4" s="39" t="s">
        <v>16</v>
      </c>
      <c r="C4" s="39"/>
      <c r="D4" s="39" t="str">
        <f>+B3</f>
        <v>B2868-V3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4218-00</v>
      </c>
      <c r="B5" s="3">
        <v>46006</v>
      </c>
      <c r="C5" s="4" t="s">
        <v>17</v>
      </c>
      <c r="D5" s="4" t="s">
        <v>31</v>
      </c>
      <c r="E5" s="5" t="s">
        <v>3</v>
      </c>
      <c r="F5" s="29" t="s">
        <v>88</v>
      </c>
      <c r="G5" s="2"/>
      <c r="H5" s="7">
        <f>50-H14</f>
        <v>20</v>
      </c>
      <c r="I5" s="7">
        <f>82-I14</f>
        <v>34</v>
      </c>
      <c r="J5" s="7">
        <f>103-J14</f>
        <v>43</v>
      </c>
      <c r="K5" s="7">
        <f>92-K14</f>
        <v>38</v>
      </c>
      <c r="L5" s="7">
        <f>65-L14</f>
        <v>27</v>
      </c>
      <c r="M5" s="7">
        <f>38-M14</f>
        <v>14</v>
      </c>
      <c r="N5" s="8"/>
      <c r="O5" s="59">
        <f t="shared" ref="O5" si="1">SUM(H5:N5)</f>
        <v>176</v>
      </c>
    </row>
    <row r="6" spans="1:15" ht="20.25" thickTop="1" thickBot="1">
      <c r="A6" s="33" t="str">
        <f t="shared" si="0"/>
        <v>4218-00</v>
      </c>
      <c r="B6" s="3"/>
      <c r="C6" s="3"/>
      <c r="D6" s="53" t="s">
        <v>89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/>
    </row>
    <row r="7" spans="1:15" ht="20.25" thickTop="1" thickBot="1">
      <c r="A7" s="33" t="str">
        <f t="shared" si="0"/>
        <v>4218-00</v>
      </c>
      <c r="B7" s="3"/>
      <c r="C7" s="3"/>
      <c r="D7" s="53" t="s">
        <v>91</v>
      </c>
      <c r="E7" s="5" t="s">
        <v>3</v>
      </c>
      <c r="F7" s="31"/>
      <c r="G7" s="6"/>
      <c r="H7" s="15"/>
      <c r="I7" s="15"/>
      <c r="J7" s="15"/>
      <c r="K7" s="15"/>
      <c r="L7" s="15"/>
      <c r="M7" s="15"/>
      <c r="N7" s="15"/>
      <c r="O7" s="16"/>
    </row>
    <row r="8" spans="1:15" ht="20.25" thickTop="1" thickBot="1">
      <c r="A8" s="33" t="str">
        <f t="shared" si="0"/>
        <v>4218-00</v>
      </c>
      <c r="B8" s="3"/>
      <c r="C8" s="3"/>
      <c r="D8" s="3"/>
      <c r="E8" s="5" t="s">
        <v>3</v>
      </c>
      <c r="F8" s="31"/>
      <c r="G8" s="6"/>
      <c r="H8" s="8"/>
      <c r="I8" s="8"/>
      <c r="J8" s="8"/>
      <c r="K8" s="8"/>
      <c r="L8" s="8"/>
      <c r="M8" s="8"/>
      <c r="N8" s="15"/>
      <c r="O8" s="16"/>
    </row>
    <row r="9" spans="1:15" ht="20.25" thickTop="1" thickBot="1">
      <c r="A9" s="34" t="str">
        <f t="shared" si="0"/>
        <v>4218-00</v>
      </c>
      <c r="B9" s="19"/>
      <c r="C9" s="19"/>
      <c r="D9" s="19"/>
      <c r="E9" s="20" t="s">
        <v>3</v>
      </c>
      <c r="F9" s="30"/>
      <c r="G9" s="21"/>
      <c r="H9" s="22"/>
      <c r="I9" s="22"/>
      <c r="J9" s="22"/>
      <c r="K9" s="22"/>
      <c r="L9" s="22"/>
      <c r="M9" s="22"/>
      <c r="N9" s="22"/>
      <c r="O9" s="23"/>
    </row>
    <row r="10" spans="1:15" ht="16.5" thickTop="1" thickBot="1">
      <c r="A10" s="46" t="str">
        <f t="shared" si="0"/>
        <v>4218-00</v>
      </c>
      <c r="B10" s="47"/>
      <c r="C10" s="47"/>
      <c r="D10" s="47"/>
      <c r="E10" s="48" t="s">
        <v>23</v>
      </c>
      <c r="F10" s="49" t="str">
        <f>+B3</f>
        <v>B2868-V3</v>
      </c>
      <c r="G10" s="48"/>
      <c r="H10" s="48"/>
      <c r="I10" s="48"/>
      <c r="J10" s="48"/>
      <c r="K10" s="48"/>
      <c r="L10" s="48"/>
      <c r="M10" s="48"/>
      <c r="N10" s="48"/>
      <c r="O10" s="48"/>
    </row>
    <row r="11" spans="1:15" ht="16.5" thickTop="1" thickBot="1">
      <c r="A11" s="42" t="s">
        <v>7</v>
      </c>
      <c r="B11" s="43" t="s">
        <v>8</v>
      </c>
      <c r="C11" s="43"/>
      <c r="D11" s="43"/>
      <c r="E11" s="44" t="s">
        <v>9</v>
      </c>
      <c r="F11" s="45"/>
      <c r="G11" s="45"/>
      <c r="H11" s="44"/>
      <c r="I11" s="44"/>
      <c r="J11" s="44"/>
      <c r="K11" s="44"/>
      <c r="L11" s="44"/>
      <c r="M11" s="44"/>
      <c r="N11" s="44"/>
      <c r="O11" s="44"/>
    </row>
    <row r="12" spans="1:15" ht="17.25" thickTop="1" thickBot="1">
      <c r="A12" s="32" t="s">
        <v>92</v>
      </c>
      <c r="B12" s="38" t="s">
        <v>36</v>
      </c>
      <c r="C12" s="9" t="s">
        <v>12</v>
      </c>
      <c r="D12" s="9" t="s">
        <v>13</v>
      </c>
      <c r="E12" s="10"/>
      <c r="F12" s="11" t="s">
        <v>14</v>
      </c>
      <c r="G12" s="11"/>
      <c r="H12" s="12">
        <v>36</v>
      </c>
      <c r="I12" s="12">
        <v>38</v>
      </c>
      <c r="J12" s="12">
        <v>40</v>
      </c>
      <c r="K12" s="12">
        <v>42</v>
      </c>
      <c r="L12" s="12">
        <v>44</v>
      </c>
      <c r="M12" s="12">
        <v>46</v>
      </c>
      <c r="N12" s="12"/>
      <c r="O12" s="13" t="s">
        <v>15</v>
      </c>
    </row>
    <row r="13" spans="1:15" ht="16.5" thickTop="1" thickBot="1">
      <c r="A13" s="33" t="str">
        <f t="shared" ref="A13:A19" si="2">+A12</f>
        <v>4218-01</v>
      </c>
      <c r="B13" s="39" t="s">
        <v>16</v>
      </c>
      <c r="C13" s="39"/>
      <c r="D13" s="39" t="str">
        <f>+B12</f>
        <v>B2868-V3</v>
      </c>
      <c r="E13" s="40"/>
      <c r="F13" s="41" t="s">
        <v>1</v>
      </c>
      <c r="G13" s="41"/>
      <c r="H13" s="50"/>
      <c r="I13" s="50"/>
      <c r="J13" s="50"/>
      <c r="K13" s="50"/>
      <c r="L13" s="50"/>
      <c r="M13" s="50"/>
      <c r="N13" s="50"/>
      <c r="O13" s="51"/>
    </row>
    <row r="14" spans="1:15" ht="20.25" thickTop="1" thickBot="1">
      <c r="A14" s="33" t="str">
        <f t="shared" si="2"/>
        <v>4218-01</v>
      </c>
      <c r="B14" s="3">
        <v>46006</v>
      </c>
      <c r="C14" s="4" t="s">
        <v>17</v>
      </c>
      <c r="D14" s="4" t="s">
        <v>31</v>
      </c>
      <c r="E14" s="5" t="s">
        <v>3</v>
      </c>
      <c r="F14" s="29" t="s">
        <v>88</v>
      </c>
      <c r="G14" s="2"/>
      <c r="H14" s="7">
        <v>30</v>
      </c>
      <c r="I14" s="7">
        <v>48</v>
      </c>
      <c r="J14" s="7">
        <v>60</v>
      </c>
      <c r="K14" s="7">
        <v>54</v>
      </c>
      <c r="L14" s="7">
        <v>38</v>
      </c>
      <c r="M14" s="7">
        <v>24</v>
      </c>
      <c r="N14" s="8"/>
      <c r="O14" s="59">
        <f t="shared" ref="O14" si="3">SUM(H14:N14)</f>
        <v>254</v>
      </c>
    </row>
    <row r="15" spans="1:15" ht="20.25" thickTop="1" thickBot="1">
      <c r="A15" s="33" t="str">
        <f t="shared" si="2"/>
        <v>4218-01</v>
      </c>
      <c r="B15" s="3"/>
      <c r="C15" s="3"/>
      <c r="D15" s="53" t="s">
        <v>89</v>
      </c>
      <c r="E15" s="5" t="s">
        <v>3</v>
      </c>
      <c r="F15" s="31"/>
      <c r="G15" s="6"/>
      <c r="H15" s="7"/>
      <c r="I15" s="7"/>
      <c r="J15" s="7"/>
      <c r="K15" s="7"/>
      <c r="L15" s="7"/>
      <c r="M15" s="7"/>
      <c r="N15" s="15"/>
      <c r="O15" s="14"/>
    </row>
    <row r="16" spans="1:15" ht="20.25" thickTop="1" thickBot="1">
      <c r="A16" s="33" t="str">
        <f t="shared" si="2"/>
        <v>4218-01</v>
      </c>
      <c r="B16" s="3"/>
      <c r="C16" s="3"/>
      <c r="D16" s="53" t="s">
        <v>93</v>
      </c>
      <c r="E16" s="5" t="s">
        <v>3</v>
      </c>
      <c r="F16" s="31"/>
      <c r="G16" s="6"/>
      <c r="H16" s="15"/>
      <c r="I16" s="15"/>
      <c r="J16" s="15"/>
      <c r="K16" s="15"/>
      <c r="L16" s="15"/>
      <c r="M16" s="15"/>
      <c r="N16" s="15"/>
      <c r="O16" s="16"/>
    </row>
    <row r="17" spans="1:15" ht="20.25" thickTop="1" thickBot="1">
      <c r="A17" s="33" t="str">
        <f t="shared" si="2"/>
        <v>4218-01</v>
      </c>
      <c r="B17" s="3"/>
      <c r="C17" s="3"/>
      <c r="D17" s="3"/>
      <c r="E17" s="5" t="s">
        <v>3</v>
      </c>
      <c r="F17" s="31"/>
      <c r="G17" s="6"/>
      <c r="H17" s="8"/>
      <c r="I17" s="8"/>
      <c r="J17" s="8"/>
      <c r="K17" s="8"/>
      <c r="L17" s="8"/>
      <c r="M17" s="8"/>
      <c r="N17" s="15"/>
      <c r="O17" s="16"/>
    </row>
    <row r="18" spans="1:15" ht="20.25" thickTop="1" thickBot="1">
      <c r="A18" s="34" t="str">
        <f t="shared" si="2"/>
        <v>4218-01</v>
      </c>
      <c r="B18" s="19"/>
      <c r="C18" s="19"/>
      <c r="D18" s="19"/>
      <c r="E18" s="20" t="s">
        <v>3</v>
      </c>
      <c r="F18" s="30"/>
      <c r="G18" s="21"/>
      <c r="H18" s="22"/>
      <c r="I18" s="22"/>
      <c r="J18" s="22"/>
      <c r="K18" s="22"/>
      <c r="L18" s="22"/>
      <c r="M18" s="22"/>
      <c r="N18" s="22"/>
      <c r="O18" s="23"/>
    </row>
    <row r="19" spans="1:15" ht="16.5" thickTop="1" thickBot="1">
      <c r="A19" s="46" t="str">
        <f t="shared" si="2"/>
        <v>4218-01</v>
      </c>
      <c r="B19" s="47"/>
      <c r="C19" s="47"/>
      <c r="D19" s="47"/>
      <c r="E19" s="48" t="s">
        <v>23</v>
      </c>
      <c r="F19" s="49" t="str">
        <f>+B12</f>
        <v>B2868-V3</v>
      </c>
      <c r="G19" s="48"/>
      <c r="H19" s="48"/>
      <c r="I19" s="48"/>
      <c r="J19" s="48"/>
      <c r="K19" s="48"/>
      <c r="L19" s="48"/>
      <c r="M19" s="48"/>
      <c r="N19" s="48"/>
      <c r="O19" s="48"/>
    </row>
    <row r="20" spans="1:15" ht="15.75" thickTop="1"/>
    <row r="22" spans="1:15" ht="15.75" thickBot="1"/>
    <row r="23" spans="1:15" ht="15.75" thickBot="1">
      <c r="A23" s="401" t="s">
        <v>7</v>
      </c>
      <c r="B23" s="198" t="s">
        <v>8</v>
      </c>
      <c r="C23" s="198"/>
      <c r="D23" s="198"/>
      <c r="E23" s="199" t="s">
        <v>9</v>
      </c>
      <c r="F23" s="200"/>
      <c r="G23" s="200"/>
      <c r="H23" s="199"/>
      <c r="I23" s="199"/>
      <c r="J23" s="199"/>
      <c r="K23" s="199"/>
      <c r="L23" s="199"/>
      <c r="M23" s="199"/>
      <c r="N23" s="199"/>
      <c r="O23" s="201"/>
    </row>
    <row r="24" spans="1:15" ht="16.5" thickTop="1" thickBot="1">
      <c r="A24" s="402" t="s">
        <v>86</v>
      </c>
      <c r="B24" s="38" t="s">
        <v>87</v>
      </c>
      <c r="C24" s="9" t="s">
        <v>12</v>
      </c>
      <c r="D24" s="9" t="s">
        <v>13</v>
      </c>
      <c r="E24" s="10"/>
      <c r="F24" s="256" t="s">
        <v>14</v>
      </c>
      <c r="G24" s="257">
        <v>34</v>
      </c>
      <c r="H24" s="257">
        <v>36</v>
      </c>
      <c r="I24" s="257">
        <v>38</v>
      </c>
      <c r="J24" s="257">
        <v>40</v>
      </c>
      <c r="K24" s="257">
        <v>42</v>
      </c>
      <c r="L24" s="257">
        <v>44</v>
      </c>
      <c r="M24" s="257">
        <v>46</v>
      </c>
      <c r="N24" s="257"/>
      <c r="O24" s="403" t="s">
        <v>15</v>
      </c>
    </row>
    <row r="25" spans="1:15" ht="16.5" thickTop="1" thickBot="1">
      <c r="A25" s="404" t="str">
        <f t="shared" ref="A25:A28" si="4">+A24</f>
        <v>4218-00</v>
      </c>
      <c r="B25" s="39" t="s">
        <v>16</v>
      </c>
      <c r="C25" s="39"/>
      <c r="D25" s="39" t="str">
        <f>+B24</f>
        <v>New  Glue</v>
      </c>
      <c r="E25" s="40"/>
      <c r="F25" s="261" t="s">
        <v>1</v>
      </c>
      <c r="G25" s="261"/>
      <c r="H25" s="262"/>
      <c r="I25" s="262"/>
      <c r="J25" s="262"/>
      <c r="K25" s="262"/>
      <c r="L25" s="262"/>
      <c r="M25" s="262"/>
      <c r="N25" s="262"/>
      <c r="O25" s="405"/>
    </row>
    <row r="26" spans="1:15" ht="16.5" thickTop="1" thickBot="1">
      <c r="A26" s="404" t="str">
        <f t="shared" si="4"/>
        <v>4218-00</v>
      </c>
      <c r="B26" s="3">
        <v>46006</v>
      </c>
      <c r="C26" s="4" t="s">
        <v>17</v>
      </c>
      <c r="D26" s="4" t="s">
        <v>42</v>
      </c>
      <c r="E26" s="5" t="s">
        <v>3</v>
      </c>
      <c r="F26" s="265"/>
      <c r="G26" s="2"/>
      <c r="H26" s="7"/>
      <c r="I26" s="7"/>
      <c r="J26" s="7"/>
      <c r="K26" s="7"/>
      <c r="L26" s="7"/>
      <c r="M26" s="7"/>
      <c r="N26" s="8"/>
      <c r="O26" s="207"/>
    </row>
    <row r="27" spans="1:15" ht="16.5" thickTop="1" thickBot="1">
      <c r="A27" s="404" t="str">
        <f t="shared" si="4"/>
        <v>4218-00</v>
      </c>
      <c r="B27" s="3">
        <v>46057</v>
      </c>
      <c r="C27" s="3"/>
      <c r="D27" s="57" t="s">
        <v>89</v>
      </c>
      <c r="E27" s="5" t="s">
        <v>3</v>
      </c>
      <c r="F27" s="269" t="s">
        <v>90</v>
      </c>
      <c r="G27" s="6"/>
      <c r="H27" s="7">
        <v>58</v>
      </c>
      <c r="I27" s="7">
        <v>131</v>
      </c>
      <c r="J27" s="7">
        <v>146</v>
      </c>
      <c r="K27" s="7">
        <v>136</v>
      </c>
      <c r="L27" s="7">
        <v>97</v>
      </c>
      <c r="M27" s="7">
        <v>83</v>
      </c>
      <c r="N27" s="15"/>
      <c r="O27" s="207">
        <f t="shared" ref="O27" si="5">SUM(H27:N27)</f>
        <v>651</v>
      </c>
    </row>
    <row r="28" spans="1:15" ht="16.5" thickTop="1" thickBot="1">
      <c r="A28" s="404" t="str">
        <f t="shared" si="4"/>
        <v>4218-00</v>
      </c>
      <c r="B28" s="3"/>
      <c r="C28" s="3"/>
      <c r="D28" s="57" t="s">
        <v>91</v>
      </c>
      <c r="E28" s="5" t="s">
        <v>3</v>
      </c>
      <c r="F28" s="269"/>
      <c r="G28" s="6"/>
      <c r="H28" s="15"/>
      <c r="I28" s="15"/>
      <c r="J28" s="15"/>
      <c r="K28" s="15"/>
      <c r="L28" s="15"/>
      <c r="M28" s="15"/>
      <c r="N28" s="15"/>
      <c r="O28" s="406"/>
    </row>
    <row r="29" spans="1:15" ht="15.75" thickTop="1">
      <c r="A29" s="208"/>
      <c r="O29" s="209"/>
    </row>
    <row r="30" spans="1:15" ht="15.75" thickBot="1">
      <c r="A30" s="208"/>
      <c r="O30" s="209"/>
    </row>
    <row r="31" spans="1:15" ht="16.5" thickTop="1" thickBot="1">
      <c r="A31" s="407" t="s">
        <v>7</v>
      </c>
      <c r="B31" s="43" t="s">
        <v>8</v>
      </c>
      <c r="C31" s="43"/>
      <c r="D31" s="43"/>
      <c r="E31" s="44" t="s">
        <v>9</v>
      </c>
      <c r="F31" s="45"/>
      <c r="G31" s="45"/>
      <c r="H31" s="44"/>
      <c r="I31" s="44"/>
      <c r="J31" s="44"/>
      <c r="K31" s="44"/>
      <c r="L31" s="44"/>
      <c r="M31" s="44"/>
      <c r="N31" s="44"/>
      <c r="O31" s="408"/>
    </row>
    <row r="32" spans="1:15" ht="16.5" thickTop="1" thickBot="1">
      <c r="A32" s="402" t="s">
        <v>92</v>
      </c>
      <c r="B32" s="38" t="s">
        <v>87</v>
      </c>
      <c r="C32" s="9" t="s">
        <v>12</v>
      </c>
      <c r="D32" s="9" t="s">
        <v>13</v>
      </c>
      <c r="E32" s="10"/>
      <c r="F32" s="256" t="s">
        <v>14</v>
      </c>
      <c r="G32" s="257">
        <v>34</v>
      </c>
      <c r="H32" s="257">
        <v>36</v>
      </c>
      <c r="I32" s="257">
        <v>38</v>
      </c>
      <c r="J32" s="257">
        <v>40</v>
      </c>
      <c r="K32" s="257">
        <v>42</v>
      </c>
      <c r="L32" s="257">
        <v>44</v>
      </c>
      <c r="M32" s="257">
        <v>46</v>
      </c>
      <c r="N32" s="257"/>
      <c r="O32" s="403" t="s">
        <v>15</v>
      </c>
    </row>
    <row r="33" spans="1:15" ht="16.5" thickTop="1" thickBot="1">
      <c r="A33" s="404" t="str">
        <f t="shared" ref="A33:A36" si="6">+A32</f>
        <v>4218-01</v>
      </c>
      <c r="B33" s="39" t="s">
        <v>16</v>
      </c>
      <c r="C33" s="39"/>
      <c r="D33" s="39" t="str">
        <f>+B32</f>
        <v>New  Glue</v>
      </c>
      <c r="E33" s="40"/>
      <c r="F33" s="261" t="s">
        <v>1</v>
      </c>
      <c r="G33" s="261"/>
      <c r="H33" s="262"/>
      <c r="I33" s="262"/>
      <c r="J33" s="262"/>
      <c r="K33" s="262"/>
      <c r="L33" s="262"/>
      <c r="M33" s="262"/>
      <c r="N33" s="262"/>
      <c r="O33" s="405"/>
    </row>
    <row r="34" spans="1:15" ht="16.5" thickTop="1" thickBot="1">
      <c r="A34" s="404" t="str">
        <f t="shared" si="6"/>
        <v>4218-01</v>
      </c>
      <c r="B34" s="3">
        <v>46006</v>
      </c>
      <c r="C34" s="4" t="s">
        <v>17</v>
      </c>
      <c r="D34" s="4" t="s">
        <v>42</v>
      </c>
      <c r="E34" s="5" t="s">
        <v>3</v>
      </c>
      <c r="F34" s="265"/>
      <c r="G34" s="2"/>
      <c r="H34" s="7"/>
      <c r="I34" s="7"/>
      <c r="J34" s="7"/>
      <c r="K34" s="7"/>
      <c r="L34" s="7"/>
      <c r="M34" s="7"/>
      <c r="N34" s="8"/>
      <c r="O34" s="207"/>
    </row>
    <row r="35" spans="1:15" ht="16.5" thickTop="1" thickBot="1">
      <c r="A35" s="404" t="str">
        <f t="shared" si="6"/>
        <v>4218-01</v>
      </c>
      <c r="B35" s="3"/>
      <c r="C35" s="3"/>
      <c r="D35" s="57" t="s">
        <v>89</v>
      </c>
      <c r="E35" s="5" t="s">
        <v>3</v>
      </c>
      <c r="F35" s="269" t="s">
        <v>90</v>
      </c>
      <c r="G35" s="6"/>
      <c r="H35" s="7">
        <v>16</v>
      </c>
      <c r="I35" s="7">
        <v>39</v>
      </c>
      <c r="J35" s="7">
        <v>36</v>
      </c>
      <c r="K35" s="7">
        <v>34</v>
      </c>
      <c r="L35" s="7">
        <v>24</v>
      </c>
      <c r="M35" s="7">
        <v>20</v>
      </c>
      <c r="N35" s="15"/>
      <c r="O35" s="207">
        <f t="shared" ref="O35" si="7">SUM(H35:N35)</f>
        <v>169</v>
      </c>
    </row>
    <row r="36" spans="1:15" ht="16.5" thickTop="1" thickBot="1">
      <c r="A36" s="404" t="str">
        <f t="shared" si="6"/>
        <v>4218-01</v>
      </c>
      <c r="B36" s="3"/>
      <c r="C36" s="3"/>
      <c r="D36" s="57" t="s">
        <v>93</v>
      </c>
      <c r="E36" s="5" t="s">
        <v>3</v>
      </c>
      <c r="F36" s="269"/>
      <c r="G36" s="6"/>
      <c r="H36" s="15"/>
      <c r="I36" s="15"/>
      <c r="J36" s="15"/>
      <c r="K36" s="15"/>
      <c r="L36" s="15"/>
      <c r="M36" s="15"/>
      <c r="N36" s="15"/>
      <c r="O36" s="406"/>
    </row>
    <row r="37" spans="1:15" ht="15.75" thickTop="1">
      <c r="A37" s="208"/>
      <c r="O37" s="209"/>
    </row>
    <row r="38" spans="1:15" ht="15.75" thickBot="1">
      <c r="A38" s="208"/>
      <c r="O38" s="209"/>
    </row>
    <row r="39" spans="1:15" ht="16.5" thickTop="1" thickBot="1">
      <c r="A39" s="407" t="s">
        <v>7</v>
      </c>
      <c r="B39" s="43" t="s">
        <v>8</v>
      </c>
      <c r="C39" s="43"/>
      <c r="D39" s="43"/>
      <c r="E39" s="44" t="s">
        <v>9</v>
      </c>
      <c r="F39" s="45"/>
      <c r="G39" s="45"/>
      <c r="H39" s="44"/>
      <c r="I39" s="44"/>
      <c r="J39" s="44"/>
      <c r="K39" s="44"/>
      <c r="L39" s="44"/>
      <c r="M39" s="44"/>
      <c r="N39" s="44"/>
      <c r="O39" s="408"/>
    </row>
    <row r="40" spans="1:15" ht="16.5" thickTop="1" thickBot="1">
      <c r="A40" s="402" t="s">
        <v>94</v>
      </c>
      <c r="B40" s="38" t="s">
        <v>95</v>
      </c>
      <c r="C40" s="9" t="s">
        <v>12</v>
      </c>
      <c r="D40" s="9" t="s">
        <v>13</v>
      </c>
      <c r="E40" s="10"/>
      <c r="F40" s="256" t="s">
        <v>14</v>
      </c>
      <c r="G40" s="257">
        <v>34</v>
      </c>
      <c r="H40" s="257">
        <v>36</v>
      </c>
      <c r="I40" s="257">
        <v>38</v>
      </c>
      <c r="J40" s="257">
        <v>40</v>
      </c>
      <c r="K40" s="257">
        <v>42</v>
      </c>
      <c r="L40" s="257">
        <v>44</v>
      </c>
      <c r="M40" s="257">
        <v>46</v>
      </c>
      <c r="N40" s="257"/>
      <c r="O40" s="403" t="s">
        <v>15</v>
      </c>
    </row>
    <row r="41" spans="1:15" ht="16.5" thickTop="1" thickBot="1">
      <c r="A41" s="404" t="str">
        <f t="shared" ref="A41:A44" si="8">+A40</f>
        <v>4218-02</v>
      </c>
      <c r="B41" s="39" t="s">
        <v>16</v>
      </c>
      <c r="C41" s="39"/>
      <c r="D41" s="39" t="str">
        <f>+B40</f>
        <v>New Glue</v>
      </c>
      <c r="E41" s="40"/>
      <c r="F41" s="261" t="s">
        <v>1</v>
      </c>
      <c r="G41" s="261"/>
      <c r="H41" s="262"/>
      <c r="I41" s="262"/>
      <c r="J41" s="262"/>
      <c r="K41" s="262"/>
      <c r="L41" s="262"/>
      <c r="M41" s="262"/>
      <c r="N41" s="262"/>
      <c r="O41" s="405">
        <f>SUM(H41:N41)</f>
        <v>0</v>
      </c>
    </row>
    <row r="42" spans="1:15" ht="16.5" thickTop="1" thickBot="1">
      <c r="A42" s="404" t="str">
        <f t="shared" si="8"/>
        <v>4218-02</v>
      </c>
      <c r="B42" s="3"/>
      <c r="C42" s="4" t="s">
        <v>17</v>
      </c>
      <c r="D42" s="4" t="s">
        <v>42</v>
      </c>
      <c r="E42" s="5" t="s">
        <v>3</v>
      </c>
      <c r="F42" s="265">
        <v>11554</v>
      </c>
      <c r="G42" s="2"/>
      <c r="H42" s="7"/>
      <c r="I42" s="7">
        <v>4</v>
      </c>
      <c r="J42" s="7">
        <v>8</v>
      </c>
      <c r="K42" s="7">
        <v>8</v>
      </c>
      <c r="L42" s="7">
        <v>7</v>
      </c>
      <c r="M42" s="7">
        <v>5</v>
      </c>
      <c r="N42" s="8"/>
      <c r="O42" s="207">
        <f t="shared" ref="O42" si="9">SUM(H42:N42)</f>
        <v>32</v>
      </c>
    </row>
    <row r="43" spans="1:15" ht="16.5" thickTop="1" thickBot="1">
      <c r="A43" s="404" t="str">
        <f t="shared" si="8"/>
        <v>4218-02</v>
      </c>
      <c r="B43" s="3"/>
      <c r="C43" s="3"/>
      <c r="D43" s="57" t="s">
        <v>89</v>
      </c>
      <c r="E43" s="5" t="s">
        <v>3</v>
      </c>
      <c r="F43" s="269" t="s">
        <v>450</v>
      </c>
      <c r="G43" s="6"/>
      <c r="H43" s="7"/>
      <c r="I43" s="7"/>
      <c r="J43" s="7"/>
      <c r="K43" s="7"/>
      <c r="L43" s="7"/>
      <c r="M43" s="7"/>
      <c r="N43" s="15"/>
      <c r="O43" s="207"/>
    </row>
    <row r="44" spans="1:15" ht="16.5" thickTop="1" thickBot="1">
      <c r="A44" s="409" t="str">
        <f t="shared" si="8"/>
        <v>4218-02</v>
      </c>
      <c r="B44" s="410"/>
      <c r="C44" s="410"/>
      <c r="D44" s="411" t="s">
        <v>96</v>
      </c>
      <c r="E44" s="412" t="s">
        <v>3</v>
      </c>
      <c r="F44" s="413"/>
      <c r="G44" s="414"/>
      <c r="H44" s="415"/>
      <c r="I44" s="415"/>
      <c r="J44" s="415"/>
      <c r="K44" s="415"/>
      <c r="L44" s="415"/>
      <c r="M44" s="415"/>
      <c r="N44" s="415"/>
      <c r="O44" s="416"/>
    </row>
    <row r="45" spans="1:15" ht="16.5" thickBot="1">
      <c r="O45" s="417">
        <f>SUM(O26:O44)</f>
        <v>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0582-51B9-43D9-B320-FF4147456740}">
  <sheetPr>
    <tabColor theme="8" tint="-0.249977111117893"/>
  </sheetPr>
  <dimension ref="A1:AQ37"/>
  <sheetViews>
    <sheetView topLeftCell="Q1" zoomScaleNormal="100" workbookViewId="0">
      <selection activeCell="AQ22" sqref="AQ22"/>
    </sheetView>
  </sheetViews>
  <sheetFormatPr defaultColWidth="11.42578125" defaultRowHeight="15"/>
  <cols>
    <col min="1" max="1" width="46.42578125" bestFit="1" customWidth="1"/>
    <col min="2" max="2" width="6" bestFit="1" customWidth="1"/>
    <col min="3" max="3" width="7" bestFit="1" customWidth="1"/>
    <col min="4" max="9" width="3" bestFit="1" customWidth="1"/>
    <col min="10" max="10" width="6.5703125" bestFit="1" customWidth="1"/>
    <col min="13" max="27" width="8.7109375" customWidth="1"/>
    <col min="29" max="29" width="7.7109375" bestFit="1" customWidth="1"/>
    <col min="30" max="30" width="8.42578125" bestFit="1" customWidth="1"/>
    <col min="31" max="31" width="4.5703125" bestFit="1" customWidth="1"/>
    <col min="32" max="32" width="8.140625" bestFit="1" customWidth="1"/>
    <col min="33" max="33" width="5" bestFit="1" customWidth="1"/>
    <col min="34" max="34" width="8.42578125" bestFit="1" customWidth="1"/>
    <col min="35" max="41" width="3" bestFit="1" customWidth="1"/>
    <col min="43" max="43" width="6" bestFit="1" customWidth="1"/>
  </cols>
  <sheetData>
    <row r="1" spans="1:43" ht="15.75" thickBot="1">
      <c r="A1" s="423" t="s">
        <v>451</v>
      </c>
      <c r="B1" s="423"/>
      <c r="C1" s="423"/>
      <c r="D1" s="423"/>
      <c r="E1" s="423"/>
      <c r="F1" s="423"/>
      <c r="G1" s="423"/>
      <c r="H1" s="423"/>
      <c r="I1" s="423"/>
      <c r="J1" s="423"/>
    </row>
    <row r="2" spans="1:43" ht="16.5" thickTop="1" thickBot="1">
      <c r="A2" s="423" t="s">
        <v>452</v>
      </c>
      <c r="B2" s="423">
        <v>14219</v>
      </c>
      <c r="C2" s="423"/>
      <c r="D2" s="423"/>
      <c r="E2" s="423"/>
      <c r="F2" s="423"/>
      <c r="G2" s="423"/>
      <c r="H2" s="423"/>
      <c r="I2" s="423"/>
      <c r="J2" s="423"/>
      <c r="M2" s="391" t="s">
        <v>7</v>
      </c>
      <c r="N2" s="43" t="s">
        <v>8</v>
      </c>
      <c r="O2" s="43"/>
      <c r="P2" s="43"/>
      <c r="Q2" s="44" t="s">
        <v>9</v>
      </c>
      <c r="R2" s="45"/>
      <c r="S2" s="45"/>
      <c r="T2" s="44"/>
      <c r="U2" s="44"/>
      <c r="V2" s="44"/>
      <c r="W2" s="44"/>
      <c r="X2" s="44"/>
      <c r="Y2" s="44"/>
      <c r="Z2" s="44"/>
      <c r="AA2" s="44"/>
      <c r="AC2" s="342" t="s">
        <v>7</v>
      </c>
      <c r="AD2" s="43" t="s">
        <v>8</v>
      </c>
      <c r="AE2" s="43"/>
      <c r="AF2" s="43"/>
      <c r="AG2" s="44" t="s">
        <v>9</v>
      </c>
      <c r="AH2" s="45"/>
      <c r="AI2" s="45"/>
      <c r="AJ2" s="44"/>
      <c r="AK2" s="44"/>
      <c r="AL2" s="44"/>
      <c r="AM2" s="44"/>
      <c r="AN2" s="44"/>
      <c r="AO2" s="44"/>
      <c r="AP2" s="44"/>
      <c r="AQ2" s="467"/>
    </row>
    <row r="3" spans="1:43" ht="24.75" thickTop="1" thickBot="1">
      <c r="A3" s="422">
        <v>46091</v>
      </c>
      <c r="B3" s="423"/>
      <c r="C3" s="423"/>
      <c r="D3" s="423">
        <v>36</v>
      </c>
      <c r="E3" s="423">
        <v>38</v>
      </c>
      <c r="F3" s="423">
        <v>40</v>
      </c>
      <c r="G3" s="423">
        <v>42</v>
      </c>
      <c r="H3" s="423">
        <v>44</v>
      </c>
      <c r="I3" s="423">
        <v>46</v>
      </c>
      <c r="J3" s="423" t="s">
        <v>15</v>
      </c>
      <c r="M3" s="392" t="s">
        <v>97</v>
      </c>
      <c r="N3" s="38" t="s">
        <v>453</v>
      </c>
      <c r="O3" s="9" t="s">
        <v>12</v>
      </c>
      <c r="P3" s="9" t="s">
        <v>13</v>
      </c>
      <c r="Q3" s="10"/>
      <c r="R3" s="256" t="s">
        <v>14</v>
      </c>
      <c r="S3" s="257">
        <v>34</v>
      </c>
      <c r="T3" s="257">
        <v>36</v>
      </c>
      <c r="U3" s="257">
        <v>38</v>
      </c>
      <c r="V3" s="257">
        <v>40</v>
      </c>
      <c r="W3" s="257">
        <v>42</v>
      </c>
      <c r="X3" s="257">
        <v>44</v>
      </c>
      <c r="Y3" s="257">
        <v>46</v>
      </c>
      <c r="Z3" s="257"/>
      <c r="AA3" s="258" t="s">
        <v>15</v>
      </c>
      <c r="AC3" s="343" t="s">
        <v>97</v>
      </c>
      <c r="AD3" s="38" t="s">
        <v>50</v>
      </c>
      <c r="AE3" s="9" t="s">
        <v>12</v>
      </c>
      <c r="AF3" s="9" t="s">
        <v>13</v>
      </c>
      <c r="AG3" s="10"/>
      <c r="AH3" s="256" t="s">
        <v>14</v>
      </c>
      <c r="AI3" s="257">
        <v>34</v>
      </c>
      <c r="AJ3" s="257">
        <v>36</v>
      </c>
      <c r="AK3" s="257">
        <v>38</v>
      </c>
      <c r="AL3" s="257">
        <v>40</v>
      </c>
      <c r="AM3" s="257">
        <v>42</v>
      </c>
      <c r="AN3" s="257">
        <v>44</v>
      </c>
      <c r="AO3" s="257">
        <v>46</v>
      </c>
      <c r="AP3" s="257"/>
      <c r="AQ3" s="468" t="s">
        <v>15</v>
      </c>
    </row>
    <row r="4" spans="1:43" ht="16.5" thickTop="1" thickBot="1">
      <c r="A4" s="423" t="s">
        <v>454</v>
      </c>
      <c r="B4" s="423">
        <v>1</v>
      </c>
      <c r="C4" s="423">
        <v>142881</v>
      </c>
      <c r="D4" s="423">
        <v>2</v>
      </c>
      <c r="E4" s="423">
        <v>4</v>
      </c>
      <c r="F4" s="423">
        <v>5</v>
      </c>
      <c r="G4" s="423">
        <v>4</v>
      </c>
      <c r="H4" s="423">
        <v>3</v>
      </c>
      <c r="I4" s="423">
        <v>4</v>
      </c>
      <c r="J4" s="423">
        <v>22</v>
      </c>
      <c r="M4" s="393" t="str">
        <f>+M3</f>
        <v>4219-00</v>
      </c>
      <c r="N4" s="39" t="s">
        <v>16</v>
      </c>
      <c r="O4" s="39"/>
      <c r="P4" s="39" t="str">
        <f>+N3</f>
        <v>AYLA</v>
      </c>
      <c r="Q4" s="40"/>
      <c r="R4" s="261" t="s">
        <v>1</v>
      </c>
      <c r="S4" s="261"/>
      <c r="T4" s="262"/>
      <c r="U4" s="262"/>
      <c r="V4" s="262"/>
      <c r="W4" s="262"/>
      <c r="X4" s="262"/>
      <c r="Y4" s="262"/>
      <c r="Z4" s="262"/>
      <c r="AA4" s="263">
        <f>SUM(T4:Z4)</f>
        <v>0</v>
      </c>
      <c r="AC4" s="344" t="s">
        <v>97</v>
      </c>
      <c r="AD4" s="39" t="s">
        <v>16</v>
      </c>
      <c r="AE4" s="39"/>
      <c r="AF4" s="39" t="s">
        <v>50</v>
      </c>
      <c r="AG4" s="40"/>
      <c r="AH4" s="261" t="s">
        <v>1</v>
      </c>
      <c r="AI4" s="261"/>
      <c r="AJ4" s="262"/>
      <c r="AK4" s="262"/>
      <c r="AL4" s="262"/>
      <c r="AM4" s="262"/>
      <c r="AN4" s="262"/>
      <c r="AO4" s="262"/>
      <c r="AP4" s="262"/>
      <c r="AQ4" s="469"/>
    </row>
    <row r="5" spans="1:43" ht="16.5" thickTop="1" thickBot="1">
      <c r="A5" s="423" t="s">
        <v>455</v>
      </c>
      <c r="B5" s="423">
        <v>1</v>
      </c>
      <c r="C5" s="423">
        <v>142801</v>
      </c>
      <c r="D5" s="423">
        <v>0</v>
      </c>
      <c r="E5" s="423">
        <v>2</v>
      </c>
      <c r="F5" s="423">
        <v>4</v>
      </c>
      <c r="G5" s="423">
        <v>4</v>
      </c>
      <c r="H5" s="423">
        <v>4</v>
      </c>
      <c r="I5" s="423">
        <v>3</v>
      </c>
      <c r="J5" s="423">
        <v>17</v>
      </c>
      <c r="M5" s="393" t="str">
        <f>+M4</f>
        <v>4219-00</v>
      </c>
      <c r="N5" s="3"/>
      <c r="O5" s="4" t="s">
        <v>17</v>
      </c>
      <c r="P5" s="4" t="s">
        <v>213</v>
      </c>
      <c r="Q5" s="5" t="s">
        <v>3</v>
      </c>
      <c r="R5" s="265"/>
      <c r="S5" s="2"/>
      <c r="T5" s="7">
        <v>12</v>
      </c>
      <c r="U5" s="7">
        <v>29</v>
      </c>
      <c r="V5" s="7">
        <v>31</v>
      </c>
      <c r="W5" s="7">
        <v>25</v>
      </c>
      <c r="X5" s="7">
        <v>20</v>
      </c>
      <c r="Y5" s="7">
        <v>20</v>
      </c>
      <c r="Z5" s="8"/>
      <c r="AA5" s="14">
        <f>SUM(T5:Z5)</f>
        <v>137</v>
      </c>
      <c r="AC5" s="344" t="s">
        <v>97</v>
      </c>
      <c r="AD5" s="3">
        <v>46006</v>
      </c>
      <c r="AE5" s="4" t="s">
        <v>17</v>
      </c>
      <c r="AF5" s="4" t="s">
        <v>31</v>
      </c>
      <c r="AG5" s="5" t="s">
        <v>3</v>
      </c>
      <c r="AH5" s="265" t="s">
        <v>98</v>
      </c>
      <c r="AI5" s="345"/>
      <c r="AJ5" s="7">
        <v>13</v>
      </c>
      <c r="AK5" s="7">
        <v>28</v>
      </c>
      <c r="AL5" s="7">
        <v>32</v>
      </c>
      <c r="AM5" s="7">
        <v>26</v>
      </c>
      <c r="AN5" s="7">
        <v>20</v>
      </c>
      <c r="AO5" s="7">
        <v>8</v>
      </c>
      <c r="AP5" s="8"/>
      <c r="AQ5" s="470">
        <f>SUM(AJ5:AP5)</f>
        <v>127</v>
      </c>
    </row>
    <row r="6" spans="1:43" ht="16.5" thickTop="1" thickBot="1">
      <c r="A6" s="423" t="s">
        <v>456</v>
      </c>
      <c r="B6" s="423">
        <v>1</v>
      </c>
      <c r="C6" s="423">
        <v>142878</v>
      </c>
      <c r="D6" s="423">
        <v>2</v>
      </c>
      <c r="E6" s="423">
        <v>4</v>
      </c>
      <c r="F6" s="423">
        <v>3</v>
      </c>
      <c r="G6" s="423">
        <v>2</v>
      </c>
      <c r="H6" s="423">
        <v>1</v>
      </c>
      <c r="I6" s="423">
        <v>0</v>
      </c>
      <c r="J6" s="423">
        <v>12</v>
      </c>
      <c r="M6" s="393" t="str">
        <f>+M5</f>
        <v>4219-00</v>
      </c>
      <c r="N6" s="3"/>
      <c r="O6" s="3"/>
      <c r="P6" s="3"/>
      <c r="Q6" s="5" t="s">
        <v>3</v>
      </c>
      <c r="R6" s="269"/>
      <c r="S6" s="6"/>
      <c r="T6" s="7"/>
      <c r="U6" s="7"/>
      <c r="V6" s="7"/>
      <c r="W6" s="7"/>
      <c r="X6" s="7"/>
      <c r="Y6" s="7"/>
      <c r="Z6" s="15"/>
      <c r="AA6" s="14">
        <f>SUM(T6:Z6)</f>
        <v>0</v>
      </c>
      <c r="AC6" s="344" t="s">
        <v>97</v>
      </c>
      <c r="AD6" s="3"/>
      <c r="AE6" s="3"/>
      <c r="AF6" s="57" t="s">
        <v>99</v>
      </c>
      <c r="AG6" s="5" t="s">
        <v>3</v>
      </c>
      <c r="AH6" s="269" t="s">
        <v>100</v>
      </c>
      <c r="AI6" s="345"/>
      <c r="AJ6" s="7"/>
      <c r="AK6" s="7"/>
      <c r="AL6" s="7"/>
      <c r="AM6" s="7"/>
      <c r="AN6" s="7"/>
      <c r="AO6" s="7"/>
      <c r="AP6" s="15"/>
      <c r="AQ6" s="470"/>
    </row>
    <row r="7" spans="1:43" ht="16.5" thickTop="1" thickBot="1">
      <c r="A7" s="423" t="s">
        <v>457</v>
      </c>
      <c r="B7" s="423">
        <v>1</v>
      </c>
      <c r="C7" s="423">
        <v>142873</v>
      </c>
      <c r="D7" s="423">
        <v>1</v>
      </c>
      <c r="E7" s="423">
        <v>3</v>
      </c>
      <c r="F7" s="423">
        <v>2</v>
      </c>
      <c r="G7" s="423">
        <v>1</v>
      </c>
      <c r="H7" s="423">
        <v>1</v>
      </c>
      <c r="I7" s="423">
        <v>0</v>
      </c>
      <c r="J7" s="423">
        <v>8</v>
      </c>
      <c r="AC7" s="344" t="s">
        <v>97</v>
      </c>
      <c r="AD7" s="3">
        <v>46041</v>
      </c>
      <c r="AE7" s="3"/>
      <c r="AF7" s="57" t="s">
        <v>101</v>
      </c>
      <c r="AG7" s="5" t="s">
        <v>3</v>
      </c>
      <c r="AH7" s="269" t="s">
        <v>102</v>
      </c>
      <c r="AI7" s="346"/>
      <c r="AJ7" s="15"/>
      <c r="AK7" s="15"/>
      <c r="AL7" s="15"/>
      <c r="AM7" s="15"/>
      <c r="AN7" s="15"/>
      <c r="AO7" s="15"/>
      <c r="AP7" s="15"/>
      <c r="AQ7" s="471"/>
    </row>
    <row r="8" spans="1:43" ht="16.5" thickTop="1" thickBot="1">
      <c r="A8" s="423" t="s">
        <v>458</v>
      </c>
      <c r="B8" s="423">
        <v>3</v>
      </c>
      <c r="C8" s="423">
        <v>142867</v>
      </c>
      <c r="D8" s="423">
        <v>0</v>
      </c>
      <c r="E8" s="423">
        <v>1</v>
      </c>
      <c r="F8" s="423">
        <v>1</v>
      </c>
      <c r="G8" s="423">
        <v>1</v>
      </c>
      <c r="H8" s="423">
        <v>0</v>
      </c>
      <c r="I8" s="423">
        <v>0</v>
      </c>
      <c r="J8" s="423">
        <v>3</v>
      </c>
      <c r="M8" s="419"/>
      <c r="N8" s="419"/>
      <c r="O8" s="419"/>
      <c r="P8" s="419"/>
      <c r="Q8" s="419"/>
      <c r="R8" s="419"/>
      <c r="S8" s="419"/>
      <c r="T8" s="419"/>
      <c r="U8" s="419"/>
      <c r="V8" s="419"/>
      <c r="W8" s="419"/>
      <c r="X8" s="419"/>
      <c r="Y8" s="419"/>
      <c r="Z8" s="419"/>
      <c r="AA8" s="419"/>
      <c r="AQ8" s="466"/>
    </row>
    <row r="9" spans="1:43" ht="16.5" thickTop="1" thickBot="1">
      <c r="A9" s="423" t="s">
        <v>459</v>
      </c>
      <c r="B9" s="423">
        <v>3</v>
      </c>
      <c r="C9" s="423">
        <v>142863</v>
      </c>
      <c r="D9" s="423">
        <v>2</v>
      </c>
      <c r="E9" s="423">
        <v>3</v>
      </c>
      <c r="F9" s="423">
        <v>3</v>
      </c>
      <c r="G9" s="423">
        <v>3</v>
      </c>
      <c r="H9" s="423">
        <v>2</v>
      </c>
      <c r="I9" s="423">
        <v>1</v>
      </c>
      <c r="J9" s="423">
        <v>14</v>
      </c>
      <c r="M9" s="391" t="s">
        <v>7</v>
      </c>
      <c r="N9" s="43" t="s">
        <v>8</v>
      </c>
      <c r="O9" s="43"/>
      <c r="P9" s="43"/>
      <c r="Q9" s="44" t="s">
        <v>9</v>
      </c>
      <c r="R9" s="45"/>
      <c r="S9" s="45"/>
      <c r="T9" s="44"/>
      <c r="U9" s="44"/>
      <c r="V9" s="44"/>
      <c r="W9" s="44"/>
      <c r="X9" s="44"/>
      <c r="Y9" s="44"/>
      <c r="Z9" s="44"/>
      <c r="AA9" s="44"/>
      <c r="AC9" s="342" t="s">
        <v>7</v>
      </c>
      <c r="AD9" s="43" t="s">
        <v>8</v>
      </c>
      <c r="AE9" s="43"/>
      <c r="AF9" s="43"/>
      <c r="AG9" s="44" t="s">
        <v>9</v>
      </c>
      <c r="AH9" s="45"/>
      <c r="AI9" s="45"/>
      <c r="AJ9" s="44"/>
      <c r="AK9" s="44"/>
      <c r="AL9" s="44"/>
      <c r="AM9" s="44"/>
      <c r="AN9" s="44"/>
      <c r="AO9" s="44"/>
      <c r="AP9" s="44"/>
      <c r="AQ9" s="467"/>
    </row>
    <row r="10" spans="1:43" ht="16.5" thickTop="1" thickBot="1">
      <c r="A10" s="423" t="s">
        <v>460</v>
      </c>
      <c r="B10" s="423">
        <v>3</v>
      </c>
      <c r="C10" s="423">
        <v>142854</v>
      </c>
      <c r="D10" s="423">
        <v>0</v>
      </c>
      <c r="E10" s="423">
        <v>2</v>
      </c>
      <c r="F10" s="423">
        <v>3</v>
      </c>
      <c r="G10" s="423">
        <v>2</v>
      </c>
      <c r="H10" s="423">
        <v>1</v>
      </c>
      <c r="I10" s="423">
        <v>0</v>
      </c>
      <c r="J10" s="423">
        <v>8</v>
      </c>
      <c r="M10" s="392" t="s">
        <v>103</v>
      </c>
      <c r="N10" s="38" t="s">
        <v>453</v>
      </c>
      <c r="O10" s="9" t="s">
        <v>12</v>
      </c>
      <c r="P10" s="9" t="s">
        <v>13</v>
      </c>
      <c r="Q10" s="10"/>
      <c r="R10" s="256" t="s">
        <v>14</v>
      </c>
      <c r="S10" s="257">
        <v>34</v>
      </c>
      <c r="T10" s="257">
        <v>36</v>
      </c>
      <c r="U10" s="257">
        <v>38</v>
      </c>
      <c r="V10" s="257">
        <v>40</v>
      </c>
      <c r="W10" s="257">
        <v>42</v>
      </c>
      <c r="X10" s="257">
        <v>44</v>
      </c>
      <c r="Y10" s="257">
        <v>46</v>
      </c>
      <c r="Z10" s="257"/>
      <c r="AA10" s="258" t="s">
        <v>15</v>
      </c>
      <c r="AC10" s="343" t="s">
        <v>103</v>
      </c>
      <c r="AD10" s="38" t="s">
        <v>50</v>
      </c>
      <c r="AE10" s="9" t="s">
        <v>12</v>
      </c>
      <c r="AF10" s="9" t="s">
        <v>13</v>
      </c>
      <c r="AG10" s="10"/>
      <c r="AH10" s="256" t="s">
        <v>14</v>
      </c>
      <c r="AI10" s="257">
        <v>34</v>
      </c>
      <c r="AJ10" s="257">
        <v>36</v>
      </c>
      <c r="AK10" s="257">
        <v>38</v>
      </c>
      <c r="AL10" s="257">
        <v>40</v>
      </c>
      <c r="AM10" s="257">
        <v>42</v>
      </c>
      <c r="AN10" s="257">
        <v>44</v>
      </c>
      <c r="AO10" s="257">
        <v>46</v>
      </c>
      <c r="AP10" s="257"/>
      <c r="AQ10" s="468" t="s">
        <v>15</v>
      </c>
    </row>
    <row r="11" spans="1:43" ht="16.5" thickTop="1" thickBot="1">
      <c r="A11" s="423" t="s">
        <v>5</v>
      </c>
      <c r="B11" s="423"/>
      <c r="C11" s="423"/>
      <c r="D11" s="423"/>
      <c r="E11" s="423"/>
      <c r="F11" s="423"/>
      <c r="G11" s="423"/>
      <c r="H11" s="423"/>
      <c r="I11" s="423"/>
      <c r="J11" s="423"/>
      <c r="M11" s="393" t="str">
        <f>+M10</f>
        <v>4219-01</v>
      </c>
      <c r="N11" s="39" t="s">
        <v>16</v>
      </c>
      <c r="O11" s="39"/>
      <c r="P11" s="39" t="str">
        <f>+N10</f>
        <v>AYLA</v>
      </c>
      <c r="Q11" s="40"/>
      <c r="R11" s="261" t="s">
        <v>1</v>
      </c>
      <c r="S11" s="261"/>
      <c r="T11" s="262">
        <f>'BASE DATOS'!C108</f>
        <v>0</v>
      </c>
      <c r="U11" s="262">
        <f>'BASE DATOS'!D108</f>
        <v>0</v>
      </c>
      <c r="V11" s="262">
        <f>'BASE DATOS'!E108</f>
        <v>0</v>
      </c>
      <c r="W11" s="262">
        <f>'BASE DATOS'!F108</f>
        <v>0</v>
      </c>
      <c r="X11" s="262">
        <f>'BASE DATOS'!G108</f>
        <v>0</v>
      </c>
      <c r="Y11" s="262">
        <f>'BASE DATOS'!H108</f>
        <v>0</v>
      </c>
      <c r="Z11" s="262"/>
      <c r="AA11" s="263">
        <f>SUM(T11:Z11)</f>
        <v>0</v>
      </c>
      <c r="AC11" s="344" t="s">
        <v>103</v>
      </c>
      <c r="AD11" s="39" t="s">
        <v>16</v>
      </c>
      <c r="AE11" s="39"/>
      <c r="AF11" s="39" t="s">
        <v>50</v>
      </c>
      <c r="AG11" s="40"/>
      <c r="AH11" s="261" t="s">
        <v>1</v>
      </c>
      <c r="AI11" s="261"/>
      <c r="AJ11" s="262"/>
      <c r="AK11" s="262"/>
      <c r="AL11" s="262"/>
      <c r="AM11" s="262"/>
      <c r="AN11" s="262"/>
      <c r="AO11" s="262"/>
      <c r="AP11" s="262"/>
      <c r="AQ11" s="469"/>
    </row>
    <row r="12" spans="1:43" s="419" customFormat="1" ht="16.5" thickTop="1" thickBot="1">
      <c r="A12" s="420" t="s">
        <v>461</v>
      </c>
      <c r="B12" s="420"/>
      <c r="C12" s="420"/>
      <c r="D12" s="420">
        <v>7</v>
      </c>
      <c r="E12" s="420">
        <v>19</v>
      </c>
      <c r="F12" s="420">
        <v>21</v>
      </c>
      <c r="G12" s="420">
        <v>17</v>
      </c>
      <c r="H12" s="420">
        <v>12</v>
      </c>
      <c r="I12" s="420">
        <v>8</v>
      </c>
      <c r="J12" s="420">
        <v>84</v>
      </c>
      <c r="M12" s="393" t="str">
        <f>+M11</f>
        <v>4219-01</v>
      </c>
      <c r="N12" s="3"/>
      <c r="O12" s="4" t="s">
        <v>17</v>
      </c>
      <c r="P12" s="4" t="s">
        <v>213</v>
      </c>
      <c r="Q12" s="5" t="s">
        <v>3</v>
      </c>
      <c r="R12" s="265"/>
      <c r="S12" s="2"/>
      <c r="T12" s="7">
        <v>8</v>
      </c>
      <c r="U12" s="7">
        <v>19</v>
      </c>
      <c r="V12" s="7">
        <v>22</v>
      </c>
      <c r="W12" s="7">
        <v>20</v>
      </c>
      <c r="X12" s="7">
        <v>17</v>
      </c>
      <c r="Y12" s="7">
        <v>10</v>
      </c>
      <c r="Z12" s="8"/>
      <c r="AA12" s="14">
        <f>SUM(T12:Z12)</f>
        <v>96</v>
      </c>
      <c r="AC12" s="344" t="s">
        <v>103</v>
      </c>
      <c r="AD12" s="3"/>
      <c r="AE12" s="4" t="s">
        <v>17</v>
      </c>
      <c r="AF12" s="4" t="s">
        <v>18</v>
      </c>
      <c r="AG12" s="5" t="s">
        <v>3</v>
      </c>
      <c r="AH12" s="265" t="s">
        <v>98</v>
      </c>
      <c r="AI12" s="345"/>
      <c r="AJ12" s="7">
        <v>6</v>
      </c>
      <c r="AK12" s="7">
        <v>15</v>
      </c>
      <c r="AL12" s="7">
        <v>16</v>
      </c>
      <c r="AM12" s="7">
        <v>15</v>
      </c>
      <c r="AN12" s="7">
        <v>13</v>
      </c>
      <c r="AO12" s="7">
        <v>7</v>
      </c>
      <c r="AP12" s="8"/>
      <c r="AQ12" s="470">
        <f>SUM(AJ12:AP12)</f>
        <v>72</v>
      </c>
    </row>
    <row r="13" spans="1:43" s="419" customFormat="1" ht="16.5" thickTop="1" thickBot="1">
      <c r="M13" s="393" t="str">
        <f>+M12</f>
        <v>4219-01</v>
      </c>
      <c r="N13" s="3"/>
      <c r="O13" s="3"/>
      <c r="P13" s="3"/>
      <c r="Q13" s="5" t="s">
        <v>3</v>
      </c>
      <c r="R13" s="269"/>
      <c r="S13" s="6"/>
      <c r="T13" s="7"/>
      <c r="U13" s="7"/>
      <c r="V13" s="7"/>
      <c r="W13" s="7"/>
      <c r="X13" s="7"/>
      <c r="Y13" s="7"/>
      <c r="Z13" s="15"/>
      <c r="AA13" s="14">
        <f>SUM(T13:Z13)</f>
        <v>0</v>
      </c>
      <c r="AC13" s="344" t="s">
        <v>103</v>
      </c>
      <c r="AD13" s="3"/>
      <c r="AE13" s="3"/>
      <c r="AF13" s="57" t="s">
        <v>99</v>
      </c>
      <c r="AG13" s="5" t="s">
        <v>3</v>
      </c>
      <c r="AH13" s="269" t="s">
        <v>102</v>
      </c>
      <c r="AI13" s="345"/>
      <c r="AJ13" s="7"/>
      <c r="AK13" s="7"/>
      <c r="AL13" s="7"/>
      <c r="AM13" s="7"/>
      <c r="AN13" s="7"/>
      <c r="AO13" s="7"/>
      <c r="AP13" s="15"/>
      <c r="AQ13" s="470"/>
    </row>
    <row r="14" spans="1:43" s="419" customFormat="1" ht="16.5" thickTop="1" thickBot="1"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C14" s="344" t="s">
        <v>103</v>
      </c>
      <c r="AD14" s="3"/>
      <c r="AE14" s="3"/>
      <c r="AF14" s="57" t="s">
        <v>101</v>
      </c>
      <c r="AG14" s="5" t="s">
        <v>3</v>
      </c>
      <c r="AH14" s="269"/>
      <c r="AI14" s="346"/>
      <c r="AJ14" s="15"/>
      <c r="AK14" s="15"/>
      <c r="AL14" s="15"/>
      <c r="AM14" s="15"/>
      <c r="AN14" s="15"/>
      <c r="AO14" s="15"/>
      <c r="AP14" s="15"/>
      <c r="AQ14" s="471"/>
    </row>
    <row r="15" spans="1:43" ht="16.5" thickTop="1" thickBot="1">
      <c r="A15" s="423" t="s">
        <v>455</v>
      </c>
      <c r="B15" s="423">
        <v>1</v>
      </c>
      <c r="C15" s="423">
        <v>142801</v>
      </c>
      <c r="D15" s="423">
        <v>0</v>
      </c>
      <c r="E15" s="423">
        <v>2</v>
      </c>
      <c r="F15" s="423">
        <v>4</v>
      </c>
      <c r="G15" s="423">
        <v>4</v>
      </c>
      <c r="H15" s="423">
        <v>4</v>
      </c>
      <c r="I15" s="423">
        <v>3</v>
      </c>
      <c r="J15" s="423">
        <v>17</v>
      </c>
      <c r="M15" s="419"/>
      <c r="N15" s="419"/>
      <c r="O15" s="419"/>
      <c r="P15" s="419"/>
      <c r="Q15" s="419"/>
      <c r="R15" s="419"/>
      <c r="S15" s="419"/>
      <c r="T15" s="419"/>
      <c r="U15" s="419"/>
      <c r="V15" s="419"/>
      <c r="W15" s="419"/>
      <c r="X15" s="419"/>
      <c r="Y15" s="419"/>
      <c r="Z15" s="419"/>
      <c r="AA15" s="419"/>
      <c r="AQ15" s="466"/>
    </row>
    <row r="16" spans="1:43" ht="16.5" thickTop="1" thickBot="1">
      <c r="A16" s="423" t="s">
        <v>456</v>
      </c>
      <c r="B16" s="423">
        <v>1</v>
      </c>
      <c r="C16" s="423">
        <v>142878</v>
      </c>
      <c r="D16" s="423">
        <v>2</v>
      </c>
      <c r="E16" s="423">
        <v>4</v>
      </c>
      <c r="F16" s="423">
        <v>4</v>
      </c>
      <c r="G16" s="423">
        <v>3</v>
      </c>
      <c r="H16" s="423">
        <v>2</v>
      </c>
      <c r="I16" s="423">
        <v>1</v>
      </c>
      <c r="J16" s="423">
        <v>16</v>
      </c>
      <c r="M16" s="391" t="s">
        <v>7</v>
      </c>
      <c r="N16" s="43" t="s">
        <v>8</v>
      </c>
      <c r="O16" s="43"/>
      <c r="P16" s="43"/>
      <c r="Q16" s="44" t="s">
        <v>9</v>
      </c>
      <c r="R16" s="45"/>
      <c r="S16" s="45"/>
      <c r="T16" s="44"/>
      <c r="U16" s="44"/>
      <c r="V16" s="44"/>
      <c r="W16" s="44"/>
      <c r="X16" s="44"/>
      <c r="Y16" s="44"/>
      <c r="Z16" s="44"/>
      <c r="AA16" s="44"/>
      <c r="AQ16" s="466"/>
    </row>
    <row r="17" spans="1:43" ht="16.5" thickTop="1" thickBot="1">
      <c r="A17" s="423" t="s">
        <v>462</v>
      </c>
      <c r="B17" s="423">
        <v>3</v>
      </c>
      <c r="C17" s="423">
        <v>142846</v>
      </c>
      <c r="D17" s="423">
        <v>0</v>
      </c>
      <c r="E17" s="423">
        <v>2</v>
      </c>
      <c r="F17" s="423">
        <v>2</v>
      </c>
      <c r="G17" s="423">
        <v>2</v>
      </c>
      <c r="H17" s="423">
        <v>1</v>
      </c>
      <c r="I17" s="423">
        <v>1</v>
      </c>
      <c r="J17" s="423">
        <v>8</v>
      </c>
      <c r="M17" s="392" t="s">
        <v>104</v>
      </c>
      <c r="N17" s="38" t="s">
        <v>453</v>
      </c>
      <c r="O17" s="9" t="s">
        <v>12</v>
      </c>
      <c r="P17" s="9" t="s">
        <v>13</v>
      </c>
      <c r="Q17" s="10"/>
      <c r="R17" s="256" t="s">
        <v>14</v>
      </c>
      <c r="S17" s="257">
        <v>34</v>
      </c>
      <c r="T17" s="257">
        <v>36</v>
      </c>
      <c r="U17" s="257">
        <v>38</v>
      </c>
      <c r="V17" s="257">
        <v>40</v>
      </c>
      <c r="W17" s="257">
        <v>42</v>
      </c>
      <c r="X17" s="257">
        <v>44</v>
      </c>
      <c r="Y17" s="257">
        <v>46</v>
      </c>
      <c r="Z17" s="257"/>
      <c r="AA17" s="258" t="s">
        <v>15</v>
      </c>
      <c r="AC17" s="343" t="s">
        <v>104</v>
      </c>
      <c r="AD17" s="38" t="s">
        <v>50</v>
      </c>
      <c r="AE17" s="9" t="s">
        <v>12</v>
      </c>
      <c r="AF17" s="9" t="s">
        <v>13</v>
      </c>
      <c r="AG17" s="10"/>
      <c r="AH17" s="256" t="s">
        <v>14</v>
      </c>
      <c r="AI17" s="257">
        <v>34</v>
      </c>
      <c r="AJ17" s="257">
        <v>36</v>
      </c>
      <c r="AK17" s="257">
        <v>38</v>
      </c>
      <c r="AL17" s="257">
        <v>40</v>
      </c>
      <c r="AM17" s="257">
        <v>42</v>
      </c>
      <c r="AN17" s="257">
        <v>44</v>
      </c>
      <c r="AO17" s="257">
        <v>46</v>
      </c>
      <c r="AP17" s="257"/>
      <c r="AQ17" s="468" t="s">
        <v>15</v>
      </c>
    </row>
    <row r="18" spans="1:43" ht="16.5" thickTop="1" thickBot="1">
      <c r="A18" s="423" t="s">
        <v>463</v>
      </c>
      <c r="B18" s="423">
        <v>3</v>
      </c>
      <c r="C18" s="423">
        <v>142880</v>
      </c>
      <c r="D18" s="423">
        <v>1</v>
      </c>
      <c r="E18" s="423">
        <v>1</v>
      </c>
      <c r="F18" s="423">
        <v>2</v>
      </c>
      <c r="G18" s="423">
        <v>2</v>
      </c>
      <c r="H18" s="423">
        <v>2</v>
      </c>
      <c r="I18" s="423">
        <v>1</v>
      </c>
      <c r="J18" s="423">
        <v>9</v>
      </c>
      <c r="M18" s="393" t="str">
        <f>+M17</f>
        <v>4219-02</v>
      </c>
      <c r="N18" s="39" t="s">
        <v>16</v>
      </c>
      <c r="O18" s="39"/>
      <c r="P18" s="39" t="str">
        <f>+N17</f>
        <v>AYLA</v>
      </c>
      <c r="Q18" s="40"/>
      <c r="R18" s="261" t="s">
        <v>1</v>
      </c>
      <c r="S18" s="261"/>
      <c r="T18" s="262">
        <f>'BASE DATOS'!C119</f>
        <v>0</v>
      </c>
      <c r="U18" s="262">
        <f>'BASE DATOS'!D119</f>
        <v>0</v>
      </c>
      <c r="V18" s="262">
        <f>'BASE DATOS'!E119</f>
        <v>0</v>
      </c>
      <c r="W18" s="262">
        <f>'BASE DATOS'!F119</f>
        <v>0</v>
      </c>
      <c r="X18" s="262">
        <f>'BASE DATOS'!G119</f>
        <v>0</v>
      </c>
      <c r="Y18" s="262">
        <f>'BASE DATOS'!H119</f>
        <v>0</v>
      </c>
      <c r="Z18" s="262"/>
      <c r="AA18" s="263">
        <f>SUM(T18:Z18)</f>
        <v>0</v>
      </c>
      <c r="AC18" s="344" t="s">
        <v>104</v>
      </c>
      <c r="AD18" s="39" t="s">
        <v>16</v>
      </c>
      <c r="AE18" s="39"/>
      <c r="AF18" s="39" t="s">
        <v>50</v>
      </c>
      <c r="AG18" s="40"/>
      <c r="AH18" s="261" t="s">
        <v>1</v>
      </c>
      <c r="AI18" s="261"/>
      <c r="AJ18" s="262"/>
      <c r="AK18" s="262"/>
      <c r="AL18" s="262"/>
      <c r="AM18" s="262"/>
      <c r="AN18" s="262"/>
      <c r="AO18" s="262"/>
      <c r="AP18" s="262"/>
      <c r="AQ18" s="469"/>
    </row>
    <row r="19" spans="1:43" ht="16.5" thickTop="1" thickBot="1">
      <c r="A19" s="423" t="s">
        <v>464</v>
      </c>
      <c r="B19" s="423">
        <v>3</v>
      </c>
      <c r="C19" s="423">
        <v>142816</v>
      </c>
      <c r="D19" s="423">
        <v>1</v>
      </c>
      <c r="E19" s="423">
        <v>2</v>
      </c>
      <c r="F19" s="423">
        <v>2</v>
      </c>
      <c r="G19" s="423">
        <v>2</v>
      </c>
      <c r="H19" s="423">
        <v>2</v>
      </c>
      <c r="I19" s="423">
        <v>2</v>
      </c>
      <c r="J19" s="423">
        <v>11</v>
      </c>
      <c r="M19" s="393" t="str">
        <f>+M18</f>
        <v>4219-02</v>
      </c>
      <c r="N19" s="3"/>
      <c r="O19" s="4" t="s">
        <v>17</v>
      </c>
      <c r="P19" s="4" t="s">
        <v>213</v>
      </c>
      <c r="Q19" s="5" t="s">
        <v>3</v>
      </c>
      <c r="R19" s="265"/>
      <c r="S19" s="2"/>
      <c r="T19" s="7">
        <v>4</v>
      </c>
      <c r="U19" s="7">
        <v>5</v>
      </c>
      <c r="V19" s="7">
        <v>3</v>
      </c>
      <c r="W19" s="7">
        <v>3</v>
      </c>
      <c r="X19" s="7">
        <v>1</v>
      </c>
      <c r="Y19" s="7"/>
      <c r="Z19" s="8"/>
      <c r="AA19" s="14">
        <f>SUM(T19:Z19)</f>
        <v>16</v>
      </c>
      <c r="AC19" s="344" t="s">
        <v>104</v>
      </c>
      <c r="AD19" s="3"/>
      <c r="AE19" s="4" t="s">
        <v>17</v>
      </c>
      <c r="AF19" s="4" t="s">
        <v>18</v>
      </c>
      <c r="AG19" s="5" t="s">
        <v>3</v>
      </c>
      <c r="AH19" s="265" t="s">
        <v>98</v>
      </c>
      <c r="AI19" s="345"/>
      <c r="AJ19" s="7">
        <v>5</v>
      </c>
      <c r="AK19" s="7">
        <v>10</v>
      </c>
      <c r="AL19" s="7">
        <v>8</v>
      </c>
      <c r="AM19" s="7">
        <v>7</v>
      </c>
      <c r="AN19" s="7">
        <v>5</v>
      </c>
      <c r="AO19" s="7">
        <v>2</v>
      </c>
      <c r="AP19" s="8"/>
      <c r="AQ19" s="470">
        <f>SUM(AJ19:AP19)</f>
        <v>37</v>
      </c>
    </row>
    <row r="20" spans="1:43" ht="16.5" thickTop="1" thickBot="1">
      <c r="A20" s="423" t="s">
        <v>5</v>
      </c>
      <c r="B20" s="423"/>
      <c r="C20" s="423"/>
      <c r="D20" s="423"/>
      <c r="E20" s="423"/>
      <c r="F20" s="423"/>
      <c r="G20" s="423"/>
      <c r="H20" s="423"/>
      <c r="I20" s="423"/>
      <c r="J20" s="423"/>
      <c r="M20" s="393" t="str">
        <f>+M19</f>
        <v>4219-02</v>
      </c>
      <c r="N20" s="3"/>
      <c r="O20" s="3"/>
      <c r="P20" s="3"/>
      <c r="Q20" s="5" t="s">
        <v>3</v>
      </c>
      <c r="R20" s="269"/>
      <c r="S20" s="6"/>
      <c r="T20" s="7"/>
      <c r="U20" s="7"/>
      <c r="V20" s="7"/>
      <c r="W20" s="7"/>
      <c r="X20" s="7"/>
      <c r="Y20" s="7"/>
      <c r="Z20" s="15"/>
      <c r="AA20" s="14">
        <f>SUM(T20:Z20)</f>
        <v>0</v>
      </c>
      <c r="AC20" s="344" t="s">
        <v>104</v>
      </c>
      <c r="AD20" s="3"/>
      <c r="AE20" s="3"/>
      <c r="AF20" s="57" t="s">
        <v>99</v>
      </c>
      <c r="AG20" s="5" t="s">
        <v>3</v>
      </c>
      <c r="AH20" s="269" t="s">
        <v>102</v>
      </c>
      <c r="AI20" s="345"/>
      <c r="AJ20" s="7"/>
      <c r="AK20" s="7"/>
      <c r="AL20" s="7"/>
      <c r="AM20" s="7"/>
      <c r="AN20" s="7"/>
      <c r="AO20" s="7"/>
      <c r="AP20" s="15"/>
      <c r="AQ20" s="470"/>
    </row>
    <row r="21" spans="1:43" s="419" customFormat="1" ht="16.5" thickTop="1" thickBot="1">
      <c r="A21" s="420" t="s">
        <v>465</v>
      </c>
      <c r="B21" s="420"/>
      <c r="C21" s="420">
        <v>1</v>
      </c>
      <c r="D21" s="420">
        <v>4</v>
      </c>
      <c r="E21" s="420">
        <v>11</v>
      </c>
      <c r="F21" s="420">
        <v>14</v>
      </c>
      <c r="G21" s="420">
        <v>13</v>
      </c>
      <c r="H21" s="420">
        <v>11</v>
      </c>
      <c r="I21" s="420">
        <v>8</v>
      </c>
      <c r="J21" s="420">
        <v>61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C21" s="344" t="s">
        <v>104</v>
      </c>
      <c r="AD21" s="3"/>
      <c r="AE21" s="3"/>
      <c r="AF21" s="57" t="s">
        <v>101</v>
      </c>
      <c r="AG21" s="5" t="s">
        <v>3</v>
      </c>
      <c r="AH21" s="269"/>
      <c r="AI21" s="346"/>
      <c r="AJ21" s="15"/>
      <c r="AK21" s="15"/>
      <c r="AL21" s="15"/>
      <c r="AM21" s="15"/>
      <c r="AN21" s="15"/>
      <c r="AO21" s="15"/>
      <c r="AP21" s="15"/>
      <c r="AQ21" s="472"/>
    </row>
    <row r="22" spans="1:43" s="419" customFormat="1" ht="15.75" thickTop="1"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Q22" s="473">
        <f>SUM(AQ2:AQ21)</f>
        <v>236</v>
      </c>
    </row>
    <row r="23" spans="1:43" s="419" customFormat="1"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>
      <c r="A24" s="423" t="s">
        <v>466</v>
      </c>
      <c r="B24" s="423">
        <v>1</v>
      </c>
      <c r="C24" s="423">
        <v>142802</v>
      </c>
      <c r="D24" s="423">
        <v>3</v>
      </c>
      <c r="E24" s="423">
        <v>4</v>
      </c>
      <c r="F24" s="423">
        <v>2</v>
      </c>
      <c r="G24" s="423">
        <v>2</v>
      </c>
      <c r="H24" s="423">
        <v>1</v>
      </c>
      <c r="I24" s="423">
        <v>0</v>
      </c>
      <c r="J24" s="423">
        <v>12</v>
      </c>
    </row>
    <row r="25" spans="1:43">
      <c r="A25" s="423" t="s">
        <v>5</v>
      </c>
      <c r="B25" s="423"/>
      <c r="C25" s="423"/>
      <c r="D25" s="423"/>
      <c r="E25" s="423"/>
      <c r="F25" s="423"/>
      <c r="G25" s="423"/>
      <c r="H25" s="423"/>
      <c r="I25" s="423"/>
      <c r="J25" s="423"/>
    </row>
    <row r="26" spans="1:43" s="419" customFormat="1" ht="15.75" thickBot="1">
      <c r="A26" s="420" t="s">
        <v>467</v>
      </c>
      <c r="B26" s="420"/>
      <c r="C26" s="420">
        <v>2</v>
      </c>
      <c r="D26" s="420">
        <v>3</v>
      </c>
      <c r="E26" s="420">
        <v>4</v>
      </c>
      <c r="F26" s="420">
        <v>2</v>
      </c>
      <c r="G26" s="420">
        <v>2</v>
      </c>
      <c r="H26" s="420">
        <v>1</v>
      </c>
      <c r="I26" s="420">
        <v>0</v>
      </c>
      <c r="J26" s="420">
        <v>12</v>
      </c>
      <c r="M26"/>
      <c r="N26" s="657" t="s">
        <v>468</v>
      </c>
      <c r="O26" s="657"/>
      <c r="P26" s="657"/>
      <c r="Q26" s="657"/>
      <c r="R26" s="657"/>
      <c r="S26" s="657"/>
      <c r="T26" s="657"/>
      <c r="U26" s="657"/>
      <c r="V26" s="657"/>
      <c r="W26" s="657"/>
      <c r="X26" s="657"/>
      <c r="Y26" s="657"/>
      <c r="Z26" s="657"/>
      <c r="AA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ht="16.5" thickTop="1" thickBot="1">
      <c r="M27" s="391" t="s">
        <v>7</v>
      </c>
      <c r="N27" s="421" t="s">
        <v>8</v>
      </c>
      <c r="O27" s="421"/>
      <c r="P27" s="421"/>
      <c r="Q27" s="428" t="s">
        <v>9</v>
      </c>
      <c r="R27" s="427"/>
      <c r="S27" s="427"/>
      <c r="T27" s="428"/>
      <c r="U27" s="428"/>
      <c r="V27" s="428"/>
      <c r="W27" s="428"/>
      <c r="X27" s="428"/>
      <c r="Y27" s="428"/>
      <c r="Z27" s="428"/>
      <c r="AA27" s="44"/>
    </row>
    <row r="28" spans="1:43" ht="16.5" thickTop="1" thickBot="1">
      <c r="M28" s="392">
        <v>4219</v>
      </c>
      <c r="N28" s="38" t="s">
        <v>453</v>
      </c>
      <c r="O28" s="9" t="s">
        <v>12</v>
      </c>
      <c r="P28" s="9" t="s">
        <v>13</v>
      </c>
      <c r="Q28" s="10"/>
      <c r="R28" s="256" t="s">
        <v>14</v>
      </c>
      <c r="S28" s="257">
        <v>34</v>
      </c>
      <c r="T28" s="257">
        <v>36</v>
      </c>
      <c r="U28" s="257">
        <v>38</v>
      </c>
      <c r="V28" s="257">
        <v>40</v>
      </c>
      <c r="W28" s="257">
        <v>42</v>
      </c>
      <c r="X28" s="257">
        <v>44</v>
      </c>
      <c r="Y28" s="257">
        <v>46</v>
      </c>
      <c r="Z28" s="257"/>
      <c r="AA28" s="258" t="s">
        <v>15</v>
      </c>
    </row>
    <row r="29" spans="1:43" ht="16.5" thickTop="1" thickBot="1">
      <c r="M29" s="393">
        <f>+M28</f>
        <v>4219</v>
      </c>
      <c r="N29" s="39" t="s">
        <v>16</v>
      </c>
      <c r="O29" s="39"/>
      <c r="P29" s="39" t="str">
        <f>+N28</f>
        <v>AYLA</v>
      </c>
      <c r="Q29" s="40"/>
      <c r="R29" s="261" t="s">
        <v>1</v>
      </c>
      <c r="S29" s="261"/>
      <c r="T29" s="262">
        <f>'BASE DATOS'!C130</f>
        <v>0</v>
      </c>
      <c r="U29" s="262">
        <f>'BASE DATOS'!D130</f>
        <v>0</v>
      </c>
      <c r="V29" s="262">
        <f>'BASE DATOS'!E130</f>
        <v>0</v>
      </c>
      <c r="W29" s="262">
        <f>'BASE DATOS'!F130</f>
        <v>0</v>
      </c>
      <c r="X29" s="262">
        <f>'BASE DATOS'!G130</f>
        <v>0</v>
      </c>
      <c r="Y29" s="262">
        <f>'BASE DATOS'!H130</f>
        <v>0</v>
      </c>
      <c r="Z29" s="262"/>
      <c r="AA29" s="263">
        <f>SUM(T29:Z29)</f>
        <v>0</v>
      </c>
    </row>
    <row r="30" spans="1:43" ht="16.5" thickTop="1" thickBot="1">
      <c r="M30" s="393">
        <f>+M29</f>
        <v>4219</v>
      </c>
      <c r="N30" s="3"/>
      <c r="O30" s="4" t="s">
        <v>17</v>
      </c>
      <c r="P30" s="4" t="s">
        <v>213</v>
      </c>
      <c r="Q30" s="5" t="s">
        <v>3</v>
      </c>
      <c r="R30" s="265"/>
      <c r="S30" s="2"/>
      <c r="T30" s="7">
        <v>24</v>
      </c>
      <c r="U30" s="7">
        <v>53</v>
      </c>
      <c r="V30" s="7">
        <v>56</v>
      </c>
      <c r="W30" s="7">
        <v>48</v>
      </c>
      <c r="X30" s="7">
        <v>38</v>
      </c>
      <c r="Y30" s="465">
        <v>17</v>
      </c>
      <c r="Z30" s="8"/>
      <c r="AA30" s="14">
        <f>SUM(T30:Z30)</f>
        <v>236</v>
      </c>
    </row>
    <row r="31" spans="1:43" ht="15.75" thickTop="1">
      <c r="M31" s="394">
        <f>+M30</f>
        <v>4219</v>
      </c>
      <c r="N31" s="658" t="s">
        <v>99</v>
      </c>
      <c r="O31" s="659"/>
      <c r="P31" s="660"/>
      <c r="Q31" s="20" t="s">
        <v>3</v>
      </c>
      <c r="R31" s="271" t="s">
        <v>469</v>
      </c>
      <c r="S31" s="21" t="s">
        <v>470</v>
      </c>
      <c r="T31" s="425"/>
      <c r="U31" s="431"/>
      <c r="V31" s="431"/>
      <c r="W31" s="431"/>
      <c r="X31" s="431"/>
      <c r="Y31" s="431"/>
      <c r="Z31" s="22"/>
      <c r="AA31" s="424"/>
    </row>
    <row r="32" spans="1:43">
      <c r="M32" s="657" t="s">
        <v>471</v>
      </c>
      <c r="N32" s="657"/>
      <c r="O32" s="657"/>
      <c r="P32" s="657"/>
      <c r="Q32" s="657"/>
      <c r="R32" s="657"/>
      <c r="S32" s="657"/>
      <c r="T32" s="657"/>
      <c r="U32" s="657"/>
      <c r="V32" s="657"/>
      <c r="W32" s="657"/>
      <c r="X32" s="657"/>
      <c r="Y32" s="657"/>
      <c r="Z32" s="657"/>
      <c r="AA32" s="657"/>
    </row>
    <row r="37" spans="20:26">
      <c r="T37" s="464"/>
      <c r="U37" s="464"/>
      <c r="V37" s="464"/>
      <c r="W37" s="464"/>
      <c r="X37" s="464"/>
      <c r="Y37" s="464"/>
      <c r="Z37" s="464"/>
    </row>
  </sheetData>
  <mergeCells count="3">
    <mergeCell ref="N26:Z26"/>
    <mergeCell ref="M32:AA32"/>
    <mergeCell ref="N31:P31"/>
  </mergeCells>
  <pageMargins left="0.70866141732283472" right="0.70866141732283472" top="0.74803149606299213" bottom="0.74803149606299213" header="0.31496062992125984" footer="0.31496062992125984"/>
  <pageSetup scale="93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BA94-A48A-4A42-8D48-AEC4869656C6}">
  <sheetPr>
    <tabColor theme="8" tint="-0.249977111117893"/>
  </sheetPr>
  <dimension ref="A1:S11"/>
  <sheetViews>
    <sheetView workbookViewId="0">
      <selection activeCell="M20" sqref="M20"/>
    </sheetView>
  </sheetViews>
  <sheetFormatPr defaultColWidth="11.42578125" defaultRowHeight="15"/>
  <cols>
    <col min="1" max="1" width="8.5703125" bestFit="1" customWidth="1"/>
    <col min="2" max="2" width="11" bestFit="1" customWidth="1"/>
    <col min="3" max="3" width="5.140625" bestFit="1" customWidth="1"/>
    <col min="4" max="4" width="10.140625" bestFit="1" customWidth="1"/>
    <col min="5" max="5" width="6.28515625" bestFit="1" customWidth="1"/>
    <col min="6" max="6" width="10.7109375" bestFit="1" customWidth="1"/>
    <col min="7" max="7" width="4.42578125" bestFit="1" customWidth="1"/>
    <col min="8" max="13" width="3.7109375" bestFit="1" customWidth="1"/>
    <col min="15" max="15" width="7.85546875" bestFit="1" customWidth="1"/>
  </cols>
  <sheetData>
    <row r="1" spans="1:19" ht="15.75" thickBot="1"/>
    <row r="2" spans="1:19" ht="16.5" thickTop="1" thickBot="1">
      <c r="A2" s="42" t="s">
        <v>7</v>
      </c>
      <c r="B2" s="125" t="s">
        <v>8</v>
      </c>
      <c r="C2" s="125"/>
      <c r="D2" s="125"/>
      <c r="E2" s="77" t="s">
        <v>9</v>
      </c>
      <c r="F2" s="124"/>
      <c r="G2" s="124"/>
      <c r="H2" s="77"/>
      <c r="I2" s="77"/>
      <c r="J2" s="77"/>
      <c r="K2" s="77"/>
      <c r="L2" s="77"/>
      <c r="M2" s="77"/>
      <c r="N2" s="77"/>
      <c r="O2" s="77"/>
    </row>
    <row r="3" spans="1:19" ht="16.5" thickTop="1" thickBot="1">
      <c r="A3" s="32" t="s">
        <v>105</v>
      </c>
      <c r="B3" s="126" t="s">
        <v>85</v>
      </c>
      <c r="C3" s="127" t="s">
        <v>12</v>
      </c>
      <c r="D3" s="127" t="s">
        <v>13</v>
      </c>
      <c r="E3" s="128"/>
      <c r="F3" s="129" t="s">
        <v>14</v>
      </c>
      <c r="G3" s="130">
        <v>34</v>
      </c>
      <c r="H3" s="130">
        <v>36</v>
      </c>
      <c r="I3" s="130">
        <v>38</v>
      </c>
      <c r="J3" s="130">
        <v>40</v>
      </c>
      <c r="K3" s="130">
        <v>42</v>
      </c>
      <c r="L3" s="130">
        <v>44</v>
      </c>
      <c r="M3" s="130">
        <v>46</v>
      </c>
      <c r="N3" s="130"/>
      <c r="O3" s="76" t="s">
        <v>15</v>
      </c>
    </row>
    <row r="4" spans="1:19" ht="16.5" thickTop="1" thickBot="1">
      <c r="A4" s="33" t="str">
        <f t="shared" ref="A4:A10" si="0">+A3</f>
        <v>4220-00</v>
      </c>
      <c r="B4" s="131" t="s">
        <v>16</v>
      </c>
      <c r="C4" s="131"/>
      <c r="D4" s="131" t="str">
        <f>+B3</f>
        <v>Missy Plus</v>
      </c>
      <c r="E4" s="132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>
        <f>SUM(H4:N4)</f>
        <v>0</v>
      </c>
    </row>
    <row r="5" spans="1:19" ht="16.5" thickTop="1" thickBot="1">
      <c r="A5" s="33" t="str">
        <f t="shared" si="0"/>
        <v>4220-00</v>
      </c>
      <c r="B5" s="133">
        <v>46006</v>
      </c>
      <c r="C5" s="134" t="s">
        <v>17</v>
      </c>
      <c r="D5" s="134" t="s">
        <v>18</v>
      </c>
      <c r="E5" s="135" t="s">
        <v>3</v>
      </c>
      <c r="F5" s="136" t="s">
        <v>106</v>
      </c>
      <c r="G5" s="155"/>
      <c r="H5" s="138">
        <v>40</v>
      </c>
      <c r="I5" s="138">
        <v>56</v>
      </c>
      <c r="J5" s="138">
        <v>53</v>
      </c>
      <c r="K5" s="138">
        <v>42</v>
      </c>
      <c r="L5" s="138">
        <v>24</v>
      </c>
      <c r="M5" s="18"/>
      <c r="N5" s="139"/>
      <c r="O5" s="177">
        <f>SUM(H5:N5)</f>
        <v>215</v>
      </c>
      <c r="P5" s="178" t="s">
        <v>472</v>
      </c>
      <c r="Q5" s="186"/>
      <c r="R5" s="186"/>
      <c r="S5" s="185"/>
    </row>
    <row r="6" spans="1:19" ht="16.5" thickTop="1" thickBot="1">
      <c r="A6" s="33" t="str">
        <f t="shared" si="0"/>
        <v>4220-00</v>
      </c>
      <c r="B6" s="133">
        <v>46041</v>
      </c>
      <c r="C6" s="133"/>
      <c r="D6" s="144" t="s">
        <v>107</v>
      </c>
      <c r="E6" s="135" t="s">
        <v>3</v>
      </c>
      <c r="F6" s="141" t="s">
        <v>108</v>
      </c>
      <c r="G6" s="156"/>
      <c r="H6" s="138"/>
      <c r="I6" s="138">
        <v>20</v>
      </c>
      <c r="J6" s="138">
        <v>30</v>
      </c>
      <c r="K6" s="138">
        <v>20</v>
      </c>
      <c r="L6" s="138">
        <v>20</v>
      </c>
      <c r="M6" s="138">
        <v>20</v>
      </c>
      <c r="N6" s="143"/>
      <c r="O6" s="177">
        <f>SUM(H6:N6)</f>
        <v>110</v>
      </c>
      <c r="P6" s="184" t="s">
        <v>473</v>
      </c>
      <c r="Q6" s="183"/>
      <c r="R6" s="183"/>
      <c r="S6" s="182"/>
    </row>
    <row r="7" spans="1:19" ht="16.5" thickTop="1" thickBot="1">
      <c r="A7" s="33" t="str">
        <f t="shared" si="0"/>
        <v>4220-00</v>
      </c>
      <c r="B7" s="133"/>
      <c r="C7" s="133"/>
      <c r="D7" s="133"/>
      <c r="E7" s="135" t="s">
        <v>3</v>
      </c>
      <c r="F7" s="141"/>
      <c r="G7" s="156"/>
      <c r="H7" s="143"/>
      <c r="I7" s="143"/>
      <c r="J7" s="143"/>
      <c r="K7" s="143"/>
      <c r="L7" s="143"/>
      <c r="M7" s="143"/>
      <c r="N7" s="143"/>
      <c r="O7" s="145"/>
    </row>
    <row r="8" spans="1:19" ht="16.5" thickTop="1" thickBot="1">
      <c r="A8" s="33" t="str">
        <f t="shared" si="0"/>
        <v>4220-00</v>
      </c>
      <c r="B8" s="133"/>
      <c r="C8" s="133"/>
      <c r="D8" s="133"/>
      <c r="E8" s="135" t="s">
        <v>3</v>
      </c>
      <c r="F8" s="141"/>
      <c r="G8" s="156"/>
      <c r="H8" s="139"/>
      <c r="I8" s="139"/>
      <c r="J8" s="139"/>
      <c r="K8" s="139"/>
      <c r="L8" s="139"/>
      <c r="M8" s="139"/>
      <c r="N8" s="143"/>
      <c r="O8" s="145"/>
    </row>
    <row r="9" spans="1:19" ht="16.5" thickTop="1" thickBot="1">
      <c r="A9" s="34" t="str">
        <f t="shared" si="0"/>
        <v>4220-00</v>
      </c>
      <c r="B9" s="146"/>
      <c r="C9" s="146"/>
      <c r="D9" s="146"/>
      <c r="E9" s="147" t="s">
        <v>3</v>
      </c>
      <c r="F9" s="148"/>
      <c r="G9" s="157"/>
      <c r="H9" s="149"/>
      <c r="I9" s="149"/>
      <c r="J9" s="149"/>
      <c r="K9" s="149"/>
      <c r="L9" s="149"/>
      <c r="M9" s="149"/>
      <c r="N9" s="149"/>
      <c r="O9" s="150"/>
    </row>
    <row r="10" spans="1:19" ht="25.5" thickTop="1" thickBot="1">
      <c r="A10" s="46" t="str">
        <f t="shared" si="0"/>
        <v>4220-00</v>
      </c>
      <c r="B10" s="151"/>
      <c r="C10" s="151"/>
      <c r="D10" s="151"/>
      <c r="E10" s="152" t="s">
        <v>23</v>
      </c>
      <c r="F10" s="153" t="str">
        <f>+B3</f>
        <v>Missy Plus</v>
      </c>
      <c r="G10" s="158"/>
      <c r="H10" s="152">
        <f>SUM(H5:H9)</f>
        <v>40</v>
      </c>
      <c r="I10" s="152">
        <f t="shared" ref="I10:M10" si="1">SUM(I5:I9)</f>
        <v>76</v>
      </c>
      <c r="J10" s="152">
        <f t="shared" si="1"/>
        <v>83</v>
      </c>
      <c r="K10" s="152">
        <f t="shared" si="1"/>
        <v>62</v>
      </c>
      <c r="L10" s="152">
        <f t="shared" si="1"/>
        <v>44</v>
      </c>
      <c r="M10" s="152">
        <f t="shared" si="1"/>
        <v>20</v>
      </c>
      <c r="N10" s="152"/>
      <c r="O10" s="175">
        <f t="shared" ref="O10" si="2">SUM(H10:N10)</f>
        <v>325</v>
      </c>
    </row>
    <row r="11" spans="1:19" ht="15.75" thickTop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B12B-AE07-4E58-A7FB-FA62ACFFFF46}">
  <sheetPr>
    <tabColor theme="8" tint="-0.249977111117893"/>
  </sheetPr>
  <dimension ref="A1:O17"/>
  <sheetViews>
    <sheetView topLeftCell="A2" workbookViewId="0">
      <selection activeCell="W34" sqref="W34"/>
    </sheetView>
  </sheetViews>
  <sheetFormatPr defaultColWidth="11.42578125" defaultRowHeight="15"/>
  <cols>
    <col min="1" max="1" width="8.5703125" bestFit="1" customWidth="1"/>
    <col min="2" max="2" width="9" bestFit="1" customWidth="1"/>
    <col min="3" max="3" width="4.5703125" bestFit="1" customWidth="1"/>
    <col min="4" max="4" width="17.42578125" bestFit="1" customWidth="1"/>
    <col min="5" max="5" width="5.5703125" bestFit="1" customWidth="1"/>
    <col min="6" max="6" width="9" bestFit="1" customWidth="1"/>
    <col min="7" max="7" width="2.42578125" bestFit="1" customWidth="1"/>
    <col min="8" max="13" width="4.140625" bestFit="1" customWidth="1"/>
    <col min="15" max="15" width="6.14062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109</v>
      </c>
      <c r="B3" s="38" t="s">
        <v>95</v>
      </c>
      <c r="C3" s="9" t="s">
        <v>12</v>
      </c>
      <c r="D3" s="9" t="s">
        <v>13</v>
      </c>
      <c r="E3" s="10"/>
      <c r="F3" s="11" t="s">
        <v>14</v>
      </c>
      <c r="G3" s="11"/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7" si="0">+A3</f>
        <v>4221-00</v>
      </c>
      <c r="B4" s="39" t="s">
        <v>16</v>
      </c>
      <c r="C4" s="39"/>
      <c r="D4" s="39" t="str">
        <f>+B3</f>
        <v>New Glue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4221-00</v>
      </c>
      <c r="B5" s="3"/>
      <c r="C5" s="4" t="s">
        <v>17</v>
      </c>
      <c r="D5" s="4" t="s">
        <v>18</v>
      </c>
      <c r="E5" s="5" t="s">
        <v>3</v>
      </c>
      <c r="F5" s="29">
        <v>11499</v>
      </c>
      <c r="G5" s="2"/>
      <c r="H5" s="7">
        <v>35</v>
      </c>
      <c r="I5" s="7">
        <v>45</v>
      </c>
      <c r="J5" s="7">
        <v>55</v>
      </c>
      <c r="K5" s="7">
        <v>45</v>
      </c>
      <c r="L5" s="7">
        <v>40</v>
      </c>
      <c r="M5" s="7">
        <v>20</v>
      </c>
      <c r="N5" s="8"/>
      <c r="O5" s="14">
        <f t="shared" ref="O5" si="1">SUM(H5:N5)</f>
        <v>240</v>
      </c>
    </row>
    <row r="6" spans="1:15" ht="20.25" thickTop="1" thickBot="1">
      <c r="A6" s="33" t="str">
        <f t="shared" si="0"/>
        <v>4221-00</v>
      </c>
      <c r="B6" s="3"/>
      <c r="C6" s="3"/>
      <c r="D6" s="54" t="s">
        <v>111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/>
    </row>
    <row r="7" spans="1:15" ht="20.25" thickTop="1" thickBot="1">
      <c r="A7" s="33" t="str">
        <f t="shared" si="0"/>
        <v>4221-00</v>
      </c>
      <c r="B7" s="3"/>
      <c r="C7" s="3"/>
      <c r="D7" s="54" t="s">
        <v>113</v>
      </c>
      <c r="E7" s="5" t="s">
        <v>3</v>
      </c>
      <c r="F7" s="31"/>
      <c r="G7" s="6"/>
      <c r="H7" s="15"/>
      <c r="I7" s="15"/>
      <c r="J7" s="15"/>
      <c r="K7" s="15"/>
      <c r="L7" s="15"/>
      <c r="M7" s="15"/>
      <c r="N7" s="15"/>
      <c r="O7" s="16"/>
    </row>
    <row r="8" spans="1:15" ht="15.75" thickTop="1">
      <c r="B8" s="661" t="s">
        <v>474</v>
      </c>
      <c r="C8" s="661"/>
      <c r="D8" s="661"/>
      <c r="E8" s="661"/>
      <c r="F8" s="661"/>
      <c r="G8" s="661"/>
      <c r="H8" s="661"/>
      <c r="I8" s="661"/>
      <c r="J8" s="661"/>
      <c r="K8" s="661"/>
    </row>
    <row r="9" spans="1:15">
      <c r="B9" s="662"/>
      <c r="C9" s="662"/>
      <c r="D9" s="662"/>
      <c r="E9" s="662"/>
      <c r="F9" s="662"/>
      <c r="G9" s="662"/>
      <c r="H9" s="662"/>
      <c r="I9" s="662"/>
      <c r="J9" s="662"/>
      <c r="K9" s="662"/>
    </row>
    <row r="10" spans="1:15" ht="15.75" thickBot="1">
      <c r="B10" s="663"/>
      <c r="C10" s="663"/>
      <c r="D10" s="663"/>
      <c r="E10" s="663"/>
      <c r="F10" s="663"/>
      <c r="G10" s="663"/>
      <c r="H10" s="663"/>
      <c r="I10" s="663"/>
      <c r="J10" s="663"/>
      <c r="K10" s="663"/>
    </row>
    <row r="11" spans="1:15" ht="16.5" thickTop="1" thickBot="1">
      <c r="A11" s="42" t="s">
        <v>7</v>
      </c>
      <c r="B11" s="43" t="s">
        <v>8</v>
      </c>
      <c r="C11" s="43"/>
      <c r="D11" s="43"/>
      <c r="E11" s="44" t="s">
        <v>9</v>
      </c>
      <c r="F11" s="45"/>
      <c r="G11" s="45"/>
      <c r="H11" s="44"/>
      <c r="I11" s="44"/>
      <c r="J11" s="44"/>
      <c r="K11" s="44"/>
      <c r="L11" s="44"/>
      <c r="M11" s="44"/>
      <c r="N11" s="44"/>
      <c r="O11" s="44"/>
    </row>
    <row r="12" spans="1:15" ht="17.25" thickTop="1" thickBot="1">
      <c r="A12" s="32" t="s">
        <v>115</v>
      </c>
      <c r="B12" s="38" t="s">
        <v>95</v>
      </c>
      <c r="C12" s="9" t="s">
        <v>12</v>
      </c>
      <c r="D12" s="9" t="s">
        <v>13</v>
      </c>
      <c r="E12" s="10"/>
      <c r="F12" s="11" t="s">
        <v>14</v>
      </c>
      <c r="G12" s="11"/>
      <c r="H12" s="12">
        <v>36</v>
      </c>
      <c r="I12" s="12">
        <v>38</v>
      </c>
      <c r="J12" s="12">
        <v>40</v>
      </c>
      <c r="K12" s="12">
        <v>42</v>
      </c>
      <c r="L12" s="12">
        <v>44</v>
      </c>
      <c r="M12" s="12">
        <v>46</v>
      </c>
      <c r="N12" s="12"/>
      <c r="O12" s="13" t="s">
        <v>15</v>
      </c>
    </row>
    <row r="13" spans="1:15" ht="16.5" thickTop="1" thickBot="1">
      <c r="A13" s="33" t="str">
        <f t="shared" ref="A13:A16" si="2">+A12</f>
        <v>4221-01</v>
      </c>
      <c r="B13" s="39" t="s">
        <v>16</v>
      </c>
      <c r="C13" s="39"/>
      <c r="D13" s="39" t="str">
        <f>+B12</f>
        <v>New Glue</v>
      </c>
      <c r="E13" s="40"/>
      <c r="F13" s="41" t="s">
        <v>1</v>
      </c>
      <c r="G13" s="41"/>
      <c r="H13" s="50"/>
      <c r="I13" s="50"/>
      <c r="J13" s="50"/>
      <c r="K13" s="50"/>
      <c r="L13" s="50"/>
      <c r="M13" s="50"/>
      <c r="N13" s="50"/>
      <c r="O13" s="51"/>
    </row>
    <row r="14" spans="1:15" ht="20.25" thickTop="1" thickBot="1">
      <c r="A14" s="33" t="str">
        <f t="shared" si="2"/>
        <v>4221-01</v>
      </c>
      <c r="B14" s="3"/>
      <c r="C14" s="4" t="s">
        <v>17</v>
      </c>
      <c r="D14" s="4" t="s">
        <v>18</v>
      </c>
      <c r="E14" s="5" t="s">
        <v>3</v>
      </c>
      <c r="F14" s="29">
        <v>11499</v>
      </c>
      <c r="G14" s="2"/>
      <c r="H14" s="7">
        <v>35</v>
      </c>
      <c r="I14" s="7">
        <v>45</v>
      </c>
      <c r="J14" s="7">
        <v>55</v>
      </c>
      <c r="K14" s="7">
        <v>45</v>
      </c>
      <c r="L14" s="7">
        <v>40</v>
      </c>
      <c r="M14" s="7">
        <v>20</v>
      </c>
      <c r="N14" s="8"/>
      <c r="O14" s="14">
        <f t="shared" ref="O14" si="3">SUM(H14:N14)</f>
        <v>240</v>
      </c>
    </row>
    <row r="15" spans="1:15" ht="20.25" thickTop="1" thickBot="1">
      <c r="A15" s="33" t="str">
        <f t="shared" si="2"/>
        <v>4221-01</v>
      </c>
      <c r="B15" s="3"/>
      <c r="C15" s="3"/>
      <c r="D15" s="54" t="s">
        <v>111</v>
      </c>
      <c r="E15" s="5" t="s">
        <v>3</v>
      </c>
      <c r="F15" s="31"/>
      <c r="G15" s="6"/>
      <c r="H15" s="7"/>
      <c r="I15" s="7"/>
      <c r="J15" s="7"/>
      <c r="K15" s="7"/>
      <c r="L15" s="7"/>
      <c r="M15" s="7"/>
      <c r="N15" s="15"/>
      <c r="O15" s="14"/>
    </row>
    <row r="16" spans="1:15" ht="20.25" thickTop="1" thickBot="1">
      <c r="A16" s="33" t="str">
        <f t="shared" si="2"/>
        <v>4221-01</v>
      </c>
      <c r="B16" s="3"/>
      <c r="C16" s="3"/>
      <c r="D16" s="54" t="s">
        <v>116</v>
      </c>
      <c r="E16" s="5" t="s">
        <v>3</v>
      </c>
      <c r="F16" s="31"/>
      <c r="G16" s="6"/>
      <c r="H16" s="15"/>
      <c r="I16" s="15"/>
      <c r="J16" s="15"/>
      <c r="K16" s="15"/>
      <c r="L16" s="15"/>
      <c r="M16" s="15"/>
      <c r="N16" s="15"/>
      <c r="O16" s="23"/>
    </row>
    <row r="17" spans="15:15" ht="19.5" thickTop="1">
      <c r="O17" s="55">
        <f>SUM(O5:O16)</f>
        <v>480</v>
      </c>
    </row>
  </sheetData>
  <mergeCells count="1">
    <mergeCell ref="B8:K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B95E-2207-4C6F-823A-06B91F6C0F61}">
  <sheetPr>
    <tabColor theme="8" tint="-0.249977111117893"/>
  </sheetPr>
  <dimension ref="A1:O8"/>
  <sheetViews>
    <sheetView workbookViewId="0">
      <selection activeCell="K22" sqref="K22"/>
    </sheetView>
  </sheetViews>
  <sheetFormatPr defaultColWidth="11.28515625" defaultRowHeight="15"/>
  <cols>
    <col min="1" max="1" width="8.5703125" bestFit="1" customWidth="1"/>
    <col min="2" max="2" width="7.42578125" bestFit="1" customWidth="1"/>
    <col min="3" max="3" width="4.5703125" bestFit="1" customWidth="1"/>
    <col min="4" max="4" width="20.42578125" bestFit="1" customWidth="1"/>
    <col min="5" max="5" width="5.5703125" bestFit="1" customWidth="1"/>
    <col min="6" max="6" width="11.85546875" bestFit="1" customWidth="1"/>
    <col min="7" max="13" width="3.28515625" bestFit="1" customWidth="1"/>
    <col min="15" max="15" width="5.5703125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119</v>
      </c>
      <c r="B3" s="38" t="s">
        <v>50</v>
      </c>
      <c r="C3" s="9" t="s">
        <v>12</v>
      </c>
      <c r="D3" s="9" t="s">
        <v>120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7" si="0">+A3</f>
        <v>4222-00</v>
      </c>
      <c r="B4" s="39" t="s">
        <v>16</v>
      </c>
      <c r="C4" s="39"/>
      <c r="D4" s="39" t="str">
        <f>+B3</f>
        <v>Ayla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4222-00</v>
      </c>
      <c r="B5" s="3">
        <v>45933</v>
      </c>
      <c r="C5" s="4" t="s">
        <v>17</v>
      </c>
      <c r="D5" s="4" t="s">
        <v>18</v>
      </c>
      <c r="E5" s="5" t="s">
        <v>3</v>
      </c>
      <c r="F5" s="29" t="s">
        <v>121</v>
      </c>
      <c r="G5" s="2"/>
      <c r="H5" s="7">
        <v>38</v>
      </c>
      <c r="I5" s="7">
        <v>52</v>
      </c>
      <c r="J5" s="7">
        <v>80</v>
      </c>
      <c r="K5" s="7">
        <v>66</v>
      </c>
      <c r="L5" s="7">
        <v>69</v>
      </c>
      <c r="M5" s="7">
        <v>12</v>
      </c>
      <c r="N5" s="8"/>
      <c r="O5" s="14">
        <f t="shared" ref="O5:O7" si="1">SUM(H5:N5)</f>
        <v>317</v>
      </c>
    </row>
    <row r="6" spans="1:15" ht="20.25" thickTop="1" thickBot="1">
      <c r="A6" s="33" t="str">
        <f t="shared" si="0"/>
        <v>4222-00</v>
      </c>
      <c r="B6" s="3"/>
      <c r="C6" s="3"/>
      <c r="D6" s="71" t="s">
        <v>122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20.25" thickTop="1" thickBot="1">
      <c r="A7" s="33" t="str">
        <f t="shared" si="0"/>
        <v>4222-00</v>
      </c>
      <c r="B7" s="3"/>
      <c r="C7" s="3"/>
      <c r="D7" s="53" t="s">
        <v>124</v>
      </c>
      <c r="E7" s="5" t="s">
        <v>3</v>
      </c>
      <c r="F7" s="31"/>
      <c r="G7" s="6"/>
      <c r="H7" s="15"/>
      <c r="I7" s="15"/>
      <c r="J7" s="15"/>
      <c r="K7" s="15"/>
      <c r="L7" s="15"/>
      <c r="M7" s="15"/>
      <c r="N7" s="15"/>
      <c r="O7" s="16">
        <f t="shared" si="1"/>
        <v>0</v>
      </c>
    </row>
    <row r="8" spans="1:15" ht="16.5" thickTop="1">
      <c r="O8" s="72">
        <f>SUM(O4:O7)</f>
        <v>317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A9FE-9A2E-47DF-BBD8-1796817C982F}">
  <sheetPr>
    <tabColor theme="8" tint="-0.249977111117893"/>
  </sheetPr>
  <dimension ref="A1:O16"/>
  <sheetViews>
    <sheetView workbookViewId="0">
      <selection activeCell="N24" sqref="N24"/>
    </sheetView>
  </sheetViews>
  <sheetFormatPr defaultColWidth="8.42578125" defaultRowHeight="15"/>
  <cols>
    <col min="1" max="1" width="8.5703125" bestFit="1" customWidth="1"/>
    <col min="2" max="2" width="9.42578125" bestFit="1" customWidth="1"/>
    <col min="3" max="3" width="4.5703125" bestFit="1" customWidth="1"/>
    <col min="4" max="4" width="8.85546875" bestFit="1" customWidth="1"/>
    <col min="5" max="5" width="5.5703125" bestFit="1" customWidth="1"/>
    <col min="6" max="6" width="14.5703125" bestFit="1" customWidth="1"/>
    <col min="7" max="13" width="3.28515625" bestFit="1" customWidth="1"/>
    <col min="15" max="15" width="6.14062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125</v>
      </c>
      <c r="B3" s="38" t="s">
        <v>36</v>
      </c>
      <c r="C3" s="9" t="s">
        <v>12</v>
      </c>
      <c r="D3" s="9" t="s">
        <v>37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6" si="0">+A3</f>
        <v>4223-00</v>
      </c>
      <c r="B4" s="39" t="s">
        <v>16</v>
      </c>
      <c r="C4" s="39"/>
      <c r="D4" s="39" t="str">
        <f>+B3</f>
        <v>B2868-V3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>
        <f>SUM(H4:N4)</f>
        <v>0</v>
      </c>
    </row>
    <row r="5" spans="1:15" ht="20.25" thickTop="1" thickBot="1">
      <c r="A5" s="33" t="str">
        <f t="shared" si="0"/>
        <v>4223-00</v>
      </c>
      <c r="B5" s="3">
        <v>46028</v>
      </c>
      <c r="C5" s="4" t="s">
        <v>17</v>
      </c>
      <c r="D5" s="4" t="s">
        <v>42</v>
      </c>
      <c r="E5" s="5" t="s">
        <v>3</v>
      </c>
      <c r="F5" s="93" t="s">
        <v>475</v>
      </c>
      <c r="G5" s="2"/>
      <c r="H5" s="7">
        <v>39</v>
      </c>
      <c r="I5" s="7">
        <v>60</v>
      </c>
      <c r="J5" s="7">
        <v>60</v>
      </c>
      <c r="K5" s="7">
        <v>60</v>
      </c>
      <c r="L5" s="7">
        <v>39</v>
      </c>
      <c r="M5" s="7">
        <v>25</v>
      </c>
      <c r="N5" s="8"/>
      <c r="O5" s="94">
        <f t="shared" ref="O5:O6" si="1">SUM(H5:N5)</f>
        <v>283</v>
      </c>
    </row>
    <row r="6" spans="1:15" ht="20.25" thickTop="1" thickBot="1">
      <c r="A6" s="33" t="str">
        <f t="shared" si="0"/>
        <v>4223-00</v>
      </c>
      <c r="B6" s="3"/>
      <c r="C6" s="3"/>
      <c r="D6" s="3"/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15.75" thickTop="1"/>
    <row r="8" spans="1:15">
      <c r="B8" s="95" t="s">
        <v>476</v>
      </c>
      <c r="C8" s="96" t="s">
        <v>477</v>
      </c>
      <c r="D8" s="96" t="s">
        <v>478</v>
      </c>
      <c r="E8" s="96" t="s">
        <v>479</v>
      </c>
      <c r="F8" s="97" t="s">
        <v>480</v>
      </c>
    </row>
    <row r="9" spans="1:15" ht="15.75" thickBot="1"/>
    <row r="10" spans="1:15" ht="16.5" thickTop="1" thickBot="1">
      <c r="A10" s="42" t="s">
        <v>7</v>
      </c>
      <c r="B10" s="43" t="s">
        <v>8</v>
      </c>
      <c r="C10" s="43"/>
      <c r="D10" s="43"/>
      <c r="E10" s="44" t="s">
        <v>9</v>
      </c>
      <c r="F10" s="45"/>
      <c r="G10" s="45"/>
      <c r="H10" s="44"/>
      <c r="I10" s="44"/>
      <c r="J10" s="44"/>
      <c r="K10" s="44"/>
      <c r="L10" s="44"/>
      <c r="M10" s="44"/>
      <c r="N10" s="44"/>
      <c r="O10" s="44"/>
    </row>
    <row r="11" spans="1:15" ht="17.25" thickTop="1" thickBot="1">
      <c r="A11" s="32" t="s">
        <v>125</v>
      </c>
      <c r="B11" s="38" t="s">
        <v>36</v>
      </c>
      <c r="C11" s="9" t="s">
        <v>12</v>
      </c>
      <c r="D11" s="9" t="s">
        <v>37</v>
      </c>
      <c r="E11" s="10"/>
      <c r="F11" s="11" t="s">
        <v>14</v>
      </c>
      <c r="G11" s="12">
        <v>34</v>
      </c>
      <c r="H11" s="12">
        <v>36</v>
      </c>
      <c r="I11" s="12">
        <v>38</v>
      </c>
      <c r="J11" s="12">
        <v>40</v>
      </c>
      <c r="K11" s="12">
        <v>42</v>
      </c>
      <c r="L11" s="12">
        <v>44</v>
      </c>
      <c r="M11" s="12">
        <v>46</v>
      </c>
      <c r="N11" s="12"/>
      <c r="O11" s="13" t="s">
        <v>15</v>
      </c>
    </row>
    <row r="12" spans="1:15" ht="16.5" thickTop="1" thickBot="1">
      <c r="A12" s="33" t="str">
        <f t="shared" ref="A12:A14" si="2">+A11</f>
        <v>4223-00</v>
      </c>
      <c r="B12" s="39" t="s">
        <v>16</v>
      </c>
      <c r="C12" s="39"/>
      <c r="D12" s="39" t="str">
        <f>+B11</f>
        <v>B2868-V3</v>
      </c>
      <c r="E12" s="40"/>
      <c r="F12" s="41" t="s">
        <v>1</v>
      </c>
      <c r="G12" s="41"/>
      <c r="H12" s="50"/>
      <c r="I12" s="50"/>
      <c r="J12" s="50"/>
      <c r="K12" s="50"/>
      <c r="L12" s="50"/>
      <c r="M12" s="50"/>
      <c r="N12" s="50"/>
      <c r="O12" s="51">
        <f>SUM(H12:N12)</f>
        <v>0</v>
      </c>
    </row>
    <row r="13" spans="1:15" ht="20.25" thickTop="1" thickBot="1">
      <c r="A13" s="33" t="str">
        <f t="shared" si="2"/>
        <v>4223-00</v>
      </c>
      <c r="B13" s="3">
        <v>46028</v>
      </c>
      <c r="C13" s="4" t="s">
        <v>17</v>
      </c>
      <c r="D13" s="4" t="s">
        <v>42</v>
      </c>
      <c r="E13" s="5" t="s">
        <v>3</v>
      </c>
      <c r="F13" s="93" t="s">
        <v>481</v>
      </c>
      <c r="G13" s="2"/>
      <c r="H13" s="7">
        <v>39</v>
      </c>
      <c r="I13" s="7">
        <v>60</v>
      </c>
      <c r="J13" s="7">
        <v>60</v>
      </c>
      <c r="K13" s="7">
        <v>60</v>
      </c>
      <c r="L13" s="7">
        <v>39</v>
      </c>
      <c r="M13" s="7">
        <v>25</v>
      </c>
      <c r="N13" s="8"/>
      <c r="O13" s="94">
        <f t="shared" ref="O13:O14" si="3">SUM(H13:N13)</f>
        <v>283</v>
      </c>
    </row>
    <row r="14" spans="1:15" ht="20.25" thickTop="1" thickBot="1">
      <c r="A14" s="33" t="str">
        <f t="shared" si="2"/>
        <v>4223-00</v>
      </c>
      <c r="B14" s="3"/>
      <c r="C14" s="3"/>
      <c r="D14" s="3"/>
      <c r="E14" s="5" t="s">
        <v>3</v>
      </c>
      <c r="F14" s="31"/>
      <c r="G14" s="6"/>
      <c r="H14" s="7"/>
      <c r="I14" s="7"/>
      <c r="J14" s="7"/>
      <c r="K14" s="7"/>
      <c r="L14" s="7"/>
      <c r="M14" s="7"/>
      <c r="N14" s="15"/>
      <c r="O14" s="14">
        <f t="shared" si="3"/>
        <v>0</v>
      </c>
    </row>
    <row r="15" spans="1:15" ht="15.75" thickTop="1"/>
    <row r="16" spans="1:15">
      <c r="B16" s="95" t="s">
        <v>482</v>
      </c>
      <c r="C16" s="96"/>
      <c r="D16" s="96"/>
      <c r="E16" s="96"/>
      <c r="F16" s="96"/>
      <c r="G16" s="9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ACCA-6195-47D8-A154-BD843C56E880}">
  <sheetPr>
    <tabColor theme="8" tint="-0.249977111117893"/>
  </sheetPr>
  <dimension ref="A1:O11"/>
  <sheetViews>
    <sheetView workbookViewId="0">
      <selection activeCell="Q22" sqref="Q22"/>
    </sheetView>
  </sheetViews>
  <sheetFormatPr defaultColWidth="11.42578125" defaultRowHeight="15"/>
  <cols>
    <col min="1" max="1" width="6" bestFit="1" customWidth="1"/>
    <col min="2" max="2" width="9.42578125" bestFit="1" customWidth="1"/>
    <col min="3" max="3" width="4.5703125" bestFit="1" customWidth="1"/>
    <col min="4" max="4" width="12.7109375" bestFit="1" customWidth="1"/>
    <col min="5" max="5" width="5.5703125" bestFit="1" customWidth="1"/>
    <col min="6" max="6" width="11.85546875" bestFit="1" customWidth="1"/>
    <col min="7" max="7" width="2.42578125" bestFit="1" customWidth="1"/>
    <col min="8" max="13" width="4.140625" bestFit="1" customWidth="1"/>
    <col min="15" max="15" width="5.710937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>
        <v>4225</v>
      </c>
      <c r="B3" s="38" t="s">
        <v>36</v>
      </c>
      <c r="C3" s="9" t="s">
        <v>12</v>
      </c>
      <c r="D3" s="9" t="s">
        <v>13</v>
      </c>
      <c r="E3" s="10"/>
      <c r="F3" s="11" t="s">
        <v>14</v>
      </c>
      <c r="G3" s="11"/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>
        <f t="shared" ref="A4:A10" si="0">+A3</f>
        <v>4225</v>
      </c>
      <c r="B4" s="39" t="s">
        <v>16</v>
      </c>
      <c r="C4" s="39"/>
      <c r="D4" s="39" t="str">
        <f>+B3</f>
        <v>B2868-V3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>
        <f t="shared" si="0"/>
        <v>4225</v>
      </c>
      <c r="B5" s="3">
        <v>46006</v>
      </c>
      <c r="C5" s="4" t="s">
        <v>17</v>
      </c>
      <c r="D5" s="4" t="s">
        <v>42</v>
      </c>
      <c r="E5" s="5" t="s">
        <v>3</v>
      </c>
      <c r="F5" s="31" t="s">
        <v>132</v>
      </c>
      <c r="G5" s="6"/>
      <c r="H5" s="7">
        <v>10</v>
      </c>
      <c r="I5" s="7">
        <v>22</v>
      </c>
      <c r="J5" s="7">
        <v>53</v>
      </c>
      <c r="K5" s="7">
        <v>45</v>
      </c>
      <c r="L5" s="7">
        <v>36</v>
      </c>
      <c r="M5" s="7">
        <v>12</v>
      </c>
      <c r="N5" s="15"/>
      <c r="O5" s="14">
        <f t="shared" ref="O5" si="1">SUM(H5:N5)</f>
        <v>178</v>
      </c>
    </row>
    <row r="6" spans="1:15" ht="20.25" thickTop="1" thickBot="1">
      <c r="A6" s="33">
        <f t="shared" si="0"/>
        <v>4225</v>
      </c>
      <c r="B6" s="3">
        <v>45980</v>
      </c>
      <c r="C6" s="3"/>
      <c r="D6" s="56" t="s">
        <v>131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/>
    </row>
    <row r="7" spans="1:15" ht="20.25" thickTop="1" thickBot="1">
      <c r="A7" s="33">
        <f t="shared" si="0"/>
        <v>4225</v>
      </c>
      <c r="B7" s="3"/>
      <c r="C7" s="3"/>
      <c r="D7" s="56" t="s">
        <v>72</v>
      </c>
      <c r="E7" s="5" t="s">
        <v>3</v>
      </c>
      <c r="F7" s="31"/>
      <c r="G7" s="6"/>
      <c r="H7" s="15"/>
      <c r="I7" s="15"/>
      <c r="J7" s="15"/>
      <c r="K7" s="15"/>
      <c r="L7" s="15"/>
      <c r="M7" s="15"/>
      <c r="N7" s="15"/>
      <c r="O7" s="16">
        <f t="shared" ref="O7:O10" si="2">SUM(H7:N7)</f>
        <v>0</v>
      </c>
    </row>
    <row r="8" spans="1:15" ht="20.25" thickTop="1" thickBot="1">
      <c r="A8" s="33">
        <f t="shared" si="0"/>
        <v>4225</v>
      </c>
      <c r="B8" s="3"/>
      <c r="C8" s="3"/>
      <c r="D8" s="3"/>
      <c r="E8" s="5" t="s">
        <v>3</v>
      </c>
      <c r="F8" s="31"/>
      <c r="G8" s="6"/>
      <c r="H8" s="8"/>
      <c r="I8" s="8"/>
      <c r="J8" s="8"/>
      <c r="K8" s="8"/>
      <c r="L8" s="8"/>
      <c r="M8" s="8"/>
      <c r="N8" s="15"/>
      <c r="O8" s="16">
        <f t="shared" si="2"/>
        <v>0</v>
      </c>
    </row>
    <row r="9" spans="1:15" ht="20.25" thickTop="1" thickBot="1">
      <c r="A9" s="34">
        <f t="shared" si="0"/>
        <v>4225</v>
      </c>
      <c r="B9" s="19"/>
      <c r="C9" s="19"/>
      <c r="D9" s="19"/>
      <c r="E9" s="20" t="s">
        <v>3</v>
      </c>
      <c r="F9" s="30"/>
      <c r="G9" s="21"/>
      <c r="H9" s="22"/>
      <c r="I9" s="22"/>
      <c r="J9" s="22"/>
      <c r="K9" s="22"/>
      <c r="L9" s="22"/>
      <c r="M9" s="22"/>
      <c r="N9" s="22"/>
      <c r="O9" s="23">
        <f t="shared" si="2"/>
        <v>0</v>
      </c>
    </row>
    <row r="10" spans="1:15" ht="16.5" thickTop="1" thickBot="1">
      <c r="A10" s="46">
        <f t="shared" si="0"/>
        <v>4225</v>
      </c>
      <c r="B10" s="47"/>
      <c r="C10" s="47"/>
      <c r="D10" s="47"/>
      <c r="E10" s="48" t="s">
        <v>23</v>
      </c>
      <c r="F10" s="49" t="str">
        <f>+B3</f>
        <v>B2868-V3</v>
      </c>
      <c r="G10" s="48">
        <f>+G4-G5-G6-G7-G9+G8</f>
        <v>0</v>
      </c>
      <c r="H10" s="48">
        <f>+H4-H5-H6-H7-H9+H8</f>
        <v>-10</v>
      </c>
      <c r="I10" s="48">
        <f>+I4-I5-I6-I7-I9+I8</f>
        <v>-22</v>
      </c>
      <c r="J10" s="48">
        <f>+J4-J5-J6-J7-J9-J8</f>
        <v>-53</v>
      </c>
      <c r="K10" s="48">
        <f>+K4-K5-K6-K7-K9-K8</f>
        <v>-45</v>
      </c>
      <c r="L10" s="48">
        <f>+L4-L5-L6-L7-L9-L8</f>
        <v>-36</v>
      </c>
      <c r="M10" s="48">
        <f>+M4-M5-M6-M7-M9-M8</f>
        <v>-12</v>
      </c>
      <c r="N10" s="48"/>
      <c r="O10" s="48">
        <f t="shared" si="2"/>
        <v>-178</v>
      </c>
    </row>
    <row r="11" spans="1:15" ht="15.75" thickTop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78CE-6DC4-4C10-83B5-DF634727F669}">
  <sheetPr>
    <tabColor theme="8" tint="-0.249977111117893"/>
  </sheetPr>
  <dimension ref="A1:AW21"/>
  <sheetViews>
    <sheetView workbookViewId="0">
      <selection activeCell="S25" sqref="S25"/>
    </sheetView>
  </sheetViews>
  <sheetFormatPr defaultColWidth="11.42578125" defaultRowHeight="15"/>
  <cols>
    <col min="1" max="1" width="8.5703125" bestFit="1" customWidth="1"/>
    <col min="2" max="2" width="9" bestFit="1" customWidth="1"/>
    <col min="3" max="3" width="4.5703125" bestFit="1" customWidth="1"/>
    <col min="4" max="4" width="8.42578125" bestFit="1" customWidth="1"/>
    <col min="5" max="5" width="5.5703125" bestFit="1" customWidth="1"/>
    <col min="6" max="6" width="8.85546875" bestFit="1" customWidth="1"/>
    <col min="7" max="7" width="3.28515625" bestFit="1" customWidth="1"/>
    <col min="8" max="13" width="4.140625" bestFit="1" customWidth="1"/>
    <col min="15" max="15" width="5.7109375" bestFit="1" customWidth="1"/>
    <col min="35" max="35" width="8.5703125" bestFit="1" customWidth="1"/>
    <col min="36" max="36" width="9" bestFit="1" customWidth="1"/>
    <col min="37" max="37" width="4.5703125" bestFit="1" customWidth="1"/>
    <col min="38" max="38" width="8.42578125" bestFit="1" customWidth="1"/>
    <col min="39" max="39" width="5.5703125" bestFit="1" customWidth="1"/>
    <col min="40" max="40" width="8.85546875" bestFit="1" customWidth="1"/>
    <col min="41" max="41" width="3.28515625" bestFit="1" customWidth="1"/>
    <col min="42" max="42" width="4.140625" bestFit="1" customWidth="1"/>
    <col min="43" max="47" width="3.7109375" bestFit="1" customWidth="1"/>
    <col min="49" max="49" width="5.7109375" bestFit="1" customWidth="1"/>
  </cols>
  <sheetData>
    <row r="1" spans="1:49" ht="15.75" thickBot="1"/>
    <row r="2" spans="1:49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49" ht="17.25" thickTop="1" thickBot="1">
      <c r="A3" s="32" t="s">
        <v>135</v>
      </c>
      <c r="B3" s="38" t="s">
        <v>11</v>
      </c>
      <c r="C3" s="9" t="s">
        <v>12</v>
      </c>
      <c r="D3" s="9" t="s">
        <v>37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  <c r="AI3" s="42" t="s">
        <v>7</v>
      </c>
      <c r="AJ3" s="43" t="s">
        <v>8</v>
      </c>
      <c r="AK3" s="43"/>
      <c r="AL3" s="43"/>
      <c r="AM3" s="44" t="s">
        <v>9</v>
      </c>
      <c r="AN3" s="45"/>
      <c r="AO3" s="45"/>
      <c r="AP3" s="44"/>
      <c r="AQ3" s="44"/>
      <c r="AR3" s="44"/>
      <c r="AS3" s="44"/>
      <c r="AT3" s="44"/>
      <c r="AU3" s="44"/>
      <c r="AV3" s="44"/>
      <c r="AW3" s="44"/>
    </row>
    <row r="4" spans="1:49" ht="17.25" thickTop="1" thickBot="1">
      <c r="A4" s="33" t="str">
        <f t="shared" ref="A4:A6" si="0">+A3</f>
        <v>4226-00</v>
      </c>
      <c r="B4" s="39" t="s">
        <v>16</v>
      </c>
      <c r="C4" s="39"/>
      <c r="D4" s="39" t="str">
        <f>+B3</f>
        <v>Ibiza Blue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  <c r="AI4" s="32" t="s">
        <v>135</v>
      </c>
      <c r="AJ4" s="38" t="s">
        <v>11</v>
      </c>
      <c r="AK4" s="9" t="s">
        <v>12</v>
      </c>
      <c r="AL4" s="9" t="s">
        <v>37</v>
      </c>
      <c r="AM4" s="10"/>
      <c r="AN4" s="11" t="s">
        <v>14</v>
      </c>
      <c r="AO4" s="12">
        <v>34</v>
      </c>
      <c r="AP4" s="12">
        <v>36</v>
      </c>
      <c r="AQ4" s="12">
        <v>38</v>
      </c>
      <c r="AR4" s="12">
        <v>40</v>
      </c>
      <c r="AS4" s="12">
        <v>42</v>
      </c>
      <c r="AT4" s="12">
        <v>44</v>
      </c>
      <c r="AU4" s="12">
        <v>46</v>
      </c>
      <c r="AV4" s="12"/>
      <c r="AW4" s="13" t="s">
        <v>15</v>
      </c>
    </row>
    <row r="5" spans="1:49" ht="20.25" thickTop="1" thickBot="1">
      <c r="A5" s="33" t="str">
        <f t="shared" si="0"/>
        <v>4226-00</v>
      </c>
      <c r="B5" s="3">
        <v>46006</v>
      </c>
      <c r="C5" s="4" t="s">
        <v>17</v>
      </c>
      <c r="D5" s="4" t="s">
        <v>18</v>
      </c>
      <c r="E5" s="5" t="s">
        <v>3</v>
      </c>
      <c r="F5" s="29">
        <v>11540</v>
      </c>
      <c r="G5" s="2"/>
      <c r="H5" s="7">
        <v>50</v>
      </c>
      <c r="I5" s="7">
        <v>69</v>
      </c>
      <c r="J5" s="7">
        <v>68</v>
      </c>
      <c r="K5" s="7">
        <v>70</v>
      </c>
      <c r="L5" s="7">
        <v>52</v>
      </c>
      <c r="M5" s="7">
        <v>36</v>
      </c>
      <c r="N5" s="8"/>
      <c r="O5" s="14">
        <f t="shared" ref="O5" si="1">SUM(H5:N5)</f>
        <v>345</v>
      </c>
      <c r="AI5" s="33" t="s">
        <v>135</v>
      </c>
      <c r="AJ5" s="39" t="s">
        <v>16</v>
      </c>
      <c r="AK5" s="39"/>
      <c r="AL5" s="39" t="s">
        <v>11</v>
      </c>
      <c r="AM5" s="40"/>
      <c r="AN5" s="41" t="s">
        <v>1</v>
      </c>
      <c r="AO5" s="41"/>
      <c r="AP5" s="50">
        <v>33</v>
      </c>
      <c r="AQ5" s="50">
        <v>73</v>
      </c>
      <c r="AR5" s="50">
        <v>80</v>
      </c>
      <c r="AS5" s="50">
        <v>75</v>
      </c>
      <c r="AT5" s="50">
        <v>55</v>
      </c>
      <c r="AU5" s="50">
        <v>43</v>
      </c>
      <c r="AV5" s="50"/>
      <c r="AW5" s="51">
        <v>359</v>
      </c>
    </row>
    <row r="6" spans="1:49" ht="20.25" thickTop="1" thickBot="1">
      <c r="A6" s="33" t="str">
        <f t="shared" si="0"/>
        <v>4226-00</v>
      </c>
      <c r="B6" s="3"/>
      <c r="C6" s="3"/>
      <c r="D6" s="52" t="s">
        <v>137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/>
      <c r="AI6" s="33" t="s">
        <v>135</v>
      </c>
      <c r="AJ6" s="3">
        <v>46006</v>
      </c>
      <c r="AK6" s="4" t="s">
        <v>17</v>
      </c>
      <c r="AL6" s="4" t="s">
        <v>18</v>
      </c>
      <c r="AM6" s="5" t="s">
        <v>3</v>
      </c>
      <c r="AN6" s="29">
        <v>11540</v>
      </c>
      <c r="AO6" s="2"/>
      <c r="AP6" s="7">
        <v>50</v>
      </c>
      <c r="AQ6" s="7">
        <v>69</v>
      </c>
      <c r="AR6" s="7">
        <v>68</v>
      </c>
      <c r="AS6" s="7">
        <v>70</v>
      </c>
      <c r="AT6" s="7">
        <v>52</v>
      </c>
      <c r="AU6" s="7">
        <v>36</v>
      </c>
      <c r="AV6" s="8"/>
      <c r="AW6" s="14">
        <f>SUM(AP6:AV6)</f>
        <v>345</v>
      </c>
    </row>
    <row r="7" spans="1:49" ht="20.25" thickTop="1" thickBot="1">
      <c r="O7" s="74"/>
      <c r="AI7" s="33" t="s">
        <v>135</v>
      </c>
      <c r="AJ7" s="3"/>
      <c r="AK7" s="3"/>
      <c r="AL7" s="52" t="s">
        <v>137</v>
      </c>
      <c r="AM7" s="5" t="s">
        <v>3</v>
      </c>
      <c r="AN7" s="31"/>
      <c r="AO7" s="6"/>
      <c r="AP7" s="7"/>
      <c r="AQ7" s="7"/>
      <c r="AR7" s="7"/>
      <c r="AS7" s="7"/>
      <c r="AT7" s="7"/>
      <c r="AU7" s="7"/>
      <c r="AV7" s="15"/>
      <c r="AW7" s="14">
        <v>0</v>
      </c>
    </row>
    <row r="8" spans="1:49" ht="20.25" thickTop="1" thickBot="1">
      <c r="O8" s="74"/>
      <c r="AI8" s="33" t="s">
        <v>135</v>
      </c>
      <c r="AJ8" s="3"/>
      <c r="AK8" s="3"/>
      <c r="AL8" s="3"/>
      <c r="AM8" s="5" t="s">
        <v>3</v>
      </c>
      <c r="AN8" s="31"/>
      <c r="AO8" s="6"/>
      <c r="AP8" s="15"/>
      <c r="AQ8" s="15"/>
      <c r="AR8" s="15"/>
      <c r="AS8" s="15"/>
      <c r="AT8" s="15"/>
      <c r="AU8" s="15"/>
      <c r="AV8" s="15"/>
      <c r="AW8" s="16">
        <v>0</v>
      </c>
    </row>
    <row r="9" spans="1:49" ht="20.25" thickTop="1" thickBot="1">
      <c r="O9" s="74"/>
      <c r="AI9" s="33" t="s">
        <v>135</v>
      </c>
      <c r="AJ9" s="3"/>
      <c r="AK9" s="3"/>
      <c r="AL9" s="3"/>
      <c r="AM9" s="5" t="s">
        <v>3</v>
      </c>
      <c r="AN9" s="31"/>
      <c r="AO9" s="6"/>
      <c r="AP9" s="8"/>
      <c r="AQ9" s="8"/>
      <c r="AR9" s="8"/>
      <c r="AS9" s="8"/>
      <c r="AT9" s="8"/>
      <c r="AU9" s="8"/>
      <c r="AV9" s="15"/>
      <c r="AW9" s="16">
        <v>0</v>
      </c>
    </row>
    <row r="10" spans="1:49" ht="20.25" thickTop="1" thickBot="1">
      <c r="O10" s="74"/>
      <c r="AI10" s="34" t="s">
        <v>135</v>
      </c>
      <c r="AJ10" s="19"/>
      <c r="AK10" s="19"/>
      <c r="AL10" s="19"/>
      <c r="AM10" s="20" t="s">
        <v>3</v>
      </c>
      <c r="AN10" s="30"/>
      <c r="AO10" s="21"/>
      <c r="AP10" s="22"/>
      <c r="AQ10" s="22"/>
      <c r="AR10" s="22"/>
      <c r="AS10" s="22"/>
      <c r="AT10" s="22"/>
      <c r="AU10" s="22"/>
      <c r="AV10" s="22"/>
      <c r="AW10" s="23">
        <v>0</v>
      </c>
    </row>
    <row r="11" spans="1:49" ht="16.5" thickTop="1" thickBot="1">
      <c r="A11" s="42" t="s">
        <v>7</v>
      </c>
      <c r="B11" s="43" t="s">
        <v>8</v>
      </c>
      <c r="C11" s="43"/>
      <c r="D11" s="43"/>
      <c r="E11" s="44" t="s">
        <v>9</v>
      </c>
      <c r="F11" s="45"/>
      <c r="G11" s="45"/>
      <c r="H11" s="44"/>
      <c r="I11" s="44"/>
      <c r="J11" s="44"/>
      <c r="K11" s="44"/>
      <c r="L11" s="44"/>
      <c r="M11" s="44"/>
      <c r="N11" s="44"/>
      <c r="O11" s="44"/>
      <c r="AI11" s="46" t="s">
        <v>135</v>
      </c>
      <c r="AJ11" s="47"/>
      <c r="AK11" s="47"/>
      <c r="AL11" s="47"/>
      <c r="AM11" s="48" t="s">
        <v>23</v>
      </c>
      <c r="AN11" s="49" t="s">
        <v>11</v>
      </c>
      <c r="AO11" s="48"/>
      <c r="AP11" s="48">
        <v>-17</v>
      </c>
      <c r="AQ11" s="48">
        <v>0</v>
      </c>
      <c r="AR11" s="48">
        <v>12</v>
      </c>
      <c r="AS11" s="48">
        <v>5</v>
      </c>
      <c r="AT11" s="48">
        <v>3</v>
      </c>
      <c r="AU11" s="48">
        <v>7</v>
      </c>
      <c r="AV11" s="48"/>
      <c r="AW11" s="48">
        <v>10</v>
      </c>
    </row>
    <row r="12" spans="1:49" ht="17.25" thickTop="1" thickBot="1">
      <c r="A12" s="32" t="s">
        <v>139</v>
      </c>
      <c r="B12" s="38" t="s">
        <v>11</v>
      </c>
      <c r="C12" s="9" t="s">
        <v>12</v>
      </c>
      <c r="D12" s="9" t="s">
        <v>37</v>
      </c>
      <c r="E12" s="10"/>
      <c r="F12" s="11" t="s">
        <v>14</v>
      </c>
      <c r="G12" s="12">
        <v>34</v>
      </c>
      <c r="H12" s="12">
        <v>36</v>
      </c>
      <c r="I12" s="12">
        <v>38</v>
      </c>
      <c r="J12" s="12">
        <v>40</v>
      </c>
      <c r="K12" s="12">
        <v>42</v>
      </c>
      <c r="L12" s="12">
        <v>44</v>
      </c>
      <c r="M12" s="12">
        <v>46</v>
      </c>
      <c r="N12" s="12"/>
      <c r="O12" s="13" t="s">
        <v>15</v>
      </c>
      <c r="AI12" s="42" t="s">
        <v>7</v>
      </c>
      <c r="AJ12" s="43" t="s">
        <v>8</v>
      </c>
      <c r="AK12" s="43"/>
      <c r="AL12" s="43"/>
      <c r="AM12" s="44" t="s">
        <v>9</v>
      </c>
      <c r="AN12" s="45"/>
      <c r="AO12" s="45"/>
      <c r="AP12" s="44"/>
      <c r="AQ12" s="44"/>
      <c r="AR12" s="44"/>
      <c r="AS12" s="44"/>
      <c r="AT12" s="44"/>
      <c r="AU12" s="44"/>
      <c r="AV12" s="44"/>
      <c r="AW12" s="44"/>
    </row>
    <row r="13" spans="1:49" ht="17.25" thickTop="1" thickBot="1">
      <c r="A13" s="33" t="str">
        <f t="shared" ref="A13:A15" si="2">+A12</f>
        <v>4226-01</v>
      </c>
      <c r="B13" s="39" t="s">
        <v>16</v>
      </c>
      <c r="C13" s="39"/>
      <c r="D13" s="39" t="str">
        <f>+B12</f>
        <v>Ibiza Blue</v>
      </c>
      <c r="E13" s="40"/>
      <c r="F13" s="41" t="s">
        <v>1</v>
      </c>
      <c r="G13" s="41"/>
      <c r="H13" s="50"/>
      <c r="I13" s="50"/>
      <c r="J13" s="50"/>
      <c r="K13" s="50"/>
      <c r="L13" s="50"/>
      <c r="M13" s="50"/>
      <c r="N13" s="50"/>
      <c r="O13" s="51"/>
      <c r="AI13" s="32" t="s">
        <v>139</v>
      </c>
      <c r="AJ13" s="38" t="s">
        <v>11</v>
      </c>
      <c r="AK13" s="9" t="s">
        <v>12</v>
      </c>
      <c r="AL13" s="9" t="s">
        <v>37</v>
      </c>
      <c r="AM13" s="10"/>
      <c r="AN13" s="11" t="s">
        <v>14</v>
      </c>
      <c r="AO13" s="12">
        <v>34</v>
      </c>
      <c r="AP13" s="12">
        <v>36</v>
      </c>
      <c r="AQ13" s="12">
        <v>38</v>
      </c>
      <c r="AR13" s="12">
        <v>40</v>
      </c>
      <c r="AS13" s="12">
        <v>42</v>
      </c>
      <c r="AT13" s="12">
        <v>44</v>
      </c>
      <c r="AU13" s="12">
        <v>46</v>
      </c>
      <c r="AV13" s="12"/>
      <c r="AW13" s="13" t="s">
        <v>15</v>
      </c>
    </row>
    <row r="14" spans="1:49" ht="20.25" thickTop="1" thickBot="1">
      <c r="A14" s="33" t="str">
        <f t="shared" si="2"/>
        <v>4226-01</v>
      </c>
      <c r="B14" s="3">
        <v>46006</v>
      </c>
      <c r="C14" s="4" t="s">
        <v>17</v>
      </c>
      <c r="D14" s="4" t="s">
        <v>18</v>
      </c>
      <c r="E14" s="5" t="s">
        <v>3</v>
      </c>
      <c r="F14" s="29">
        <v>11540</v>
      </c>
      <c r="G14" s="2"/>
      <c r="H14" s="7">
        <v>28</v>
      </c>
      <c r="I14" s="7">
        <v>27</v>
      </c>
      <c r="J14" s="7">
        <v>32</v>
      </c>
      <c r="K14" s="7">
        <v>30</v>
      </c>
      <c r="L14" s="7">
        <v>26</v>
      </c>
      <c r="M14" s="7">
        <v>14</v>
      </c>
      <c r="N14" s="8"/>
      <c r="O14" s="14">
        <f t="shared" ref="O14" si="3">SUM(H14:N14)</f>
        <v>157</v>
      </c>
      <c r="AI14" s="33" t="s">
        <v>139</v>
      </c>
      <c r="AJ14" s="39" t="s">
        <v>16</v>
      </c>
      <c r="AK14" s="39"/>
      <c r="AL14" s="39" t="s">
        <v>11</v>
      </c>
      <c r="AM14" s="40"/>
      <c r="AN14" s="41" t="s">
        <v>1</v>
      </c>
      <c r="AO14" s="41"/>
      <c r="AP14" s="50">
        <v>21</v>
      </c>
      <c r="AQ14" s="50">
        <v>29</v>
      </c>
      <c r="AR14" s="50">
        <v>36</v>
      </c>
      <c r="AS14" s="50">
        <v>33</v>
      </c>
      <c r="AT14" s="50">
        <v>26</v>
      </c>
      <c r="AU14" s="50">
        <v>19</v>
      </c>
      <c r="AV14" s="50"/>
      <c r="AW14" s="51">
        <v>164</v>
      </c>
    </row>
    <row r="15" spans="1:49" ht="20.25" thickTop="1" thickBot="1">
      <c r="A15" s="33" t="str">
        <f t="shared" si="2"/>
        <v>4226-01</v>
      </c>
      <c r="B15" s="3"/>
      <c r="C15" s="3"/>
      <c r="D15" s="52" t="s">
        <v>137</v>
      </c>
      <c r="E15" s="5" t="s">
        <v>3</v>
      </c>
      <c r="F15" s="31"/>
      <c r="G15" s="6"/>
      <c r="H15" s="7"/>
      <c r="I15" s="7"/>
      <c r="J15" s="7"/>
      <c r="K15" s="7"/>
      <c r="L15" s="7"/>
      <c r="M15" s="7"/>
      <c r="N15" s="15"/>
      <c r="O15" s="14"/>
      <c r="AI15" s="33" t="s">
        <v>139</v>
      </c>
      <c r="AJ15" s="3">
        <v>46006</v>
      </c>
      <c r="AK15" s="4" t="s">
        <v>17</v>
      </c>
      <c r="AL15" s="4" t="s">
        <v>18</v>
      </c>
      <c r="AM15" s="5" t="s">
        <v>3</v>
      </c>
      <c r="AN15" s="29">
        <v>11540</v>
      </c>
      <c r="AO15" s="2"/>
      <c r="AP15" s="7">
        <v>28</v>
      </c>
      <c r="AQ15" s="7">
        <v>27</v>
      </c>
      <c r="AR15" s="7">
        <v>32</v>
      </c>
      <c r="AS15" s="7">
        <v>30</v>
      </c>
      <c r="AT15" s="7">
        <v>26</v>
      </c>
      <c r="AU15" s="7">
        <v>14</v>
      </c>
      <c r="AV15" s="8"/>
      <c r="AW15" s="14">
        <f>SUM(AP15:AV15)</f>
        <v>157</v>
      </c>
    </row>
    <row r="16" spans="1:49" ht="20.25" thickTop="1" thickBot="1">
      <c r="O16" s="75">
        <f>SUM(O2:O15)</f>
        <v>502</v>
      </c>
      <c r="AI16" s="33" t="s">
        <v>139</v>
      </c>
      <c r="AJ16" s="3"/>
      <c r="AK16" s="3"/>
      <c r="AL16" s="52" t="s">
        <v>137</v>
      </c>
      <c r="AM16" s="5" t="s">
        <v>3</v>
      </c>
      <c r="AN16" s="31"/>
      <c r="AO16" s="6"/>
      <c r="AP16" s="7"/>
      <c r="AQ16" s="7"/>
      <c r="AR16" s="7"/>
      <c r="AS16" s="7"/>
      <c r="AT16" s="7"/>
      <c r="AU16" s="7"/>
      <c r="AV16" s="15"/>
      <c r="AW16" s="14">
        <v>0</v>
      </c>
    </row>
    <row r="17" spans="35:49" ht="20.25" thickTop="1" thickBot="1">
      <c r="AI17" s="33" t="s">
        <v>139</v>
      </c>
      <c r="AJ17" s="3"/>
      <c r="AK17" s="3"/>
      <c r="AL17" s="3"/>
      <c r="AM17" s="5" t="s">
        <v>3</v>
      </c>
      <c r="AN17" s="31"/>
      <c r="AO17" s="6"/>
      <c r="AP17" s="15"/>
      <c r="AQ17" s="15"/>
      <c r="AR17" s="15"/>
      <c r="AS17" s="15"/>
      <c r="AT17" s="15"/>
      <c r="AU17" s="15"/>
      <c r="AV17" s="15"/>
      <c r="AW17" s="16">
        <v>0</v>
      </c>
    </row>
    <row r="18" spans="35:49" ht="20.25" thickTop="1" thickBot="1">
      <c r="AI18" s="33" t="s">
        <v>139</v>
      </c>
      <c r="AJ18" s="3"/>
      <c r="AK18" s="3"/>
      <c r="AL18" s="3"/>
      <c r="AM18" s="5" t="s">
        <v>3</v>
      </c>
      <c r="AN18" s="31"/>
      <c r="AO18" s="6"/>
      <c r="AP18" s="8"/>
      <c r="AQ18" s="8"/>
      <c r="AR18" s="8"/>
      <c r="AS18" s="8"/>
      <c r="AT18" s="8"/>
      <c r="AU18" s="8"/>
      <c r="AV18" s="15"/>
      <c r="AW18" s="16">
        <v>0</v>
      </c>
    </row>
    <row r="19" spans="35:49" ht="20.25" thickTop="1" thickBot="1">
      <c r="AI19" s="34" t="s">
        <v>139</v>
      </c>
      <c r="AJ19" s="19"/>
      <c r="AK19" s="19"/>
      <c r="AL19" s="19"/>
      <c r="AM19" s="20" t="s">
        <v>3</v>
      </c>
      <c r="AN19" s="30"/>
      <c r="AO19" s="21"/>
      <c r="AP19" s="22"/>
      <c r="AQ19" s="22"/>
      <c r="AR19" s="22"/>
      <c r="AS19" s="22"/>
      <c r="AT19" s="22"/>
      <c r="AU19" s="22"/>
      <c r="AV19" s="22"/>
      <c r="AW19" s="23">
        <v>0</v>
      </c>
    </row>
    <row r="20" spans="35:49" ht="16.5" thickTop="1" thickBot="1">
      <c r="AI20" s="46" t="s">
        <v>139</v>
      </c>
      <c r="AJ20" s="47"/>
      <c r="AK20" s="47"/>
      <c r="AL20" s="47"/>
      <c r="AM20" s="48" t="s">
        <v>23</v>
      </c>
      <c r="AN20" s="49" t="s">
        <v>11</v>
      </c>
      <c r="AO20" s="48"/>
      <c r="AP20" s="48">
        <v>-7</v>
      </c>
      <c r="AQ20" s="48">
        <v>2</v>
      </c>
      <c r="AR20" s="48">
        <v>4</v>
      </c>
      <c r="AS20" s="48">
        <v>3</v>
      </c>
      <c r="AT20" s="48">
        <v>0</v>
      </c>
      <c r="AU20" s="48">
        <v>5</v>
      </c>
      <c r="AV20" s="48"/>
      <c r="AW20" s="48">
        <v>7</v>
      </c>
    </row>
    <row r="21" spans="35:49" ht="15.75" thickTop="1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979C-CECD-4181-A6FC-938E0CDA6774}">
  <sheetPr>
    <tabColor theme="8" tint="-0.249977111117893"/>
  </sheetPr>
  <dimension ref="A1:O16"/>
  <sheetViews>
    <sheetView workbookViewId="0">
      <selection activeCell="N21" sqref="N21"/>
    </sheetView>
  </sheetViews>
  <sheetFormatPr defaultColWidth="11.42578125" defaultRowHeight="15"/>
  <cols>
    <col min="1" max="1" width="8.5703125" bestFit="1" customWidth="1"/>
    <col min="2" max="2" width="9" bestFit="1" customWidth="1"/>
    <col min="3" max="3" width="4.5703125" bestFit="1" customWidth="1"/>
    <col min="4" max="4" width="13.28515625" bestFit="1" customWidth="1"/>
    <col min="5" max="5" width="5.5703125" bestFit="1" customWidth="1"/>
    <col min="6" max="6" width="9" bestFit="1" customWidth="1"/>
    <col min="7" max="7" width="3.28515625" bestFit="1" customWidth="1"/>
    <col min="8" max="13" width="6.28515625" bestFit="1" customWidth="1"/>
    <col min="15" max="15" width="6.2851562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77"/>
    </row>
    <row r="3" spans="1:15" ht="17.25" thickTop="1" thickBot="1">
      <c r="A3" s="32" t="s">
        <v>140</v>
      </c>
      <c r="B3" s="38" t="s">
        <v>95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76" t="s">
        <v>15</v>
      </c>
    </row>
    <row r="4" spans="1:15" ht="16.5" thickTop="1" thickBot="1">
      <c r="A4" s="33" t="str">
        <f t="shared" ref="A4:A6" si="0">+A3</f>
        <v>4227-00</v>
      </c>
      <c r="B4" s="39" t="s">
        <v>16</v>
      </c>
      <c r="C4" s="39"/>
      <c r="D4" s="39" t="str">
        <f>+B3</f>
        <v>New Glue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4227-00</v>
      </c>
      <c r="B5" s="3">
        <v>46001</v>
      </c>
      <c r="C5" s="4" t="s">
        <v>17</v>
      </c>
      <c r="D5" s="4" t="s">
        <v>141</v>
      </c>
      <c r="E5" s="5" t="s">
        <v>3</v>
      </c>
      <c r="F5" s="29">
        <v>11533</v>
      </c>
      <c r="G5" s="2"/>
      <c r="H5" s="7">
        <v>38</v>
      </c>
      <c r="I5" s="7">
        <v>62</v>
      </c>
      <c r="J5" s="7">
        <v>70</v>
      </c>
      <c r="K5" s="7">
        <v>68</v>
      </c>
      <c r="L5" s="7">
        <v>50</v>
      </c>
      <c r="M5" s="7">
        <v>40</v>
      </c>
      <c r="N5" s="8"/>
      <c r="O5" s="73">
        <f>SUM(H5:N5)</f>
        <v>328</v>
      </c>
    </row>
    <row r="6" spans="1:15" ht="20.25" thickTop="1" thickBot="1">
      <c r="A6" s="33" t="str">
        <f t="shared" si="0"/>
        <v>4227-00</v>
      </c>
      <c r="B6" s="3"/>
      <c r="C6" s="3"/>
      <c r="D6" s="57" t="s">
        <v>142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73"/>
    </row>
    <row r="7" spans="1:15" ht="15.75" thickTop="1">
      <c r="O7" s="78"/>
    </row>
    <row r="8" spans="1:15">
      <c r="O8" s="78"/>
    </row>
    <row r="9" spans="1:15">
      <c r="O9" s="78"/>
    </row>
    <row r="10" spans="1:15">
      <c r="O10" s="78"/>
    </row>
    <row r="11" spans="1:15" ht="15.75" thickBot="1">
      <c r="O11" s="78"/>
    </row>
    <row r="12" spans="1:15" ht="17.25" thickTop="1" thickBot="1">
      <c r="A12" s="32" t="s">
        <v>144</v>
      </c>
      <c r="B12" s="38" t="s">
        <v>95</v>
      </c>
      <c r="C12" s="9" t="s">
        <v>12</v>
      </c>
      <c r="D12" s="9" t="s">
        <v>13</v>
      </c>
      <c r="E12" s="10"/>
      <c r="F12" s="11" t="s">
        <v>14</v>
      </c>
      <c r="G12" s="12">
        <v>34</v>
      </c>
      <c r="H12" s="12">
        <v>36</v>
      </c>
      <c r="I12" s="12">
        <v>38</v>
      </c>
      <c r="J12" s="12">
        <v>40</v>
      </c>
      <c r="K12" s="12">
        <v>42</v>
      </c>
      <c r="L12" s="12">
        <v>44</v>
      </c>
      <c r="M12" s="12">
        <v>46</v>
      </c>
      <c r="N12" s="12"/>
      <c r="O12" s="76" t="s">
        <v>15</v>
      </c>
    </row>
    <row r="13" spans="1:15" ht="16.5" thickTop="1" thickBot="1">
      <c r="A13" s="33" t="str">
        <f t="shared" ref="A13:A15" si="1">+A12</f>
        <v>4227-01</v>
      </c>
      <c r="B13" s="39" t="s">
        <v>16</v>
      </c>
      <c r="C13" s="39"/>
      <c r="D13" s="39" t="str">
        <f>+B12</f>
        <v>New Glue</v>
      </c>
      <c r="E13" s="40"/>
      <c r="F13" s="41" t="s">
        <v>1</v>
      </c>
      <c r="G13" s="41"/>
      <c r="H13" s="50"/>
      <c r="I13" s="50"/>
      <c r="J13" s="50"/>
      <c r="K13" s="50"/>
      <c r="L13" s="50"/>
      <c r="M13" s="50"/>
      <c r="N13" s="50"/>
      <c r="O13" s="51"/>
    </row>
    <row r="14" spans="1:15" ht="20.25" thickTop="1" thickBot="1">
      <c r="A14" s="33" t="str">
        <f t="shared" si="1"/>
        <v>4227-01</v>
      </c>
      <c r="B14" s="3"/>
      <c r="C14" s="4" t="s">
        <v>17</v>
      </c>
      <c r="D14" s="4" t="s">
        <v>141</v>
      </c>
      <c r="E14" s="5" t="s">
        <v>3</v>
      </c>
      <c r="F14" s="29">
        <v>11533</v>
      </c>
      <c r="G14" s="2"/>
      <c r="H14" s="7">
        <v>40</v>
      </c>
      <c r="I14" s="7">
        <v>34</v>
      </c>
      <c r="J14" s="7">
        <v>30</v>
      </c>
      <c r="K14" s="7">
        <v>32</v>
      </c>
      <c r="L14" s="7">
        <v>28</v>
      </c>
      <c r="M14" s="7">
        <v>10</v>
      </c>
      <c r="N14" s="8"/>
      <c r="O14" s="73">
        <f t="shared" ref="O14:O15" si="2">SUM(H14:N14)</f>
        <v>174</v>
      </c>
    </row>
    <row r="15" spans="1:15" ht="20.25" thickTop="1" thickBot="1">
      <c r="A15" s="33" t="str">
        <f t="shared" si="1"/>
        <v>4227-01</v>
      </c>
      <c r="B15" s="3"/>
      <c r="C15" s="3"/>
      <c r="D15" s="57" t="s">
        <v>142</v>
      </c>
      <c r="E15" s="5" t="s">
        <v>3</v>
      </c>
      <c r="F15" s="31"/>
      <c r="G15" s="6"/>
      <c r="H15" s="7"/>
      <c r="I15" s="7"/>
      <c r="J15" s="7"/>
      <c r="K15" s="7"/>
      <c r="L15" s="7"/>
      <c r="M15" s="7"/>
      <c r="N15" s="15"/>
      <c r="O15" s="73">
        <f t="shared" si="2"/>
        <v>0</v>
      </c>
    </row>
    <row r="16" spans="1:15" ht="19.5" thickTop="1">
      <c r="O16" s="79">
        <f>SUM(O2:O15)</f>
        <v>502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BD18-A259-41B2-9470-C2EB6ED04C50}">
  <sheetPr>
    <tabColor theme="8" tint="-0.249977111117893"/>
  </sheetPr>
  <dimension ref="A1:O6"/>
  <sheetViews>
    <sheetView workbookViewId="0">
      <selection sqref="A1:O5"/>
    </sheetView>
  </sheetViews>
  <sheetFormatPr defaultColWidth="11.5703125" defaultRowHeight="15"/>
  <cols>
    <col min="1" max="1" width="7.7109375" bestFit="1" customWidth="1"/>
    <col min="2" max="2" width="9.42578125" bestFit="1" customWidth="1"/>
    <col min="3" max="3" width="4.5703125" bestFit="1" customWidth="1"/>
    <col min="4" max="4" width="8.85546875" bestFit="1" customWidth="1"/>
    <col min="5" max="5" width="5.5703125" bestFit="1" customWidth="1"/>
    <col min="6" max="6" width="14.7109375" bestFit="1" customWidth="1"/>
    <col min="7" max="7" width="3" bestFit="1" customWidth="1"/>
    <col min="8" max="13" width="5.5703125" bestFit="1" customWidth="1"/>
    <col min="15" max="15" width="6" bestFit="1" customWidth="1"/>
  </cols>
  <sheetData>
    <row r="1" spans="1:15" ht="16.5" thickTop="1" thickBot="1">
      <c r="A1" s="274" t="s">
        <v>7</v>
      </c>
      <c r="B1" s="43" t="s">
        <v>8</v>
      </c>
      <c r="C1" s="43"/>
      <c r="D1" s="43"/>
      <c r="E1" s="44" t="s">
        <v>9</v>
      </c>
      <c r="F1" s="45"/>
      <c r="G1" s="45"/>
      <c r="H1" s="44"/>
      <c r="I1" s="44"/>
      <c r="J1" s="44"/>
      <c r="K1" s="44"/>
      <c r="L1" s="44"/>
      <c r="M1" s="44"/>
      <c r="N1" s="44"/>
      <c r="O1" s="44"/>
    </row>
    <row r="2" spans="1:15" ht="16.5" thickTop="1" thickBot="1">
      <c r="A2" s="278" t="s">
        <v>146</v>
      </c>
      <c r="B2" s="38" t="s">
        <v>36</v>
      </c>
      <c r="C2" s="9" t="s">
        <v>12</v>
      </c>
      <c r="D2" s="9" t="s">
        <v>37</v>
      </c>
      <c r="E2" s="10"/>
      <c r="F2" s="256" t="s">
        <v>14</v>
      </c>
      <c r="G2" s="257">
        <v>34</v>
      </c>
      <c r="H2" s="257">
        <v>36</v>
      </c>
      <c r="I2" s="257">
        <v>38</v>
      </c>
      <c r="J2" s="257">
        <v>40</v>
      </c>
      <c r="K2" s="257">
        <v>42</v>
      </c>
      <c r="L2" s="257">
        <v>44</v>
      </c>
      <c r="M2" s="257">
        <v>46</v>
      </c>
      <c r="N2" s="257"/>
      <c r="O2" s="258" t="s">
        <v>15</v>
      </c>
    </row>
    <row r="3" spans="1:15" ht="16.5" thickTop="1" thickBot="1">
      <c r="A3" s="280" t="str">
        <f t="shared" ref="A3:A5" si="0">+A2</f>
        <v>4228-00</v>
      </c>
      <c r="B3" s="39" t="s">
        <v>16</v>
      </c>
      <c r="C3" s="39"/>
      <c r="D3" s="39" t="str">
        <f>+B2</f>
        <v>B2868-V3</v>
      </c>
      <c r="E3" s="40"/>
      <c r="F3" s="261" t="s">
        <v>1</v>
      </c>
      <c r="G3" s="261"/>
      <c r="H3" s="262"/>
      <c r="I3" s="262"/>
      <c r="J3" s="262"/>
      <c r="K3" s="262"/>
      <c r="L3" s="262"/>
      <c r="M3" s="262"/>
      <c r="N3" s="262"/>
      <c r="O3" s="263">
        <f t="shared" ref="O3:O4" si="1">SUM(H3:N3)</f>
        <v>0</v>
      </c>
    </row>
    <row r="4" spans="1:15" ht="16.5" thickTop="1" thickBot="1">
      <c r="A4" s="280" t="str">
        <f t="shared" si="0"/>
        <v>4228-00</v>
      </c>
      <c r="B4" s="3">
        <v>46055</v>
      </c>
      <c r="C4" s="4" t="s">
        <v>17</v>
      </c>
      <c r="D4" s="4" t="s">
        <v>42</v>
      </c>
      <c r="E4" s="5" t="s">
        <v>3</v>
      </c>
      <c r="F4" s="265">
        <v>11552</v>
      </c>
      <c r="G4" s="2"/>
      <c r="H4" s="7">
        <v>50</v>
      </c>
      <c r="I4" s="7">
        <v>100</v>
      </c>
      <c r="J4" s="374">
        <v>150</v>
      </c>
      <c r="K4" s="7">
        <v>100</v>
      </c>
      <c r="L4" s="7">
        <v>100</v>
      </c>
      <c r="M4" s="7">
        <v>50</v>
      </c>
      <c r="N4" s="8"/>
      <c r="O4" s="14">
        <f t="shared" si="1"/>
        <v>550</v>
      </c>
    </row>
    <row r="5" spans="1:15" ht="16.5" thickTop="1" thickBot="1">
      <c r="A5" s="280" t="str">
        <f t="shared" si="0"/>
        <v>4228-00</v>
      </c>
      <c r="B5" s="3"/>
      <c r="C5" s="3"/>
      <c r="D5" s="3"/>
      <c r="E5" s="5" t="s">
        <v>3</v>
      </c>
      <c r="F5" s="352" t="s">
        <v>147</v>
      </c>
      <c r="G5" s="6"/>
      <c r="H5" s="7"/>
      <c r="I5" s="7"/>
      <c r="J5" s="7"/>
      <c r="K5" s="7"/>
      <c r="L5" s="7"/>
      <c r="M5" s="7"/>
      <c r="N5" s="15"/>
      <c r="O5" s="14"/>
    </row>
    <row r="6" spans="1:15" ht="15.75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A4BF-0AA8-4644-9FF6-4148C4EE446B}">
  <sheetPr>
    <tabColor theme="8" tint="-0.249977111117893"/>
  </sheetPr>
  <dimension ref="A1:O7"/>
  <sheetViews>
    <sheetView workbookViewId="0">
      <selection activeCell="M22" sqref="M22"/>
    </sheetView>
  </sheetViews>
  <sheetFormatPr defaultColWidth="11.42578125" defaultRowHeight="15"/>
  <cols>
    <col min="1" max="1" width="8.5703125" bestFit="1" customWidth="1"/>
    <col min="2" max="2" width="9" bestFit="1" customWidth="1"/>
    <col min="3" max="3" width="4.5703125" bestFit="1" customWidth="1"/>
    <col min="4" max="4" width="8.42578125" bestFit="1" customWidth="1"/>
    <col min="5" max="5" width="5.5703125" bestFit="1" customWidth="1"/>
    <col min="6" max="6" width="9" bestFit="1" customWidth="1"/>
    <col min="7" max="7" width="3.28515625" bestFit="1" customWidth="1"/>
    <col min="8" max="13" width="6.28515625" bestFit="1" customWidth="1"/>
    <col min="15" max="15" width="6.2851562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149</v>
      </c>
      <c r="B3" s="38" t="s">
        <v>95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6" si="0">+A3</f>
        <v>4229-00</v>
      </c>
      <c r="B4" s="39" t="s">
        <v>16</v>
      </c>
      <c r="C4" s="39"/>
      <c r="D4" s="39" t="str">
        <f>+B3</f>
        <v>New Glue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4229-00</v>
      </c>
      <c r="B5" s="3">
        <v>46003</v>
      </c>
      <c r="C5" s="4" t="s">
        <v>17</v>
      </c>
      <c r="D5" s="4" t="s">
        <v>18</v>
      </c>
      <c r="E5" s="5" t="s">
        <v>3</v>
      </c>
      <c r="F5" s="29">
        <v>11535</v>
      </c>
      <c r="G5" s="2"/>
      <c r="H5" s="7">
        <v>78</v>
      </c>
      <c r="I5" s="7">
        <v>98</v>
      </c>
      <c r="J5" s="7">
        <v>98</v>
      </c>
      <c r="K5" s="7">
        <v>98</v>
      </c>
      <c r="L5" s="7">
        <v>76</v>
      </c>
      <c r="M5" s="7">
        <v>46</v>
      </c>
      <c r="N5" s="8"/>
      <c r="O5" s="14">
        <f t="shared" ref="O5:O6" si="1">SUM(H5:N5)</f>
        <v>494</v>
      </c>
    </row>
    <row r="6" spans="1:15" ht="20.25" thickTop="1" thickBot="1">
      <c r="A6" s="33" t="str">
        <f t="shared" si="0"/>
        <v>4229-00</v>
      </c>
      <c r="B6" s="3"/>
      <c r="C6" s="3"/>
      <c r="D6" s="52"/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15.75" thickTop="1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E458-A4EF-441F-BDE8-C38195F177AE}">
  <sheetPr>
    <tabColor theme="8" tint="-0.249977111117893"/>
  </sheetPr>
  <dimension ref="A1:O13"/>
  <sheetViews>
    <sheetView workbookViewId="0">
      <selection activeCell="P25" sqref="P25"/>
    </sheetView>
  </sheetViews>
  <sheetFormatPr defaultColWidth="11.42578125" defaultRowHeight="15"/>
  <cols>
    <col min="1" max="1" width="8.5703125" bestFit="1" customWidth="1"/>
    <col min="2" max="2" width="10.85546875" bestFit="1" customWidth="1"/>
    <col min="3" max="3" width="4.5703125" bestFit="1" customWidth="1"/>
    <col min="4" max="4" width="10.28515625" bestFit="1" customWidth="1"/>
    <col min="5" max="5" width="5" bestFit="1" customWidth="1"/>
    <col min="6" max="6" width="14" bestFit="1" customWidth="1"/>
    <col min="7" max="13" width="3.28515625" bestFit="1" customWidth="1"/>
    <col min="15" max="15" width="5.710937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150</v>
      </c>
      <c r="B3" s="38" t="s">
        <v>151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6" si="0">+A3</f>
        <v>4230-00</v>
      </c>
      <c r="B4" s="39" t="s">
        <v>16</v>
      </c>
      <c r="C4" s="39"/>
      <c r="D4" s="39" t="str">
        <f>+B3</f>
        <v>Imperio Max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>
        <f>SUM(H4:N4)</f>
        <v>0</v>
      </c>
    </row>
    <row r="5" spans="1:15" ht="20.25" thickTop="1" thickBot="1">
      <c r="A5" s="33" t="str">
        <f t="shared" si="0"/>
        <v>4230-00</v>
      </c>
      <c r="B5" s="3">
        <v>46003</v>
      </c>
      <c r="C5" s="4" t="s">
        <v>17</v>
      </c>
      <c r="D5" s="4" t="s">
        <v>152</v>
      </c>
      <c r="E5" s="5" t="s">
        <v>3</v>
      </c>
      <c r="F5" s="29" t="s">
        <v>483</v>
      </c>
      <c r="G5" s="2"/>
      <c r="H5" s="7">
        <v>48</v>
      </c>
      <c r="I5" s="7">
        <v>60</v>
      </c>
      <c r="J5" s="7">
        <v>60</v>
      </c>
      <c r="K5" s="7">
        <v>60</v>
      </c>
      <c r="L5" s="7">
        <v>48</v>
      </c>
      <c r="M5" s="7">
        <v>35</v>
      </c>
      <c r="N5" s="8"/>
      <c r="O5" s="14">
        <f t="shared" ref="O5" si="1">SUM(H5:N5)</f>
        <v>311</v>
      </c>
    </row>
    <row r="6" spans="1:15" ht="20.25" thickTop="1" thickBot="1">
      <c r="A6" s="33" t="str">
        <f t="shared" si="0"/>
        <v>4230-00</v>
      </c>
      <c r="B6" s="3"/>
      <c r="C6" s="3"/>
      <c r="D6" s="52"/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/>
    </row>
    <row r="7" spans="1:15" ht="16.5" thickTop="1" thickBot="1"/>
    <row r="8" spans="1:15" ht="16.5" thickTop="1" thickBot="1">
      <c r="A8" s="42" t="s">
        <v>7</v>
      </c>
      <c r="B8" s="43" t="s">
        <v>8</v>
      </c>
      <c r="C8" s="43"/>
      <c r="D8" s="43"/>
      <c r="E8" s="44" t="s">
        <v>9</v>
      </c>
      <c r="F8" s="45"/>
      <c r="G8" s="45"/>
      <c r="H8" s="44"/>
      <c r="I8" s="44"/>
      <c r="J8" s="44"/>
      <c r="K8" s="44"/>
      <c r="L8" s="44"/>
      <c r="M8" s="44"/>
      <c r="N8" s="44"/>
      <c r="O8" s="44"/>
    </row>
    <row r="9" spans="1:15" ht="17.25" thickTop="1" thickBot="1">
      <c r="A9" s="32" t="s">
        <v>150</v>
      </c>
      <c r="B9" s="38" t="s">
        <v>151</v>
      </c>
      <c r="C9" s="9" t="s">
        <v>12</v>
      </c>
      <c r="D9" s="9" t="s">
        <v>13</v>
      </c>
      <c r="E9" s="10"/>
      <c r="F9" s="11" t="s">
        <v>14</v>
      </c>
      <c r="G9" s="12">
        <v>34</v>
      </c>
      <c r="H9" s="12">
        <v>36</v>
      </c>
      <c r="I9" s="12">
        <v>38</v>
      </c>
      <c r="J9" s="12">
        <v>40</v>
      </c>
      <c r="K9" s="12">
        <v>42</v>
      </c>
      <c r="L9" s="12">
        <v>44</v>
      </c>
      <c r="M9" s="12">
        <v>46</v>
      </c>
      <c r="N9" s="12"/>
      <c r="O9" s="13" t="s">
        <v>15</v>
      </c>
    </row>
    <row r="10" spans="1:15" ht="16.5" thickTop="1" thickBot="1">
      <c r="A10" s="33" t="str">
        <f t="shared" ref="A10:A12" si="2">+A9</f>
        <v>4230-00</v>
      </c>
      <c r="B10" s="39" t="s">
        <v>16</v>
      </c>
      <c r="C10" s="39"/>
      <c r="D10" s="39" t="str">
        <f>+B9</f>
        <v>Imperio Max</v>
      </c>
      <c r="E10" s="40"/>
      <c r="F10" s="41" t="s">
        <v>1</v>
      </c>
      <c r="G10" s="41"/>
      <c r="H10" s="50"/>
      <c r="I10" s="50"/>
      <c r="J10" s="50"/>
      <c r="K10" s="50"/>
      <c r="L10" s="50"/>
      <c r="M10" s="50"/>
      <c r="N10" s="50"/>
      <c r="O10" s="51">
        <f>SUM(H10:N10)</f>
        <v>0</v>
      </c>
    </row>
    <row r="11" spans="1:15" ht="20.25" thickTop="1" thickBot="1">
      <c r="A11" s="33" t="str">
        <f t="shared" si="2"/>
        <v>4230-00</v>
      </c>
      <c r="B11" s="3">
        <v>46003</v>
      </c>
      <c r="C11" s="4" t="s">
        <v>17</v>
      </c>
      <c r="D11" s="4" t="s">
        <v>152</v>
      </c>
      <c r="E11" s="5" t="s">
        <v>3</v>
      </c>
      <c r="F11" s="29" t="s">
        <v>484</v>
      </c>
      <c r="G11" s="2"/>
      <c r="H11" s="138">
        <v>30</v>
      </c>
      <c r="I11" s="138">
        <v>40</v>
      </c>
      <c r="J11" s="138">
        <v>40</v>
      </c>
      <c r="K11" s="138">
        <v>40</v>
      </c>
      <c r="L11" s="138">
        <v>30</v>
      </c>
      <c r="M11" s="138">
        <v>15</v>
      </c>
      <c r="N11" s="143"/>
      <c r="O11" s="73">
        <f t="shared" ref="O11" si="3">SUM(H11:N11)</f>
        <v>195</v>
      </c>
    </row>
    <row r="12" spans="1:15" ht="20.25" thickTop="1" thickBot="1">
      <c r="A12" s="33" t="str">
        <f t="shared" si="2"/>
        <v>4230-00</v>
      </c>
      <c r="B12" s="3"/>
      <c r="C12" s="3"/>
      <c r="D12" s="180"/>
      <c r="E12" s="20" t="s">
        <v>3</v>
      </c>
      <c r="F12" s="30"/>
      <c r="G12" s="6"/>
      <c r="H12" s="7"/>
      <c r="I12" s="7"/>
      <c r="J12" s="7"/>
      <c r="K12" s="7"/>
      <c r="L12" s="7"/>
      <c r="M12" s="7"/>
      <c r="N12" s="15"/>
      <c r="O12" s="14"/>
    </row>
    <row r="13" spans="1:15" ht="15.75" thickTop="1">
      <c r="D13" s="181" t="s">
        <v>485</v>
      </c>
      <c r="E13" s="179"/>
      <c r="F13" s="176" t="s">
        <v>486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881A-1EBE-4FD1-A313-4498225EBA01}">
  <sheetPr>
    <tabColor theme="8" tint="-0.249977111117893"/>
  </sheetPr>
  <dimension ref="A1:O11"/>
  <sheetViews>
    <sheetView workbookViewId="0">
      <selection activeCell="L18" sqref="L18"/>
    </sheetView>
  </sheetViews>
  <sheetFormatPr defaultColWidth="11.42578125" defaultRowHeight="15"/>
  <cols>
    <col min="1" max="1" width="8.5703125" bestFit="1" customWidth="1"/>
    <col min="2" max="2" width="8.42578125" bestFit="1" customWidth="1"/>
    <col min="3" max="3" width="4.5703125" bestFit="1" customWidth="1"/>
    <col min="4" max="4" width="26.28515625" bestFit="1" customWidth="1"/>
    <col min="5" max="5" width="5.5703125" bestFit="1" customWidth="1"/>
    <col min="6" max="6" width="11.85546875" bestFit="1" customWidth="1"/>
    <col min="7" max="7" width="2.42578125" bestFit="1" customWidth="1"/>
    <col min="8" max="13" width="4.140625" bestFit="1" customWidth="1"/>
    <col min="14" max="14" width="4.7109375" customWidth="1"/>
    <col min="15" max="15" width="5.710937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156</v>
      </c>
      <c r="B3" s="38" t="s">
        <v>50</v>
      </c>
      <c r="C3" s="9" t="s">
        <v>12</v>
      </c>
      <c r="D3" s="9" t="s">
        <v>13</v>
      </c>
      <c r="E3" s="10"/>
      <c r="F3" s="11" t="s">
        <v>14</v>
      </c>
      <c r="G3" s="11"/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10" si="0">+A3</f>
        <v>4232-00</v>
      </c>
      <c r="B4" s="39" t="s">
        <v>16</v>
      </c>
      <c r="C4" s="39"/>
      <c r="D4" s="39" t="str">
        <f>+B3</f>
        <v>Ayla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4232-00</v>
      </c>
      <c r="B5" s="3">
        <v>45980</v>
      </c>
      <c r="C5" s="4" t="s">
        <v>17</v>
      </c>
      <c r="D5" s="4" t="s">
        <v>51</v>
      </c>
      <c r="E5" s="5" t="s">
        <v>3</v>
      </c>
      <c r="F5" s="29" t="s">
        <v>157</v>
      </c>
      <c r="G5" s="2"/>
      <c r="H5" s="7">
        <v>27</v>
      </c>
      <c r="I5" s="7">
        <v>39</v>
      </c>
      <c r="J5" s="7">
        <v>45</v>
      </c>
      <c r="K5" s="7">
        <v>39</v>
      </c>
      <c r="L5" s="7">
        <v>25</v>
      </c>
      <c r="M5" s="7">
        <v>25</v>
      </c>
      <c r="N5" s="8"/>
      <c r="O5" s="14">
        <f t="shared" ref="O5:O9" si="1">SUM(H5:N5)</f>
        <v>200</v>
      </c>
    </row>
    <row r="6" spans="1:15" ht="20.25" thickTop="1" thickBot="1">
      <c r="A6" s="33" t="str">
        <f t="shared" si="0"/>
        <v>4232-00</v>
      </c>
      <c r="B6" s="3"/>
      <c r="C6" s="3"/>
      <c r="D6" s="53" t="s">
        <v>158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20.25" thickTop="1" thickBot="1">
      <c r="A7" s="33" t="str">
        <f t="shared" si="0"/>
        <v>4232-00</v>
      </c>
      <c r="B7" s="3"/>
      <c r="C7" s="3"/>
      <c r="D7" s="53" t="s">
        <v>159</v>
      </c>
      <c r="E7" s="5" t="s">
        <v>3</v>
      </c>
      <c r="F7" s="31"/>
      <c r="G7" s="6"/>
      <c r="H7" s="15"/>
      <c r="I7" s="15"/>
      <c r="J7" s="15"/>
      <c r="K7" s="15"/>
      <c r="L7" s="15"/>
      <c r="M7" s="15"/>
      <c r="N7" s="15"/>
      <c r="O7" s="16">
        <f t="shared" si="1"/>
        <v>0</v>
      </c>
    </row>
    <row r="8" spans="1:15" ht="20.25" thickTop="1" thickBot="1">
      <c r="A8" s="33" t="str">
        <f t="shared" si="0"/>
        <v>4232-00</v>
      </c>
      <c r="B8" s="3"/>
      <c r="C8" s="3"/>
      <c r="D8" s="3"/>
      <c r="E8" s="5" t="s">
        <v>3</v>
      </c>
      <c r="F8" s="31"/>
      <c r="G8" s="6"/>
      <c r="H8" s="8"/>
      <c r="I8" s="8"/>
      <c r="J8" s="8"/>
      <c r="K8" s="8"/>
      <c r="L8" s="8"/>
      <c r="M8" s="8"/>
      <c r="N8" s="15"/>
      <c r="O8" s="16">
        <f t="shared" si="1"/>
        <v>0</v>
      </c>
    </row>
    <row r="9" spans="1:15" ht="20.25" thickTop="1" thickBot="1">
      <c r="A9" s="34" t="str">
        <f t="shared" si="0"/>
        <v>4232-00</v>
      </c>
      <c r="B9" s="19"/>
      <c r="C9" s="19"/>
      <c r="D9" s="19"/>
      <c r="E9" s="20" t="s">
        <v>3</v>
      </c>
      <c r="F9" s="30"/>
      <c r="G9" s="21"/>
      <c r="H9" s="22"/>
      <c r="I9" s="22"/>
      <c r="J9" s="22"/>
      <c r="K9" s="22"/>
      <c r="L9" s="22"/>
      <c r="M9" s="22"/>
      <c r="N9" s="22"/>
      <c r="O9" s="23">
        <f t="shared" si="1"/>
        <v>0</v>
      </c>
    </row>
    <row r="10" spans="1:15" ht="16.5" thickTop="1" thickBot="1">
      <c r="A10" s="46" t="str">
        <f t="shared" si="0"/>
        <v>4232-00</v>
      </c>
      <c r="B10" s="47"/>
      <c r="C10" s="47"/>
      <c r="D10" s="47"/>
      <c r="E10" s="48" t="s">
        <v>23</v>
      </c>
      <c r="F10" s="49" t="str">
        <f>+B3</f>
        <v>Ayla</v>
      </c>
      <c r="G10" s="48"/>
      <c r="H10" s="48"/>
      <c r="I10" s="48"/>
      <c r="J10" s="48"/>
      <c r="K10" s="48"/>
      <c r="L10" s="48"/>
      <c r="M10" s="48"/>
      <c r="N10" s="48"/>
      <c r="O10" s="48"/>
    </row>
    <row r="11" spans="1:15" ht="15.75" thickTop="1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48DF-760B-40FD-9CD2-D41C1D34A0BC}">
  <sheetPr>
    <tabColor theme="8" tint="-0.249977111117893"/>
  </sheetPr>
  <dimension ref="A2:O33"/>
  <sheetViews>
    <sheetView topLeftCell="A3" workbookViewId="0">
      <selection activeCell="U19" sqref="U18:U19"/>
    </sheetView>
  </sheetViews>
  <sheetFormatPr defaultColWidth="11.42578125" defaultRowHeight="15"/>
  <cols>
    <col min="1" max="1" width="7.7109375" bestFit="1" customWidth="1"/>
    <col min="2" max="2" width="6.85546875" bestFit="1" customWidth="1"/>
    <col min="3" max="3" width="4.5703125" bestFit="1" customWidth="1"/>
    <col min="4" max="4" width="20.7109375" bestFit="1" customWidth="1"/>
    <col min="5" max="5" width="5" bestFit="1" customWidth="1"/>
    <col min="6" max="6" width="6" bestFit="1" customWidth="1"/>
    <col min="7" max="13" width="3" bestFit="1" customWidth="1"/>
    <col min="15" max="15" width="7.28515625" bestFit="1" customWidth="1"/>
  </cols>
  <sheetData>
    <row r="2" spans="1:15" ht="15.75" thickBot="1"/>
    <row r="3" spans="1:15" ht="17.25" thickTop="1" thickBot="1">
      <c r="A3" s="369" t="s">
        <v>7</v>
      </c>
      <c r="B3" s="43" t="s">
        <v>8</v>
      </c>
      <c r="C3" s="43"/>
      <c r="D3" s="43"/>
      <c r="E3" s="44" t="s">
        <v>9</v>
      </c>
      <c r="F3" s="45"/>
      <c r="G3" s="45"/>
      <c r="H3" s="44"/>
      <c r="I3" s="44"/>
      <c r="J3" s="44"/>
      <c r="K3" s="44"/>
      <c r="L3" s="44"/>
      <c r="M3" s="44"/>
      <c r="N3" s="44"/>
      <c r="O3" s="506"/>
    </row>
    <row r="4" spans="1:15" ht="17.25" thickTop="1" thickBot="1">
      <c r="A4" s="370" t="s">
        <v>163</v>
      </c>
      <c r="B4" s="38" t="s">
        <v>161</v>
      </c>
      <c r="C4" s="9" t="s">
        <v>12</v>
      </c>
      <c r="D4" s="9" t="s">
        <v>13</v>
      </c>
      <c r="E4" s="10"/>
      <c r="F4" s="256" t="s">
        <v>14</v>
      </c>
      <c r="G4" s="257">
        <v>34</v>
      </c>
      <c r="H4" s="257">
        <v>36</v>
      </c>
      <c r="I4" s="257">
        <v>38</v>
      </c>
      <c r="J4" s="257">
        <v>40</v>
      </c>
      <c r="K4" s="257">
        <v>42</v>
      </c>
      <c r="L4" s="257">
        <v>44</v>
      </c>
      <c r="M4" s="257">
        <v>46</v>
      </c>
      <c r="N4" s="257"/>
      <c r="O4" s="507" t="s">
        <v>15</v>
      </c>
    </row>
    <row r="5" spans="1:15" ht="17.25" thickTop="1" thickBot="1">
      <c r="A5" s="371" t="s">
        <v>163</v>
      </c>
      <c r="B5" s="39" t="s">
        <v>16</v>
      </c>
      <c r="C5" s="39"/>
      <c r="D5" s="39" t="s">
        <v>161</v>
      </c>
      <c r="E5" s="40"/>
      <c r="F5" s="261" t="s">
        <v>1</v>
      </c>
      <c r="G5" s="261"/>
      <c r="H5" s="262"/>
      <c r="I5" s="262"/>
      <c r="J5" s="262"/>
      <c r="K5" s="262"/>
      <c r="L5" s="262"/>
      <c r="M5" s="262"/>
      <c r="N5" s="262"/>
      <c r="O5" s="508"/>
    </row>
    <row r="6" spans="1:15" ht="17.25" thickTop="1" thickBot="1">
      <c r="A6" s="371" t="s">
        <v>163</v>
      </c>
      <c r="B6" s="3">
        <v>46083</v>
      </c>
      <c r="C6" s="4" t="s">
        <v>17</v>
      </c>
      <c r="D6" s="4" t="s">
        <v>18</v>
      </c>
      <c r="E6" s="5" t="s">
        <v>3</v>
      </c>
      <c r="F6" s="265">
        <v>11564</v>
      </c>
      <c r="G6" s="2"/>
      <c r="H6" s="7">
        <v>16</v>
      </c>
      <c r="I6" s="7">
        <v>32</v>
      </c>
      <c r="J6" s="7">
        <v>34</v>
      </c>
      <c r="K6" s="7">
        <v>27</v>
      </c>
      <c r="L6" s="7">
        <v>23</v>
      </c>
      <c r="M6" s="7">
        <v>14</v>
      </c>
      <c r="N6" s="8"/>
      <c r="O6" s="59">
        <v>146</v>
      </c>
    </row>
    <row r="7" spans="1:15" ht="17.25" thickTop="1" thickBot="1">
      <c r="A7" s="371" t="s">
        <v>163</v>
      </c>
      <c r="B7" s="3"/>
      <c r="C7" s="3"/>
      <c r="D7" s="510" t="s">
        <v>164</v>
      </c>
      <c r="E7" s="5" t="s">
        <v>3</v>
      </c>
      <c r="F7" s="269"/>
      <c r="G7" s="6"/>
      <c r="H7" s="7"/>
      <c r="I7" s="7"/>
      <c r="J7" s="7"/>
      <c r="K7" s="7"/>
      <c r="L7" s="7"/>
      <c r="M7" s="7"/>
      <c r="N7" s="15"/>
      <c r="O7" s="59"/>
    </row>
    <row r="8" spans="1:15" ht="17.25" thickTop="1" thickBot="1">
      <c r="O8" s="509"/>
    </row>
    <row r="9" spans="1:15" ht="17.25" thickTop="1" thickBot="1">
      <c r="A9" s="369" t="s">
        <v>7</v>
      </c>
      <c r="B9" s="43" t="s">
        <v>8</v>
      </c>
      <c r="C9" s="43"/>
      <c r="D9" s="43"/>
      <c r="E9" s="44" t="s">
        <v>9</v>
      </c>
      <c r="F9" s="45"/>
      <c r="G9" s="45"/>
      <c r="H9" s="44"/>
      <c r="I9" s="44"/>
      <c r="J9" s="44"/>
      <c r="K9" s="44"/>
      <c r="L9" s="44"/>
      <c r="M9" s="44"/>
      <c r="N9" s="44"/>
      <c r="O9" s="506"/>
    </row>
    <row r="10" spans="1:15" ht="17.25" thickTop="1" thickBot="1">
      <c r="A10" s="370" t="s">
        <v>165</v>
      </c>
      <c r="B10" s="38" t="s">
        <v>161</v>
      </c>
      <c r="C10" s="9" t="s">
        <v>12</v>
      </c>
      <c r="D10" s="9" t="s">
        <v>13</v>
      </c>
      <c r="E10" s="10"/>
      <c r="F10" s="256" t="s">
        <v>14</v>
      </c>
      <c r="G10" s="257">
        <v>34</v>
      </c>
      <c r="H10" s="257">
        <v>36</v>
      </c>
      <c r="I10" s="257">
        <v>38</v>
      </c>
      <c r="J10" s="257">
        <v>40</v>
      </c>
      <c r="K10" s="257">
        <v>42</v>
      </c>
      <c r="L10" s="257">
        <v>44</v>
      </c>
      <c r="M10" s="257">
        <v>46</v>
      </c>
      <c r="N10" s="257"/>
      <c r="O10" s="507" t="s">
        <v>15</v>
      </c>
    </row>
    <row r="11" spans="1:15" ht="17.25" thickTop="1" thickBot="1">
      <c r="A11" s="371" t="s">
        <v>165</v>
      </c>
      <c r="B11" s="39" t="s">
        <v>16</v>
      </c>
      <c r="C11" s="39"/>
      <c r="D11" s="39" t="s">
        <v>161</v>
      </c>
      <c r="E11" s="40"/>
      <c r="F11" s="261" t="s">
        <v>1</v>
      </c>
      <c r="G11" s="261"/>
      <c r="H11" s="262"/>
      <c r="I11" s="262"/>
      <c r="J11" s="262"/>
      <c r="K11" s="262"/>
      <c r="L11" s="262"/>
      <c r="M11" s="262"/>
      <c r="N11" s="262"/>
      <c r="O11" s="508"/>
    </row>
    <row r="12" spans="1:15" ht="17.25" thickTop="1" thickBot="1">
      <c r="A12" s="371" t="s">
        <v>165</v>
      </c>
      <c r="B12" s="3">
        <v>46083</v>
      </c>
      <c r="C12" s="4" t="s">
        <v>17</v>
      </c>
      <c r="D12" s="4" t="s">
        <v>18</v>
      </c>
      <c r="E12" s="5" t="s">
        <v>3</v>
      </c>
      <c r="F12" s="265">
        <v>11564</v>
      </c>
      <c r="G12" s="2"/>
      <c r="H12" s="7">
        <v>13</v>
      </c>
      <c r="I12" s="7">
        <v>30</v>
      </c>
      <c r="J12" s="7">
        <v>30</v>
      </c>
      <c r="K12" s="7">
        <v>26</v>
      </c>
      <c r="L12" s="7">
        <v>24</v>
      </c>
      <c r="M12" s="7">
        <v>10</v>
      </c>
      <c r="N12" s="8"/>
      <c r="O12" s="59">
        <v>133</v>
      </c>
    </row>
    <row r="13" spans="1:15" ht="17.25" thickTop="1" thickBot="1">
      <c r="A13" s="371" t="s">
        <v>165</v>
      </c>
      <c r="B13" s="3"/>
      <c r="C13" s="3"/>
      <c r="D13" s="510" t="s">
        <v>166</v>
      </c>
      <c r="E13" s="5" t="s">
        <v>3</v>
      </c>
      <c r="F13" s="269"/>
      <c r="G13" s="6"/>
      <c r="H13" s="7"/>
      <c r="I13" s="7"/>
      <c r="J13" s="7"/>
      <c r="K13" s="7"/>
      <c r="L13" s="7"/>
      <c r="M13" s="7"/>
      <c r="N13" s="15"/>
      <c r="O13" s="59"/>
    </row>
    <row r="14" spans="1:15" ht="17.25" thickTop="1" thickBot="1">
      <c r="O14" s="509"/>
    </row>
    <row r="15" spans="1:15" ht="17.25" thickTop="1" thickBot="1">
      <c r="A15" s="369" t="s">
        <v>7</v>
      </c>
      <c r="B15" s="43" t="s">
        <v>8</v>
      </c>
      <c r="C15" s="43"/>
      <c r="D15" s="43"/>
      <c r="E15" s="44" t="s">
        <v>9</v>
      </c>
      <c r="F15" s="45"/>
      <c r="G15" s="45"/>
      <c r="H15" s="44"/>
      <c r="I15" s="44"/>
      <c r="J15" s="44"/>
      <c r="K15" s="44"/>
      <c r="L15" s="44"/>
      <c r="M15" s="44"/>
      <c r="N15" s="44"/>
      <c r="O15" s="506"/>
    </row>
    <row r="16" spans="1:15" ht="17.25" thickTop="1" thickBot="1">
      <c r="A16" s="370" t="s">
        <v>167</v>
      </c>
      <c r="B16" s="38" t="s">
        <v>161</v>
      </c>
      <c r="C16" s="9" t="s">
        <v>12</v>
      </c>
      <c r="D16" s="9" t="s">
        <v>13</v>
      </c>
      <c r="E16" s="10"/>
      <c r="F16" s="256" t="s">
        <v>14</v>
      </c>
      <c r="G16" s="257">
        <v>34</v>
      </c>
      <c r="H16" s="257">
        <v>36</v>
      </c>
      <c r="I16" s="257">
        <v>38</v>
      </c>
      <c r="J16" s="257">
        <v>40</v>
      </c>
      <c r="K16" s="257">
        <v>42</v>
      </c>
      <c r="L16" s="257">
        <v>44</v>
      </c>
      <c r="M16" s="257">
        <v>46</v>
      </c>
      <c r="N16" s="257"/>
      <c r="O16" s="507" t="s">
        <v>15</v>
      </c>
    </row>
    <row r="17" spans="1:15" ht="17.25" thickTop="1" thickBot="1">
      <c r="A17" s="371" t="s">
        <v>167</v>
      </c>
      <c r="B17" s="39" t="s">
        <v>16</v>
      </c>
      <c r="C17" s="39"/>
      <c r="D17" s="39" t="s">
        <v>161</v>
      </c>
      <c r="E17" s="40"/>
      <c r="F17" s="261" t="s">
        <v>1</v>
      </c>
      <c r="G17" s="261"/>
      <c r="H17" s="262"/>
      <c r="I17" s="262"/>
      <c r="J17" s="262"/>
      <c r="K17" s="262"/>
      <c r="L17" s="262"/>
      <c r="M17" s="262"/>
      <c r="N17" s="262"/>
      <c r="O17" s="508"/>
    </row>
    <row r="18" spans="1:15" ht="17.25" thickTop="1" thickBot="1">
      <c r="A18" s="371" t="s">
        <v>167</v>
      </c>
      <c r="B18" s="3">
        <v>46083</v>
      </c>
      <c r="C18" s="4" t="s">
        <v>17</v>
      </c>
      <c r="D18" s="4" t="s">
        <v>18</v>
      </c>
      <c r="E18" s="5" t="s">
        <v>3</v>
      </c>
      <c r="F18" s="265">
        <v>11564</v>
      </c>
      <c r="G18" s="2"/>
      <c r="H18" s="7">
        <v>6</v>
      </c>
      <c r="I18" s="7">
        <v>9</v>
      </c>
      <c r="J18" s="7">
        <v>7</v>
      </c>
      <c r="K18" s="7">
        <v>7</v>
      </c>
      <c r="L18" s="7">
        <v>5</v>
      </c>
      <c r="M18" s="7">
        <v>2</v>
      </c>
      <c r="N18" s="8"/>
      <c r="O18" s="59">
        <v>36</v>
      </c>
    </row>
    <row r="19" spans="1:15" ht="17.25" thickTop="1" thickBot="1">
      <c r="A19" s="371" t="s">
        <v>167</v>
      </c>
      <c r="B19" s="3"/>
      <c r="C19" s="3"/>
      <c r="D19" s="510" t="s">
        <v>168</v>
      </c>
      <c r="E19" s="5" t="s">
        <v>3</v>
      </c>
      <c r="F19" s="269"/>
      <c r="G19" s="6"/>
      <c r="H19" s="7"/>
      <c r="I19" s="7"/>
      <c r="J19" s="7"/>
      <c r="K19" s="7"/>
      <c r="L19" s="7"/>
      <c r="M19" s="7"/>
      <c r="N19" s="15"/>
      <c r="O19" s="59"/>
    </row>
    <row r="20" spans="1:15" ht="17.25" thickTop="1" thickBot="1">
      <c r="O20" s="509"/>
    </row>
    <row r="21" spans="1:15" ht="17.25" thickTop="1" thickBot="1">
      <c r="A21" s="369" t="s">
        <v>7</v>
      </c>
      <c r="B21" s="43" t="s">
        <v>8</v>
      </c>
      <c r="C21" s="43"/>
      <c r="D21" s="43"/>
      <c r="E21" s="44" t="s">
        <v>9</v>
      </c>
      <c r="F21" s="45"/>
      <c r="G21" s="45"/>
      <c r="H21" s="44"/>
      <c r="I21" s="44"/>
      <c r="J21" s="44"/>
      <c r="K21" s="44"/>
      <c r="L21" s="44"/>
      <c r="M21" s="44"/>
      <c r="N21" s="44"/>
      <c r="O21" s="506"/>
    </row>
    <row r="22" spans="1:15" ht="17.25" thickTop="1" thickBot="1">
      <c r="A22" s="370" t="s">
        <v>169</v>
      </c>
      <c r="B22" s="38" t="s">
        <v>161</v>
      </c>
      <c r="C22" s="9" t="s">
        <v>12</v>
      </c>
      <c r="D22" s="9" t="s">
        <v>13</v>
      </c>
      <c r="E22" s="10"/>
      <c r="F22" s="256" t="s">
        <v>14</v>
      </c>
      <c r="G22" s="257">
        <v>34</v>
      </c>
      <c r="H22" s="257">
        <v>36</v>
      </c>
      <c r="I22" s="257">
        <v>38</v>
      </c>
      <c r="J22" s="257">
        <v>40</v>
      </c>
      <c r="K22" s="257">
        <v>42</v>
      </c>
      <c r="L22" s="257">
        <v>44</v>
      </c>
      <c r="M22" s="257">
        <v>46</v>
      </c>
      <c r="N22" s="257"/>
      <c r="O22" s="507" t="s">
        <v>15</v>
      </c>
    </row>
    <row r="23" spans="1:15" ht="17.25" thickTop="1" thickBot="1">
      <c r="A23" s="371" t="s">
        <v>169</v>
      </c>
      <c r="B23" s="39" t="s">
        <v>16</v>
      </c>
      <c r="C23" s="39"/>
      <c r="D23" s="39" t="s">
        <v>161</v>
      </c>
      <c r="E23" s="40"/>
      <c r="F23" s="261" t="s">
        <v>1</v>
      </c>
      <c r="G23" s="261"/>
      <c r="H23" s="262"/>
      <c r="I23" s="262"/>
      <c r="J23" s="262"/>
      <c r="K23" s="262"/>
      <c r="L23" s="262"/>
      <c r="M23" s="262"/>
      <c r="N23" s="262"/>
      <c r="O23" s="508"/>
    </row>
    <row r="24" spans="1:15" ht="17.25" thickTop="1" thickBot="1">
      <c r="A24" s="371" t="s">
        <v>169</v>
      </c>
      <c r="B24" s="3">
        <v>46083</v>
      </c>
      <c r="C24" s="4" t="s">
        <v>17</v>
      </c>
      <c r="D24" s="4" t="s">
        <v>18</v>
      </c>
      <c r="E24" s="5" t="s">
        <v>3</v>
      </c>
      <c r="F24" s="265">
        <v>11564</v>
      </c>
      <c r="G24" s="2"/>
      <c r="H24" s="7">
        <v>10</v>
      </c>
      <c r="I24" s="7">
        <v>21</v>
      </c>
      <c r="J24" s="7">
        <v>21</v>
      </c>
      <c r="K24" s="7">
        <v>19</v>
      </c>
      <c r="L24" s="7">
        <v>12</v>
      </c>
      <c r="M24" s="7">
        <v>6</v>
      </c>
      <c r="N24" s="8"/>
      <c r="O24" s="59">
        <v>89</v>
      </c>
    </row>
    <row r="25" spans="1:15" ht="17.25" thickTop="1" thickBot="1">
      <c r="A25" s="371" t="s">
        <v>169</v>
      </c>
      <c r="B25" s="3"/>
      <c r="C25" s="3"/>
      <c r="D25" s="510" t="s">
        <v>170</v>
      </c>
      <c r="E25" s="5" t="s">
        <v>3</v>
      </c>
      <c r="F25" s="269"/>
      <c r="G25" s="6"/>
      <c r="H25" s="7"/>
      <c r="I25" s="7"/>
      <c r="J25" s="7"/>
      <c r="K25" s="7"/>
      <c r="L25" s="7"/>
      <c r="M25" s="7"/>
      <c r="N25" s="15"/>
      <c r="O25" s="59"/>
    </row>
    <row r="26" spans="1:15" ht="17.25" thickTop="1" thickBot="1">
      <c r="O26" s="509"/>
    </row>
    <row r="27" spans="1:15" ht="17.25" thickTop="1" thickBot="1">
      <c r="A27" s="369" t="s">
        <v>7</v>
      </c>
      <c r="B27" s="43" t="s">
        <v>8</v>
      </c>
      <c r="C27" s="43"/>
      <c r="D27" s="43"/>
      <c r="E27" s="44" t="s">
        <v>9</v>
      </c>
      <c r="F27" s="45"/>
      <c r="G27" s="45"/>
      <c r="H27" s="44"/>
      <c r="I27" s="44"/>
      <c r="J27" s="44"/>
      <c r="K27" s="44"/>
      <c r="L27" s="44"/>
      <c r="M27" s="44"/>
      <c r="N27" s="44"/>
      <c r="O27" s="506"/>
    </row>
    <row r="28" spans="1:15" ht="17.25" thickTop="1" thickBot="1">
      <c r="A28" s="370" t="s">
        <v>171</v>
      </c>
      <c r="B28" s="38" t="s">
        <v>161</v>
      </c>
      <c r="C28" s="9" t="s">
        <v>12</v>
      </c>
      <c r="D28" s="9" t="s">
        <v>13</v>
      </c>
      <c r="E28" s="10"/>
      <c r="F28" s="256" t="s">
        <v>14</v>
      </c>
      <c r="G28" s="257">
        <v>34</v>
      </c>
      <c r="H28" s="257">
        <v>36</v>
      </c>
      <c r="I28" s="257">
        <v>38</v>
      </c>
      <c r="J28" s="257">
        <v>40</v>
      </c>
      <c r="K28" s="257">
        <v>42</v>
      </c>
      <c r="L28" s="257">
        <v>44</v>
      </c>
      <c r="M28" s="257">
        <v>46</v>
      </c>
      <c r="N28" s="257"/>
      <c r="O28" s="507" t="s">
        <v>15</v>
      </c>
    </row>
    <row r="29" spans="1:15" ht="17.25" thickTop="1" thickBot="1">
      <c r="A29" s="371" t="s">
        <v>171</v>
      </c>
      <c r="B29" s="39" t="s">
        <v>16</v>
      </c>
      <c r="C29" s="39"/>
      <c r="D29" s="39" t="s">
        <v>161</v>
      </c>
      <c r="E29" s="40"/>
      <c r="F29" s="261" t="s">
        <v>1</v>
      </c>
      <c r="G29" s="261"/>
      <c r="H29" s="262"/>
      <c r="I29" s="262"/>
      <c r="J29" s="262"/>
      <c r="K29" s="262"/>
      <c r="L29" s="262"/>
      <c r="M29" s="262"/>
      <c r="N29" s="262"/>
      <c r="O29" s="508"/>
    </row>
    <row r="30" spans="1:15" ht="17.25" thickTop="1" thickBot="1">
      <c r="A30" s="371" t="s">
        <v>171</v>
      </c>
      <c r="B30" s="3">
        <v>46083</v>
      </c>
      <c r="C30" s="4" t="s">
        <v>17</v>
      </c>
      <c r="D30" s="4" t="s">
        <v>18</v>
      </c>
      <c r="E30" s="5" t="s">
        <v>3</v>
      </c>
      <c r="F30" s="265">
        <v>11564</v>
      </c>
      <c r="G30" s="2"/>
      <c r="H30" s="7">
        <v>10</v>
      </c>
      <c r="I30" s="7">
        <v>18</v>
      </c>
      <c r="J30" s="7">
        <v>18</v>
      </c>
      <c r="K30" s="7">
        <v>17</v>
      </c>
      <c r="L30" s="7">
        <v>13</v>
      </c>
      <c r="M30" s="7">
        <v>9</v>
      </c>
      <c r="N30" s="8"/>
      <c r="O30" s="59">
        <v>85</v>
      </c>
    </row>
    <row r="31" spans="1:15" ht="17.25" thickTop="1" thickBot="1">
      <c r="A31" s="371" t="s">
        <v>171</v>
      </c>
      <c r="B31" s="3"/>
      <c r="C31" s="3"/>
      <c r="D31" s="510" t="s">
        <v>172</v>
      </c>
      <c r="E31" s="5" t="s">
        <v>3</v>
      </c>
      <c r="F31" s="269"/>
      <c r="G31" s="6"/>
      <c r="H31" s="7"/>
      <c r="I31" s="7"/>
      <c r="J31" s="7"/>
      <c r="K31" s="7"/>
      <c r="L31" s="7"/>
      <c r="M31" s="7"/>
      <c r="N31" s="15"/>
      <c r="O31" s="59"/>
    </row>
    <row r="32" spans="1:15" ht="17.25" thickTop="1" thickBot="1">
      <c r="O32" s="59">
        <f>SUM(O5:O31)</f>
        <v>489</v>
      </c>
    </row>
    <row r="33" ht="15.75" thickTop="1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D57C-53AB-4DF9-BC63-0B922AE84C0B}">
  <sheetPr>
    <tabColor theme="8" tint="-0.249977111117893"/>
  </sheetPr>
  <dimension ref="A1:P31"/>
  <sheetViews>
    <sheetView workbookViewId="0">
      <selection activeCell="A2" sqref="A2:O31"/>
    </sheetView>
  </sheetViews>
  <sheetFormatPr defaultColWidth="11.42578125" defaultRowHeight="15"/>
  <cols>
    <col min="1" max="1" width="8.5703125" style="174" bestFit="1" customWidth="1"/>
    <col min="2" max="2" width="7.7109375" style="174" bestFit="1" customWidth="1"/>
    <col min="3" max="3" width="5.140625" style="174" bestFit="1" customWidth="1"/>
    <col min="4" max="4" width="27" style="174" bestFit="1" customWidth="1"/>
    <col min="5" max="5" width="5.42578125" style="174" bestFit="1" customWidth="1"/>
    <col min="6" max="6" width="6.7109375" style="174" bestFit="1" customWidth="1"/>
    <col min="7" max="9" width="3.28515625" style="174" bestFit="1" customWidth="1"/>
    <col min="10" max="10" width="4.42578125" style="174" bestFit="1" customWidth="1"/>
    <col min="11" max="13" width="3.28515625" style="174" bestFit="1" customWidth="1"/>
    <col min="14" max="14" width="11.42578125" style="174"/>
    <col min="15" max="15" width="8.5703125" style="18" bestFit="1" customWidth="1"/>
    <col min="16" max="16384" width="11.42578125" style="174"/>
  </cols>
  <sheetData>
    <row r="1" spans="1:16" ht="15.75" thickBot="1"/>
    <row r="2" spans="1:16" ht="20.25" thickTop="1" thickBot="1">
      <c r="A2" s="42" t="s">
        <v>7</v>
      </c>
      <c r="B2" s="125" t="s">
        <v>8</v>
      </c>
      <c r="C2" s="125"/>
      <c r="D2" s="125"/>
      <c r="E2" s="77" t="s">
        <v>9</v>
      </c>
      <c r="F2" s="124"/>
      <c r="G2" s="124"/>
      <c r="H2" s="77"/>
      <c r="I2" s="77"/>
      <c r="J2" s="77"/>
      <c r="K2" s="77"/>
      <c r="L2" s="77"/>
      <c r="M2" s="77"/>
      <c r="N2" s="77"/>
      <c r="O2" s="162"/>
    </row>
    <row r="3" spans="1:16" ht="20.25" thickTop="1" thickBot="1">
      <c r="A3" s="32" t="s">
        <v>174</v>
      </c>
      <c r="B3" s="126" t="s">
        <v>161</v>
      </c>
      <c r="C3" s="127" t="s">
        <v>12</v>
      </c>
      <c r="D3" s="127" t="s">
        <v>13</v>
      </c>
      <c r="E3" s="128"/>
      <c r="F3" s="129" t="s">
        <v>14</v>
      </c>
      <c r="G3" s="130">
        <v>34</v>
      </c>
      <c r="H3" s="130">
        <v>36</v>
      </c>
      <c r="I3" s="130">
        <v>38</v>
      </c>
      <c r="J3" s="130">
        <v>40</v>
      </c>
      <c r="K3" s="130">
        <v>42</v>
      </c>
      <c r="L3" s="130">
        <v>44</v>
      </c>
      <c r="M3" s="130">
        <v>46</v>
      </c>
      <c r="N3" s="130"/>
      <c r="O3" s="163" t="s">
        <v>15</v>
      </c>
    </row>
    <row r="4" spans="1:16" ht="20.25" thickTop="1" thickBot="1">
      <c r="A4" s="33" t="str">
        <f t="shared" ref="A4:A6" si="0">+A3</f>
        <v>4234-04</v>
      </c>
      <c r="B4" s="131" t="s">
        <v>16</v>
      </c>
      <c r="C4" s="131"/>
      <c r="D4" s="131" t="str">
        <f>+B3</f>
        <v>Lavinia</v>
      </c>
      <c r="E4" s="132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164"/>
    </row>
    <row r="5" spans="1:16" ht="20.25" thickTop="1" thickBot="1">
      <c r="A5" s="33" t="str">
        <f t="shared" si="0"/>
        <v>4234-04</v>
      </c>
      <c r="B5" s="133"/>
      <c r="C5" s="134" t="s">
        <v>17</v>
      </c>
      <c r="D5" s="134" t="s">
        <v>42</v>
      </c>
      <c r="E5" s="135" t="s">
        <v>3</v>
      </c>
      <c r="F5" s="136">
        <v>11563</v>
      </c>
      <c r="G5" s="137"/>
      <c r="H5" s="138">
        <v>39</v>
      </c>
      <c r="I5" s="138">
        <v>74</v>
      </c>
      <c r="J5" s="138">
        <v>88</v>
      </c>
      <c r="K5" s="138">
        <v>77</v>
      </c>
      <c r="L5" s="138">
        <v>51</v>
      </c>
      <c r="M5" s="138">
        <v>40</v>
      </c>
      <c r="N5" s="139"/>
      <c r="O5" s="94">
        <f t="shared" ref="O5" si="1">SUM(H5:N5)</f>
        <v>369</v>
      </c>
      <c r="P5" s="174" t="s">
        <v>487</v>
      </c>
    </row>
    <row r="6" spans="1:16" ht="22.5" thickTop="1" thickBot="1">
      <c r="A6" s="33" t="str">
        <f t="shared" si="0"/>
        <v>4234-04</v>
      </c>
      <c r="B6" s="133"/>
      <c r="C6" s="133"/>
      <c r="D6" s="172" t="s">
        <v>164</v>
      </c>
      <c r="E6" s="135" t="s">
        <v>3</v>
      </c>
      <c r="F6" s="141"/>
      <c r="G6" s="142"/>
      <c r="H6" s="138"/>
      <c r="I6" s="138"/>
      <c r="J6" s="138"/>
      <c r="K6" s="138"/>
      <c r="L6" s="138"/>
      <c r="M6" s="138"/>
      <c r="N6" s="143"/>
      <c r="O6" s="94"/>
    </row>
    <row r="7" spans="1:16" ht="20.25" thickTop="1" thickBot="1">
      <c r="O7" s="27"/>
    </row>
    <row r="8" spans="1:16" ht="20.25" thickTop="1" thickBot="1">
      <c r="A8" s="42" t="s">
        <v>7</v>
      </c>
      <c r="B8" s="125" t="s">
        <v>8</v>
      </c>
      <c r="C8" s="125"/>
      <c r="D8" s="125"/>
      <c r="E8" s="77" t="s">
        <v>9</v>
      </c>
      <c r="F8" s="124"/>
      <c r="G8" s="124"/>
      <c r="H8" s="77"/>
      <c r="I8" s="77"/>
      <c r="J8" s="77"/>
      <c r="K8" s="77"/>
      <c r="L8" s="77"/>
      <c r="M8" s="77"/>
      <c r="N8" s="77"/>
      <c r="O8" s="162"/>
    </row>
    <row r="9" spans="1:16" ht="20.25" thickTop="1" thickBot="1">
      <c r="A9" s="32" t="s">
        <v>175</v>
      </c>
      <c r="B9" s="126" t="s">
        <v>161</v>
      </c>
      <c r="C9" s="127" t="s">
        <v>12</v>
      </c>
      <c r="D9" s="127" t="s">
        <v>13</v>
      </c>
      <c r="E9" s="128"/>
      <c r="F9" s="129" t="s">
        <v>14</v>
      </c>
      <c r="G9" s="130">
        <v>34</v>
      </c>
      <c r="H9" s="130">
        <v>36</v>
      </c>
      <c r="I9" s="130">
        <v>38</v>
      </c>
      <c r="J9" s="130">
        <v>40</v>
      </c>
      <c r="K9" s="130">
        <v>42</v>
      </c>
      <c r="L9" s="130">
        <v>44</v>
      </c>
      <c r="M9" s="130">
        <v>46</v>
      </c>
      <c r="N9" s="130"/>
      <c r="O9" s="163" t="s">
        <v>15</v>
      </c>
    </row>
    <row r="10" spans="1:16" ht="20.25" thickTop="1" thickBot="1">
      <c r="A10" s="33" t="str">
        <f t="shared" ref="A10:A12" si="2">+A9</f>
        <v>4234-08</v>
      </c>
      <c r="B10" s="131" t="s">
        <v>16</v>
      </c>
      <c r="C10" s="131"/>
      <c r="D10" s="131" t="str">
        <f>+B9</f>
        <v>Lavinia</v>
      </c>
      <c r="E10" s="132"/>
      <c r="F10" s="41" t="s">
        <v>1</v>
      </c>
      <c r="G10" s="41"/>
      <c r="H10" s="50"/>
      <c r="I10" s="50"/>
      <c r="J10" s="50"/>
      <c r="K10" s="50"/>
      <c r="L10" s="50"/>
      <c r="M10" s="50"/>
      <c r="N10" s="50"/>
      <c r="O10" s="164"/>
    </row>
    <row r="11" spans="1:16" ht="20.25" thickTop="1" thickBot="1">
      <c r="A11" s="33" t="str">
        <f t="shared" si="2"/>
        <v>4234-08</v>
      </c>
      <c r="B11" s="133"/>
      <c r="C11" s="134" t="s">
        <v>17</v>
      </c>
      <c r="D11" s="134" t="s">
        <v>42</v>
      </c>
      <c r="E11" s="135" t="s">
        <v>3</v>
      </c>
      <c r="F11" s="136">
        <v>11563</v>
      </c>
      <c r="G11" s="137"/>
      <c r="H11" s="138">
        <v>59</v>
      </c>
      <c r="I11" s="138">
        <v>97</v>
      </c>
      <c r="J11" s="138">
        <v>100</v>
      </c>
      <c r="K11" s="138">
        <v>92</v>
      </c>
      <c r="L11" s="138">
        <v>58</v>
      </c>
      <c r="M11" s="138">
        <v>13</v>
      </c>
      <c r="N11" s="139"/>
      <c r="O11" s="94">
        <f t="shared" ref="O11" si="3">SUM(H11:N11)</f>
        <v>419</v>
      </c>
    </row>
    <row r="12" spans="1:16" ht="22.5" thickTop="1" thickBot="1">
      <c r="A12" s="33" t="str">
        <f t="shared" si="2"/>
        <v>4234-08</v>
      </c>
      <c r="B12" s="133"/>
      <c r="C12" s="133"/>
      <c r="D12" s="172" t="s">
        <v>166</v>
      </c>
      <c r="E12" s="135" t="s">
        <v>3</v>
      </c>
      <c r="F12" s="141"/>
      <c r="G12" s="142"/>
      <c r="H12" s="138"/>
      <c r="I12" s="138"/>
      <c r="J12" s="138"/>
      <c r="K12" s="138"/>
      <c r="L12" s="138"/>
      <c r="M12" s="138"/>
      <c r="N12" s="143"/>
      <c r="O12" s="94"/>
    </row>
    <row r="13" spans="1:16" ht="20.25" thickTop="1" thickBot="1">
      <c r="O13" s="27"/>
    </row>
    <row r="14" spans="1:16" ht="20.25" thickTop="1" thickBot="1">
      <c r="A14" s="42" t="s">
        <v>7</v>
      </c>
      <c r="B14" s="125" t="s">
        <v>8</v>
      </c>
      <c r="C14" s="125"/>
      <c r="D14" s="125"/>
      <c r="E14" s="77" t="s">
        <v>9</v>
      </c>
      <c r="F14" s="124"/>
      <c r="G14" s="124"/>
      <c r="H14" s="77"/>
      <c r="I14" s="77"/>
      <c r="J14" s="77"/>
      <c r="K14" s="77"/>
      <c r="L14" s="77"/>
      <c r="M14" s="77"/>
      <c r="N14" s="77"/>
      <c r="O14" s="162"/>
    </row>
    <row r="15" spans="1:16" ht="20.25" thickTop="1" thickBot="1">
      <c r="A15" s="32" t="s">
        <v>176</v>
      </c>
      <c r="B15" s="126" t="s">
        <v>161</v>
      </c>
      <c r="C15" s="127" t="s">
        <v>12</v>
      </c>
      <c r="D15" s="127" t="s">
        <v>13</v>
      </c>
      <c r="E15" s="128"/>
      <c r="F15" s="129" t="s">
        <v>14</v>
      </c>
      <c r="G15" s="130">
        <v>34</v>
      </c>
      <c r="H15" s="130">
        <v>36</v>
      </c>
      <c r="I15" s="130">
        <v>38</v>
      </c>
      <c r="J15" s="130">
        <v>40</v>
      </c>
      <c r="K15" s="130">
        <v>42</v>
      </c>
      <c r="L15" s="130">
        <v>44</v>
      </c>
      <c r="M15" s="130">
        <v>46</v>
      </c>
      <c r="N15" s="130"/>
      <c r="O15" s="163" t="s">
        <v>15</v>
      </c>
    </row>
    <row r="16" spans="1:16" ht="20.25" thickTop="1" thickBot="1">
      <c r="A16" s="33" t="str">
        <f t="shared" ref="A16:A18" si="4">+A15</f>
        <v>4234-09</v>
      </c>
      <c r="B16" s="131" t="s">
        <v>16</v>
      </c>
      <c r="C16" s="131"/>
      <c r="D16" s="131" t="str">
        <f>+B15</f>
        <v>Lavinia</v>
      </c>
      <c r="E16" s="132"/>
      <c r="F16" s="41" t="s">
        <v>1</v>
      </c>
      <c r="G16" s="41"/>
      <c r="H16" s="50"/>
      <c r="I16" s="50"/>
      <c r="J16" s="50"/>
      <c r="K16" s="50"/>
      <c r="L16" s="50"/>
      <c r="M16" s="50"/>
      <c r="N16" s="50"/>
      <c r="O16" s="164"/>
    </row>
    <row r="17" spans="1:16" ht="20.25" thickTop="1" thickBot="1">
      <c r="A17" s="33" t="str">
        <f t="shared" si="4"/>
        <v>4234-09</v>
      </c>
      <c r="B17" s="133"/>
      <c r="C17" s="134" t="s">
        <v>17</v>
      </c>
      <c r="D17" s="134" t="s">
        <v>42</v>
      </c>
      <c r="E17" s="135" t="s">
        <v>3</v>
      </c>
      <c r="F17" s="136">
        <v>11563</v>
      </c>
      <c r="G17" s="137"/>
      <c r="H17" s="138">
        <v>8</v>
      </c>
      <c r="I17" s="138">
        <v>15</v>
      </c>
      <c r="J17" s="138">
        <v>15</v>
      </c>
      <c r="K17" s="138">
        <v>15</v>
      </c>
      <c r="L17" s="138">
        <v>11</v>
      </c>
      <c r="M17" s="138">
        <v>5</v>
      </c>
      <c r="N17" s="139"/>
      <c r="O17" s="94">
        <f t="shared" ref="O17" si="5">SUM(H17:N17)</f>
        <v>69</v>
      </c>
      <c r="P17" s="174" t="s">
        <v>487</v>
      </c>
    </row>
    <row r="18" spans="1:16" ht="22.5" thickTop="1" thickBot="1">
      <c r="A18" s="33" t="str">
        <f t="shared" si="4"/>
        <v>4234-09</v>
      </c>
      <c r="B18" s="133"/>
      <c r="C18" s="133"/>
      <c r="D18" s="172" t="s">
        <v>168</v>
      </c>
      <c r="E18" s="135" t="s">
        <v>3</v>
      </c>
      <c r="F18" s="141"/>
      <c r="G18" s="142"/>
      <c r="H18" s="138"/>
      <c r="I18" s="138"/>
      <c r="J18" s="138"/>
      <c r="K18" s="138"/>
      <c r="L18" s="138"/>
      <c r="M18" s="138"/>
      <c r="N18" s="143"/>
      <c r="O18" s="94"/>
    </row>
    <row r="19" spans="1:16" ht="20.25" thickTop="1" thickBot="1">
      <c r="O19" s="27"/>
    </row>
    <row r="20" spans="1:16" ht="20.25" thickTop="1" thickBot="1">
      <c r="A20" s="42" t="s">
        <v>7</v>
      </c>
      <c r="B20" s="125" t="s">
        <v>8</v>
      </c>
      <c r="C20" s="125"/>
      <c r="D20" s="125"/>
      <c r="E20" s="77" t="s">
        <v>9</v>
      </c>
      <c r="F20" s="124"/>
      <c r="G20" s="124"/>
      <c r="H20" s="77"/>
      <c r="I20" s="77"/>
      <c r="J20" s="77"/>
      <c r="K20" s="77"/>
      <c r="L20" s="77"/>
      <c r="M20" s="77"/>
      <c r="N20" s="77"/>
      <c r="O20" s="162"/>
    </row>
    <row r="21" spans="1:16" ht="20.25" thickTop="1" thickBot="1">
      <c r="A21" s="32" t="s">
        <v>177</v>
      </c>
      <c r="B21" s="126" t="s">
        <v>161</v>
      </c>
      <c r="C21" s="127" t="s">
        <v>12</v>
      </c>
      <c r="D21" s="127" t="s">
        <v>13</v>
      </c>
      <c r="E21" s="128"/>
      <c r="F21" s="129" t="s">
        <v>14</v>
      </c>
      <c r="G21" s="130">
        <v>34</v>
      </c>
      <c r="H21" s="130">
        <v>36</v>
      </c>
      <c r="I21" s="130">
        <v>38</v>
      </c>
      <c r="J21" s="130">
        <v>40</v>
      </c>
      <c r="K21" s="130">
        <v>42</v>
      </c>
      <c r="L21" s="130">
        <v>44</v>
      </c>
      <c r="M21" s="130">
        <v>46</v>
      </c>
      <c r="N21" s="130"/>
      <c r="O21" s="163" t="s">
        <v>15</v>
      </c>
    </row>
    <row r="22" spans="1:16" ht="20.25" thickTop="1" thickBot="1">
      <c r="A22" s="33" t="str">
        <f t="shared" ref="A22:A24" si="6">+A21</f>
        <v>4234-16</v>
      </c>
      <c r="B22" s="131" t="s">
        <v>16</v>
      </c>
      <c r="C22" s="131"/>
      <c r="D22" s="131" t="str">
        <f>+B21</f>
        <v>Lavinia</v>
      </c>
      <c r="E22" s="132"/>
      <c r="F22" s="41" t="s">
        <v>1</v>
      </c>
      <c r="G22" s="41"/>
      <c r="H22" s="50"/>
      <c r="I22" s="50"/>
      <c r="J22" s="50"/>
      <c r="K22" s="50"/>
      <c r="L22" s="50"/>
      <c r="M22" s="50"/>
      <c r="N22" s="50"/>
      <c r="O22" s="164"/>
    </row>
    <row r="23" spans="1:16" ht="20.25" thickTop="1" thickBot="1">
      <c r="A23" s="33" t="str">
        <f t="shared" si="6"/>
        <v>4234-16</v>
      </c>
      <c r="B23" s="133"/>
      <c r="C23" s="134" t="s">
        <v>17</v>
      </c>
      <c r="D23" s="134" t="s">
        <v>42</v>
      </c>
      <c r="E23" s="135" t="s">
        <v>3</v>
      </c>
      <c r="F23" s="136">
        <v>11563</v>
      </c>
      <c r="G23" s="137"/>
      <c r="H23" s="138">
        <v>28</v>
      </c>
      <c r="I23" s="138">
        <v>41</v>
      </c>
      <c r="J23" s="138">
        <v>47</v>
      </c>
      <c r="K23" s="138">
        <v>38</v>
      </c>
      <c r="L23" s="138">
        <v>25</v>
      </c>
      <c r="M23" s="138">
        <v>10</v>
      </c>
      <c r="N23" s="139"/>
      <c r="O23" s="94">
        <f t="shared" ref="O23" si="7">SUM(H23:N23)</f>
        <v>189</v>
      </c>
      <c r="P23" s="174" t="s">
        <v>487</v>
      </c>
    </row>
    <row r="24" spans="1:16" ht="22.5" thickTop="1" thickBot="1">
      <c r="A24" s="33" t="str">
        <f t="shared" si="6"/>
        <v>4234-16</v>
      </c>
      <c r="B24" s="133"/>
      <c r="C24" s="133"/>
      <c r="D24" s="172" t="s">
        <v>170</v>
      </c>
      <c r="E24" s="135" t="s">
        <v>3</v>
      </c>
      <c r="F24" s="141"/>
      <c r="G24" s="142"/>
      <c r="H24" s="138"/>
      <c r="I24" s="138"/>
      <c r="J24" s="138"/>
      <c r="K24" s="138"/>
      <c r="L24" s="138"/>
      <c r="M24" s="138"/>
      <c r="N24" s="143"/>
      <c r="O24" s="94"/>
    </row>
    <row r="25" spans="1:16" ht="20.25" thickTop="1" thickBot="1">
      <c r="O25" s="27"/>
    </row>
    <row r="26" spans="1:16" ht="20.25" thickTop="1" thickBot="1">
      <c r="A26" s="42" t="s">
        <v>7</v>
      </c>
      <c r="B26" s="125" t="s">
        <v>8</v>
      </c>
      <c r="C26" s="125"/>
      <c r="D26" s="125"/>
      <c r="E26" s="77" t="s">
        <v>9</v>
      </c>
      <c r="F26" s="124"/>
      <c r="G26" s="124"/>
      <c r="H26" s="77"/>
      <c r="I26" s="77"/>
      <c r="J26" s="77"/>
      <c r="K26" s="77"/>
      <c r="L26" s="77"/>
      <c r="M26" s="77"/>
      <c r="N26" s="77"/>
      <c r="O26" s="162"/>
    </row>
    <row r="27" spans="1:16" ht="20.25" thickTop="1" thickBot="1">
      <c r="A27" s="32" t="s">
        <v>178</v>
      </c>
      <c r="B27" s="126" t="s">
        <v>161</v>
      </c>
      <c r="C27" s="127" t="s">
        <v>12</v>
      </c>
      <c r="D27" s="127" t="s">
        <v>13</v>
      </c>
      <c r="E27" s="128"/>
      <c r="F27" s="129" t="s">
        <v>14</v>
      </c>
      <c r="G27" s="130">
        <v>34</v>
      </c>
      <c r="H27" s="130">
        <v>36</v>
      </c>
      <c r="I27" s="130">
        <v>38</v>
      </c>
      <c r="J27" s="130">
        <v>40</v>
      </c>
      <c r="K27" s="130">
        <v>42</v>
      </c>
      <c r="L27" s="130">
        <v>44</v>
      </c>
      <c r="M27" s="130">
        <v>46</v>
      </c>
      <c r="N27" s="130"/>
      <c r="O27" s="163" t="s">
        <v>15</v>
      </c>
    </row>
    <row r="28" spans="1:16" ht="20.25" thickTop="1" thickBot="1">
      <c r="A28" s="33" t="str">
        <f t="shared" ref="A28:A30" si="8">+A27</f>
        <v>4234-48</v>
      </c>
      <c r="B28" s="131" t="s">
        <v>16</v>
      </c>
      <c r="C28" s="131"/>
      <c r="D28" s="131" t="str">
        <f>+B27</f>
        <v>Lavinia</v>
      </c>
      <c r="E28" s="132"/>
      <c r="F28" s="41" t="s">
        <v>1</v>
      </c>
      <c r="G28" s="41"/>
      <c r="H28" s="50"/>
      <c r="I28" s="50"/>
      <c r="J28" s="50"/>
      <c r="K28" s="50"/>
      <c r="L28" s="50"/>
      <c r="M28" s="50"/>
      <c r="N28" s="50"/>
      <c r="O28" s="164"/>
    </row>
    <row r="29" spans="1:16" ht="20.25" thickTop="1" thickBot="1">
      <c r="A29" s="33" t="str">
        <f t="shared" si="8"/>
        <v>4234-48</v>
      </c>
      <c r="B29" s="133"/>
      <c r="C29" s="134" t="s">
        <v>17</v>
      </c>
      <c r="D29" s="134" t="s">
        <v>42</v>
      </c>
      <c r="E29" s="135" t="s">
        <v>3</v>
      </c>
      <c r="F29" s="136">
        <v>11563</v>
      </c>
      <c r="G29" s="137"/>
      <c r="H29" s="138">
        <v>20</v>
      </c>
      <c r="I29" s="138">
        <v>32</v>
      </c>
      <c r="J29" s="138">
        <v>30</v>
      </c>
      <c r="K29" s="138">
        <v>28</v>
      </c>
      <c r="L29" s="138">
        <v>21</v>
      </c>
      <c r="M29" s="138">
        <v>7</v>
      </c>
      <c r="N29" s="139"/>
      <c r="O29" s="94">
        <f t="shared" ref="O29" si="9">SUM(H29:N29)</f>
        <v>138</v>
      </c>
    </row>
    <row r="30" spans="1:16" ht="22.5" thickTop="1" thickBot="1">
      <c r="A30" s="33" t="str">
        <f t="shared" si="8"/>
        <v>4234-48</v>
      </c>
      <c r="B30" s="133"/>
      <c r="C30" s="133"/>
      <c r="D30" s="172" t="s">
        <v>172</v>
      </c>
      <c r="E30" s="135" t="s">
        <v>3</v>
      </c>
      <c r="F30" s="141"/>
      <c r="G30" s="142"/>
      <c r="H30" s="138"/>
      <c r="I30" s="138"/>
      <c r="J30" s="138"/>
      <c r="K30" s="138"/>
      <c r="L30" s="138"/>
      <c r="M30" s="138"/>
      <c r="N30" s="143"/>
      <c r="O30" s="173"/>
    </row>
    <row r="31" spans="1:16" ht="19.5" thickTop="1">
      <c r="O31" s="160">
        <f>SUM(O2:O30)</f>
        <v>1184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63D5-0BD0-4089-A0E5-2F7C0095352F}">
  <sheetPr>
    <tabColor theme="8" tint="-0.249977111117893"/>
  </sheetPr>
  <dimension ref="A1:O16"/>
  <sheetViews>
    <sheetView workbookViewId="0">
      <selection activeCell="S11" sqref="S10:S11"/>
    </sheetView>
  </sheetViews>
  <sheetFormatPr defaultColWidth="11.42578125" defaultRowHeight="15"/>
  <cols>
    <col min="1" max="1" width="8.5703125" bestFit="1" customWidth="1"/>
    <col min="2" max="2" width="10.28515625" bestFit="1" customWidth="1"/>
    <col min="3" max="3" width="5.140625" bestFit="1" customWidth="1"/>
    <col min="4" max="4" width="9.42578125" bestFit="1" customWidth="1"/>
    <col min="5" max="5" width="5.42578125" bestFit="1" customWidth="1"/>
    <col min="6" max="6" width="6.7109375" bestFit="1" customWidth="1"/>
    <col min="7" max="8" width="3.28515625" bestFit="1" customWidth="1"/>
    <col min="9" max="11" width="4.42578125" bestFit="1" customWidth="1"/>
    <col min="12" max="13" width="3.28515625" bestFit="1" customWidth="1"/>
    <col min="15" max="15" width="8.5703125" bestFit="1" customWidth="1"/>
  </cols>
  <sheetData>
    <row r="1" spans="1:15" ht="16.5" thickTop="1" thickBot="1">
      <c r="A1" s="90" t="s">
        <v>7</v>
      </c>
      <c r="B1" s="125" t="s">
        <v>8</v>
      </c>
      <c r="C1" s="125"/>
      <c r="D1" s="125"/>
      <c r="E1" s="77" t="s">
        <v>9</v>
      </c>
      <c r="F1" s="124"/>
      <c r="G1" s="124"/>
      <c r="H1" s="77"/>
      <c r="I1" s="77"/>
      <c r="J1" s="77"/>
      <c r="K1" s="77"/>
      <c r="L1" s="77"/>
      <c r="M1" s="77"/>
      <c r="N1" s="77"/>
      <c r="O1" s="77"/>
    </row>
    <row r="2" spans="1:15" ht="16.5" thickTop="1" thickBot="1">
      <c r="A2" s="91" t="s">
        <v>179</v>
      </c>
      <c r="B2" s="126" t="s">
        <v>11</v>
      </c>
      <c r="C2" s="127" t="s">
        <v>12</v>
      </c>
      <c r="D2" s="127" t="s">
        <v>13</v>
      </c>
      <c r="E2" s="128"/>
      <c r="F2" s="129" t="s">
        <v>14</v>
      </c>
      <c r="G2" s="130">
        <v>34</v>
      </c>
      <c r="H2" s="130">
        <v>36</v>
      </c>
      <c r="I2" s="130">
        <v>38</v>
      </c>
      <c r="J2" s="130">
        <v>40</v>
      </c>
      <c r="K2" s="130">
        <v>42</v>
      </c>
      <c r="L2" s="130">
        <v>44</v>
      </c>
      <c r="M2" s="130">
        <v>46</v>
      </c>
      <c r="N2" s="130"/>
      <c r="O2" s="76" t="s">
        <v>15</v>
      </c>
    </row>
    <row r="3" spans="1:15" ht="16.5" thickTop="1" thickBot="1">
      <c r="A3" s="92" t="str">
        <f t="shared" ref="A3:A6" si="0">+A2</f>
        <v>4235-00</v>
      </c>
      <c r="B3" s="131" t="s">
        <v>16</v>
      </c>
      <c r="C3" s="131"/>
      <c r="D3" s="131" t="str">
        <f>+B2</f>
        <v>Ibiza Blue</v>
      </c>
      <c r="E3" s="132"/>
      <c r="F3" s="41" t="s">
        <v>1</v>
      </c>
      <c r="G3" s="41"/>
      <c r="H3" s="50"/>
      <c r="I3" s="50"/>
      <c r="J3" s="50"/>
      <c r="K3" s="50"/>
      <c r="L3" s="50"/>
      <c r="M3" s="50"/>
      <c r="N3" s="50"/>
      <c r="O3" s="51"/>
    </row>
    <row r="4" spans="1:15" ht="20.25" thickTop="1" thickBot="1">
      <c r="A4" s="92" t="str">
        <f t="shared" si="0"/>
        <v>4235-00</v>
      </c>
      <c r="B4" s="133">
        <v>46041</v>
      </c>
      <c r="C4" s="134" t="s">
        <v>17</v>
      </c>
      <c r="D4" s="134" t="s">
        <v>18</v>
      </c>
      <c r="E4" s="135" t="s">
        <v>3</v>
      </c>
      <c r="F4" s="136">
        <v>11545</v>
      </c>
      <c r="G4" s="137"/>
      <c r="H4" s="138">
        <f>100-H13</f>
        <v>73</v>
      </c>
      <c r="I4" s="138">
        <f>135-I13</f>
        <v>121</v>
      </c>
      <c r="J4" s="138">
        <f>145-J13</f>
        <v>121</v>
      </c>
      <c r="K4" s="138">
        <f>135-K13</f>
        <v>116</v>
      </c>
      <c r="L4" s="138">
        <f>120-L13</f>
        <v>82</v>
      </c>
      <c r="M4" s="138">
        <f>65-M13</f>
        <v>57</v>
      </c>
      <c r="N4" s="139"/>
      <c r="O4" s="94">
        <f t="shared" ref="O4" si="1">SUM(H4:N4)</f>
        <v>570</v>
      </c>
    </row>
    <row r="5" spans="1:15" ht="20.25" thickTop="1" thickBot="1">
      <c r="A5" s="92" t="str">
        <f t="shared" si="0"/>
        <v>4235-00</v>
      </c>
      <c r="B5" s="133"/>
      <c r="C5" s="133"/>
      <c r="D5" s="133"/>
      <c r="E5" s="135" t="s">
        <v>3</v>
      </c>
      <c r="F5" s="141"/>
      <c r="G5" s="142"/>
      <c r="H5" s="138"/>
      <c r="I5" s="138"/>
      <c r="J5" s="138"/>
      <c r="K5" s="138"/>
      <c r="L5" s="138"/>
      <c r="M5" s="138"/>
      <c r="N5" s="143"/>
      <c r="O5" s="94"/>
    </row>
    <row r="6" spans="1:15" ht="20.25" thickTop="1" thickBot="1">
      <c r="A6" s="92" t="str">
        <f t="shared" si="0"/>
        <v>4235-00</v>
      </c>
      <c r="B6" s="133"/>
      <c r="C6" s="133"/>
      <c r="D6" s="133"/>
      <c r="E6" s="135" t="s">
        <v>3</v>
      </c>
      <c r="F6" s="141"/>
      <c r="G6" s="142"/>
      <c r="H6" s="143"/>
      <c r="I6" s="143"/>
      <c r="J6" s="143"/>
      <c r="K6" s="143"/>
      <c r="L6" s="143"/>
      <c r="M6" s="143"/>
      <c r="N6" s="143"/>
      <c r="O6" s="187"/>
    </row>
    <row r="7" spans="1:15" ht="19.5" thickTop="1">
      <c r="O7" s="188"/>
    </row>
    <row r="8" spans="1:15" ht="18.75">
      <c r="O8" s="188"/>
    </row>
    <row r="9" spans="1:15" ht="19.5" thickBot="1">
      <c r="O9" s="188"/>
    </row>
    <row r="10" spans="1:15" ht="20.25" thickTop="1" thickBot="1">
      <c r="A10" s="90" t="s">
        <v>7</v>
      </c>
      <c r="B10" s="125" t="s">
        <v>8</v>
      </c>
      <c r="C10" s="125"/>
      <c r="D10" s="125"/>
      <c r="E10" s="77" t="s">
        <v>9</v>
      </c>
      <c r="F10" s="124"/>
      <c r="G10" s="124"/>
      <c r="H10" s="77"/>
      <c r="I10" s="77"/>
      <c r="J10" s="77"/>
      <c r="K10" s="77"/>
      <c r="L10" s="77"/>
      <c r="M10" s="77"/>
      <c r="N10" s="77"/>
      <c r="O10" s="162"/>
    </row>
    <row r="11" spans="1:15" ht="20.25" thickTop="1" thickBot="1">
      <c r="A11" s="91" t="s">
        <v>181</v>
      </c>
      <c r="B11" s="126" t="s">
        <v>11</v>
      </c>
      <c r="C11" s="127" t="s">
        <v>12</v>
      </c>
      <c r="D11" s="127" t="s">
        <v>13</v>
      </c>
      <c r="E11" s="128"/>
      <c r="F11" s="129" t="s">
        <v>14</v>
      </c>
      <c r="G11" s="130">
        <v>34</v>
      </c>
      <c r="H11" s="130">
        <v>36</v>
      </c>
      <c r="I11" s="130">
        <v>38</v>
      </c>
      <c r="J11" s="130">
        <v>40</v>
      </c>
      <c r="K11" s="130">
        <v>42</v>
      </c>
      <c r="L11" s="130">
        <v>44</v>
      </c>
      <c r="M11" s="130">
        <v>46</v>
      </c>
      <c r="N11" s="130"/>
      <c r="O11" s="163" t="s">
        <v>15</v>
      </c>
    </row>
    <row r="12" spans="1:15" ht="20.25" thickTop="1" thickBot="1">
      <c r="A12" s="92" t="str">
        <f t="shared" ref="A12:A15" si="2">+A11</f>
        <v>4235-01</v>
      </c>
      <c r="B12" s="131" t="s">
        <v>16</v>
      </c>
      <c r="C12" s="131"/>
      <c r="D12" s="131" t="str">
        <f>+B11</f>
        <v>Ibiza Blue</v>
      </c>
      <c r="E12" s="132"/>
      <c r="F12" s="41" t="s">
        <v>1</v>
      </c>
      <c r="G12" s="41"/>
      <c r="H12" s="50"/>
      <c r="I12" s="50"/>
      <c r="J12" s="50"/>
      <c r="K12" s="50"/>
      <c r="L12" s="50"/>
      <c r="M12" s="50"/>
      <c r="N12" s="50"/>
      <c r="O12" s="164">
        <f>SUM(H12:N12)</f>
        <v>0</v>
      </c>
    </row>
    <row r="13" spans="1:15" ht="20.25" thickTop="1" thickBot="1">
      <c r="A13" s="92" t="str">
        <f t="shared" si="2"/>
        <v>4235-01</v>
      </c>
      <c r="B13" s="133"/>
      <c r="C13" s="134" t="s">
        <v>17</v>
      </c>
      <c r="D13" s="134" t="s">
        <v>18</v>
      </c>
      <c r="E13" s="135" t="s">
        <v>3</v>
      </c>
      <c r="F13" s="136">
        <v>11545</v>
      </c>
      <c r="G13" s="137"/>
      <c r="H13" s="138">
        <v>27</v>
      </c>
      <c r="I13" s="138">
        <v>14</v>
      </c>
      <c r="J13" s="138">
        <v>24</v>
      </c>
      <c r="K13" s="138">
        <v>19</v>
      </c>
      <c r="L13" s="138">
        <v>38</v>
      </c>
      <c r="M13" s="138">
        <v>8</v>
      </c>
      <c r="N13" s="139"/>
      <c r="O13" s="94">
        <f t="shared" ref="O13" si="3">SUM(H13:N13)</f>
        <v>130</v>
      </c>
    </row>
    <row r="14" spans="1:15" ht="20.25" thickTop="1" thickBot="1">
      <c r="A14" s="92" t="str">
        <f t="shared" si="2"/>
        <v>4235-01</v>
      </c>
      <c r="B14" s="133"/>
      <c r="C14" s="133"/>
      <c r="D14" s="133"/>
      <c r="E14" s="135" t="s">
        <v>3</v>
      </c>
      <c r="F14" s="141"/>
      <c r="G14" s="142"/>
      <c r="H14" s="138"/>
      <c r="I14" s="138"/>
      <c r="J14" s="138"/>
      <c r="K14" s="138"/>
      <c r="L14" s="138"/>
      <c r="M14" s="138"/>
      <c r="N14" s="143"/>
      <c r="O14" s="94"/>
    </row>
    <row r="15" spans="1:15" ht="20.25" thickTop="1" thickBot="1">
      <c r="A15" s="92" t="str">
        <f t="shared" si="2"/>
        <v>4235-01</v>
      </c>
      <c r="B15" s="133"/>
      <c r="C15" s="133"/>
      <c r="D15" s="133"/>
      <c r="E15" s="135" t="s">
        <v>3</v>
      </c>
      <c r="F15" s="141"/>
      <c r="G15" s="142"/>
      <c r="H15" s="143"/>
      <c r="I15" s="143"/>
      <c r="J15" s="143"/>
      <c r="K15" s="143"/>
      <c r="L15" s="143"/>
      <c r="M15" s="143"/>
      <c r="N15" s="143"/>
      <c r="O15" s="189"/>
    </row>
    <row r="16" spans="1:15" ht="19.5" thickTop="1">
      <c r="O16" s="161">
        <f>SUM(O4:O15)</f>
        <v>700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1C5A-FC5F-4BB8-A362-EFB9F9647365}">
  <sheetPr>
    <tabColor theme="8" tint="-0.249977111117893"/>
  </sheetPr>
  <dimension ref="A1:O18"/>
  <sheetViews>
    <sheetView workbookViewId="0">
      <selection activeCell="A12" sqref="A12:O17"/>
    </sheetView>
  </sheetViews>
  <sheetFormatPr defaultColWidth="11.42578125" defaultRowHeight="15"/>
  <cols>
    <col min="1" max="1" width="7.7109375" bestFit="1" customWidth="1"/>
    <col min="2" max="2" width="9.42578125" bestFit="1" customWidth="1"/>
    <col min="3" max="3" width="4.5703125" bestFit="1" customWidth="1"/>
    <col min="4" max="4" width="18.7109375" bestFit="1" customWidth="1"/>
    <col min="5" max="5" width="5.5703125" bestFit="1" customWidth="1"/>
    <col min="6" max="6" width="9" bestFit="1" customWidth="1"/>
    <col min="7" max="7" width="3" bestFit="1" customWidth="1"/>
    <col min="8" max="13" width="4.140625" bestFit="1" customWidth="1"/>
    <col min="15" max="15" width="6" bestFit="1" customWidth="1"/>
  </cols>
  <sheetData>
    <row r="1" spans="1:15" ht="16.5" thickTop="1" thickBot="1">
      <c r="A1" s="42" t="s">
        <v>7</v>
      </c>
      <c r="B1" s="43" t="s">
        <v>8</v>
      </c>
      <c r="C1" s="43"/>
      <c r="D1" s="43"/>
      <c r="E1" s="44" t="s">
        <v>9</v>
      </c>
      <c r="F1" s="45"/>
      <c r="G1" s="45"/>
      <c r="H1" s="44"/>
      <c r="I1" s="44"/>
      <c r="J1" s="44"/>
      <c r="K1" s="44"/>
      <c r="L1" s="44"/>
      <c r="M1" s="44"/>
      <c r="N1" s="44"/>
      <c r="O1" s="44"/>
    </row>
    <row r="2" spans="1:15" ht="17.25" thickTop="1" thickBot="1">
      <c r="A2" s="32">
        <v>4239</v>
      </c>
      <c r="B2" s="38" t="s">
        <v>36</v>
      </c>
      <c r="C2" s="9" t="s">
        <v>12</v>
      </c>
      <c r="D2" s="9" t="s">
        <v>13</v>
      </c>
      <c r="E2" s="10"/>
      <c r="F2" s="11" t="s">
        <v>14</v>
      </c>
      <c r="G2" s="11"/>
      <c r="H2" s="12">
        <v>36</v>
      </c>
      <c r="I2" s="12">
        <v>38</v>
      </c>
      <c r="J2" s="12">
        <v>40</v>
      </c>
      <c r="K2" s="12">
        <v>42</v>
      </c>
      <c r="L2" s="12">
        <v>44</v>
      </c>
      <c r="M2" s="12">
        <v>46</v>
      </c>
      <c r="N2" s="12"/>
      <c r="O2" s="13" t="s">
        <v>15</v>
      </c>
    </row>
    <row r="3" spans="1:15" ht="16.5" thickTop="1" thickBot="1">
      <c r="A3" s="33">
        <f t="shared" ref="A3:A9" si="0">+A2</f>
        <v>4239</v>
      </c>
      <c r="B3" s="39" t="s">
        <v>16</v>
      </c>
      <c r="C3" s="39"/>
      <c r="D3" s="39" t="str">
        <f>+B2</f>
        <v>B2868-V3</v>
      </c>
      <c r="E3" s="40"/>
      <c r="F3" s="41" t="s">
        <v>1</v>
      </c>
      <c r="G3" s="41"/>
      <c r="H3" s="50"/>
      <c r="I3" s="50"/>
      <c r="J3" s="50"/>
      <c r="K3" s="50"/>
      <c r="L3" s="50"/>
      <c r="M3" s="50"/>
      <c r="N3" s="50"/>
      <c r="O3" s="51"/>
    </row>
    <row r="4" spans="1:15" ht="20.25" thickTop="1" thickBot="1">
      <c r="A4" s="33">
        <f t="shared" si="0"/>
        <v>4239</v>
      </c>
      <c r="B4" s="3">
        <v>45953</v>
      </c>
      <c r="C4" s="4" t="s">
        <v>17</v>
      </c>
      <c r="D4" s="4" t="s">
        <v>42</v>
      </c>
      <c r="E4" s="5" t="s">
        <v>3</v>
      </c>
      <c r="F4" s="29">
        <v>11495</v>
      </c>
      <c r="G4" s="2"/>
      <c r="H4" s="7">
        <v>11</v>
      </c>
      <c r="I4" s="7">
        <v>31</v>
      </c>
      <c r="J4" s="7">
        <v>39</v>
      </c>
      <c r="K4" s="7">
        <v>31</v>
      </c>
      <c r="L4" s="7">
        <v>23</v>
      </c>
      <c r="M4" s="7">
        <v>11</v>
      </c>
      <c r="N4" s="8"/>
      <c r="O4" s="14">
        <f t="shared" ref="O4:O9" si="1">SUM(H4:N4)</f>
        <v>146</v>
      </c>
    </row>
    <row r="5" spans="1:15" ht="20.25" thickTop="1" thickBot="1">
      <c r="A5" s="33">
        <f t="shared" si="0"/>
        <v>4239</v>
      </c>
      <c r="B5" s="3"/>
      <c r="C5" s="3"/>
      <c r="D5" s="53" t="s">
        <v>188</v>
      </c>
      <c r="E5" s="5" t="s">
        <v>3</v>
      </c>
      <c r="F5" s="31"/>
      <c r="G5" s="6"/>
      <c r="H5" s="7"/>
      <c r="I5" s="7"/>
      <c r="J5" s="7"/>
      <c r="K5" s="7"/>
      <c r="L5" s="7"/>
      <c r="M5" s="7"/>
      <c r="N5" s="15"/>
      <c r="O5" s="14">
        <f t="shared" si="1"/>
        <v>0</v>
      </c>
    </row>
    <row r="6" spans="1:15" ht="20.25" thickTop="1" thickBot="1">
      <c r="A6" s="33">
        <f t="shared" si="0"/>
        <v>4239</v>
      </c>
      <c r="B6" s="3"/>
      <c r="C6" s="3"/>
      <c r="D6" s="53" t="s">
        <v>190</v>
      </c>
      <c r="E6" s="5" t="s">
        <v>3</v>
      </c>
      <c r="F6" s="31"/>
      <c r="G6" s="6"/>
      <c r="H6" s="15"/>
      <c r="I6" s="15"/>
      <c r="J6" s="15"/>
      <c r="K6" s="15"/>
      <c r="L6" s="15"/>
      <c r="M6" s="15"/>
      <c r="N6" s="15"/>
      <c r="O6" s="16">
        <f t="shared" si="1"/>
        <v>0</v>
      </c>
    </row>
    <row r="7" spans="1:15" ht="20.25" thickTop="1" thickBot="1">
      <c r="A7" s="33">
        <f t="shared" si="0"/>
        <v>4239</v>
      </c>
      <c r="B7" s="3"/>
      <c r="C7" s="3"/>
      <c r="D7" s="3"/>
      <c r="E7" s="5" t="s">
        <v>3</v>
      </c>
      <c r="F7" s="31"/>
      <c r="G7" s="6"/>
      <c r="H7" s="8"/>
      <c r="I7" s="8"/>
      <c r="J7" s="8"/>
      <c r="K7" s="8"/>
      <c r="L7" s="8"/>
      <c r="M7" s="8"/>
      <c r="N7" s="15"/>
      <c r="O7" s="16">
        <f t="shared" si="1"/>
        <v>0</v>
      </c>
    </row>
    <row r="8" spans="1:15" ht="20.25" thickTop="1" thickBot="1">
      <c r="A8" s="34">
        <f t="shared" si="0"/>
        <v>4239</v>
      </c>
      <c r="B8" s="19"/>
      <c r="C8" s="19"/>
      <c r="D8" s="19"/>
      <c r="E8" s="20" t="s">
        <v>3</v>
      </c>
      <c r="F8" s="30"/>
      <c r="G8" s="21"/>
      <c r="H8" s="22"/>
      <c r="I8" s="22"/>
      <c r="J8" s="22"/>
      <c r="K8" s="22"/>
      <c r="L8" s="22"/>
      <c r="M8" s="22"/>
      <c r="N8" s="22"/>
      <c r="O8" s="23">
        <f t="shared" si="1"/>
        <v>0</v>
      </c>
    </row>
    <row r="9" spans="1:15" ht="16.5" thickTop="1" thickBot="1">
      <c r="A9" s="46">
        <f t="shared" si="0"/>
        <v>4239</v>
      </c>
      <c r="B9" s="47"/>
      <c r="C9" s="47"/>
      <c r="D9" s="47"/>
      <c r="E9" s="48" t="s">
        <v>23</v>
      </c>
      <c r="F9" s="49" t="str">
        <f>+B2</f>
        <v>B2868-V3</v>
      </c>
      <c r="G9" s="48">
        <f>+G3-G4-G5-G6-G8+G7</f>
        <v>0</v>
      </c>
      <c r="H9" s="48">
        <f>+H3-H4-H5-H6-H8+H7</f>
        <v>-11</v>
      </c>
      <c r="I9" s="48">
        <f>+I3-I4-I5-I6-I8+I7</f>
        <v>-31</v>
      </c>
      <c r="J9" s="48">
        <f>+J3-J4-J5-J6-J8-J7</f>
        <v>-39</v>
      </c>
      <c r="K9" s="48">
        <f>+K3-K4-K5-K6-K8-K7</f>
        <v>-31</v>
      </c>
      <c r="L9" s="48">
        <f>+L3-L4-L5-L6-L8-L7</f>
        <v>-23</v>
      </c>
      <c r="M9" s="48">
        <f>+M3-M4-M5-M6-M8-M7</f>
        <v>-11</v>
      </c>
      <c r="N9" s="48"/>
      <c r="O9" s="48">
        <f t="shared" si="1"/>
        <v>-146</v>
      </c>
    </row>
    <row r="10" spans="1:15" ht="15.75" thickTop="1"/>
    <row r="11" spans="1:15" ht="15.75" thickBot="1"/>
    <row r="12" spans="1:15" ht="16.5" thickTop="1" thickBot="1">
      <c r="A12" s="274" t="s">
        <v>7</v>
      </c>
      <c r="B12" s="43" t="s">
        <v>8</v>
      </c>
      <c r="C12" s="43"/>
      <c r="D12" s="43"/>
      <c r="E12" s="44" t="s">
        <v>9</v>
      </c>
      <c r="F12" s="45"/>
      <c r="G12" s="45"/>
      <c r="H12" s="44"/>
      <c r="I12" s="44"/>
      <c r="J12" s="44"/>
      <c r="K12" s="44"/>
      <c r="L12" s="44"/>
      <c r="M12" s="44"/>
      <c r="N12" s="44"/>
      <c r="O12" s="44"/>
    </row>
    <row r="13" spans="1:15" ht="16.5" thickTop="1" thickBot="1">
      <c r="A13" s="278" t="s">
        <v>186</v>
      </c>
      <c r="B13" s="38" t="s">
        <v>36</v>
      </c>
      <c r="C13" s="9" t="s">
        <v>12</v>
      </c>
      <c r="D13" s="9" t="s">
        <v>13</v>
      </c>
      <c r="E13" s="10"/>
      <c r="F13" s="256" t="s">
        <v>14</v>
      </c>
      <c r="G13" s="257">
        <v>34</v>
      </c>
      <c r="H13" s="257">
        <v>36</v>
      </c>
      <c r="I13" s="257">
        <v>38</v>
      </c>
      <c r="J13" s="257">
        <v>40</v>
      </c>
      <c r="K13" s="257">
        <v>42</v>
      </c>
      <c r="L13" s="257">
        <v>44</v>
      </c>
      <c r="M13" s="257">
        <v>46</v>
      </c>
      <c r="N13" s="257"/>
      <c r="O13" s="258" t="s">
        <v>15</v>
      </c>
    </row>
    <row r="14" spans="1:15" ht="16.5" thickTop="1" thickBot="1">
      <c r="A14" s="280" t="str">
        <f t="shared" ref="A14:A17" si="2">+A13</f>
        <v>4239-00</v>
      </c>
      <c r="B14" s="39" t="s">
        <v>16</v>
      </c>
      <c r="C14" s="39"/>
      <c r="D14" s="39" t="str">
        <f>+B13</f>
        <v>B2868-V3</v>
      </c>
      <c r="E14" s="40"/>
      <c r="F14" s="261" t="s">
        <v>1</v>
      </c>
      <c r="G14" s="261"/>
      <c r="H14" s="262"/>
      <c r="I14" s="262"/>
      <c r="J14" s="262"/>
      <c r="K14" s="262"/>
      <c r="L14" s="262"/>
      <c r="M14" s="262"/>
      <c r="N14" s="262"/>
      <c r="O14" s="263"/>
    </row>
    <row r="15" spans="1:15" ht="16.5" thickTop="1" thickBot="1">
      <c r="A15" s="280" t="str">
        <f t="shared" si="2"/>
        <v>4239-00</v>
      </c>
      <c r="B15" s="3">
        <v>45953</v>
      </c>
      <c r="C15" s="4" t="s">
        <v>17</v>
      </c>
      <c r="D15" s="4" t="s">
        <v>42</v>
      </c>
      <c r="E15" s="5" t="s">
        <v>3</v>
      </c>
      <c r="F15" s="265"/>
      <c r="G15" s="2"/>
      <c r="H15" s="7"/>
      <c r="I15" s="7"/>
      <c r="J15" s="7"/>
      <c r="K15" s="7"/>
      <c r="L15" s="7"/>
      <c r="M15" s="7"/>
      <c r="N15" s="8"/>
      <c r="O15" s="14"/>
    </row>
    <row r="16" spans="1:15" ht="16.5" thickTop="1" thickBot="1">
      <c r="A16" s="280" t="str">
        <f t="shared" si="2"/>
        <v>4239-00</v>
      </c>
      <c r="B16" s="3">
        <v>46072</v>
      </c>
      <c r="C16" s="3"/>
      <c r="D16" s="57" t="s">
        <v>188</v>
      </c>
      <c r="E16" s="5" t="s">
        <v>3</v>
      </c>
      <c r="F16" s="269" t="s">
        <v>189</v>
      </c>
      <c r="G16" s="6"/>
      <c r="H16" s="7">
        <v>52</v>
      </c>
      <c r="I16" s="7">
        <v>104</v>
      </c>
      <c r="J16" s="7">
        <v>104</v>
      </c>
      <c r="K16" s="7">
        <v>104</v>
      </c>
      <c r="L16" s="7">
        <v>72</v>
      </c>
      <c r="M16" s="7">
        <v>62</v>
      </c>
      <c r="N16" s="15"/>
      <c r="O16" s="14">
        <f t="shared" ref="O16" si="3">SUM(H16:N16)</f>
        <v>498</v>
      </c>
    </row>
    <row r="17" spans="1:15" ht="16.5" thickTop="1" thickBot="1">
      <c r="A17" s="280" t="str">
        <f t="shared" si="2"/>
        <v>4239-00</v>
      </c>
      <c r="B17" s="3"/>
      <c r="C17" s="3"/>
      <c r="D17" s="57" t="s">
        <v>190</v>
      </c>
      <c r="E17" s="5" t="s">
        <v>3</v>
      </c>
      <c r="F17" s="269"/>
      <c r="G17" s="6"/>
      <c r="H17" s="15"/>
      <c r="I17" s="15"/>
      <c r="J17" s="15"/>
      <c r="K17" s="15"/>
      <c r="L17" s="15"/>
      <c r="M17" s="15"/>
      <c r="N17" s="15"/>
      <c r="O17" s="16"/>
    </row>
    <row r="18" spans="1:15" ht="15.75" thickTop="1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6634-4381-4EF8-AF74-F14A8F9A605C}">
  <sheetPr>
    <tabColor theme="8" tint="-0.249977111117893"/>
  </sheetPr>
  <dimension ref="A1:O8"/>
  <sheetViews>
    <sheetView workbookViewId="0">
      <selection activeCell="Z34" sqref="Z34:Z36"/>
    </sheetView>
  </sheetViews>
  <sheetFormatPr defaultColWidth="11.42578125" defaultRowHeight="15"/>
  <cols>
    <col min="1" max="1" width="8.5703125" bestFit="1" customWidth="1"/>
    <col min="2" max="2" width="10.85546875" bestFit="1" customWidth="1"/>
    <col min="3" max="3" width="5.140625" bestFit="1" customWidth="1"/>
    <col min="4" max="4" width="11.140625" bestFit="1" customWidth="1"/>
    <col min="5" max="5" width="5.42578125" bestFit="1" customWidth="1"/>
    <col min="6" max="6" width="9.85546875" bestFit="1" customWidth="1"/>
    <col min="7" max="7" width="3.28515625" bestFit="1" customWidth="1"/>
    <col min="8" max="13" width="6.28515625" bestFit="1" customWidth="1"/>
    <col min="15" max="15" width="6.7109375" bestFit="1" customWidth="1"/>
  </cols>
  <sheetData>
    <row r="1" spans="1:15" ht="15.75" thickBot="1"/>
    <row r="2" spans="1:15" ht="16.5" thickTop="1" thickBot="1">
      <c r="A2" s="42" t="s">
        <v>7</v>
      </c>
      <c r="B2" s="125" t="s">
        <v>8</v>
      </c>
      <c r="C2" s="125"/>
      <c r="D2" s="125"/>
      <c r="E2" s="77" t="s">
        <v>9</v>
      </c>
      <c r="F2" s="124"/>
      <c r="G2" s="124"/>
      <c r="H2" s="77"/>
      <c r="I2" s="77"/>
      <c r="J2" s="77"/>
      <c r="K2" s="77"/>
      <c r="L2" s="77"/>
      <c r="M2" s="77"/>
      <c r="N2" s="77"/>
      <c r="O2" s="77"/>
    </row>
    <row r="3" spans="1:15" ht="16.5" thickTop="1" thickBot="1">
      <c r="A3" s="32" t="s">
        <v>191</v>
      </c>
      <c r="B3" s="126" t="s">
        <v>36</v>
      </c>
      <c r="C3" s="127" t="s">
        <v>12</v>
      </c>
      <c r="D3" s="127" t="s">
        <v>13</v>
      </c>
      <c r="E3" s="128"/>
      <c r="F3" s="129" t="s">
        <v>14</v>
      </c>
      <c r="G3" s="130">
        <v>34</v>
      </c>
      <c r="H3" s="130">
        <v>36</v>
      </c>
      <c r="I3" s="130">
        <v>38</v>
      </c>
      <c r="J3" s="130">
        <v>40</v>
      </c>
      <c r="K3" s="130">
        <v>42</v>
      </c>
      <c r="L3" s="130">
        <v>44</v>
      </c>
      <c r="M3" s="130">
        <v>46</v>
      </c>
      <c r="N3" s="130"/>
      <c r="O3" s="76" t="s">
        <v>15</v>
      </c>
    </row>
    <row r="4" spans="1:15" ht="16.5" thickTop="1" thickBot="1">
      <c r="A4" s="33" t="str">
        <f t="shared" ref="A4:A7" si="0">+A3</f>
        <v>4240-00</v>
      </c>
      <c r="B4" s="131" t="s">
        <v>16</v>
      </c>
      <c r="C4" s="131"/>
      <c r="D4" s="131" t="str">
        <f>+B3</f>
        <v>B2868-V3</v>
      </c>
      <c r="E4" s="132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16.5" thickTop="1" thickBot="1">
      <c r="A5" s="33" t="str">
        <f t="shared" si="0"/>
        <v>4240-00</v>
      </c>
      <c r="B5" s="133">
        <v>45971</v>
      </c>
      <c r="C5" s="134" t="s">
        <v>17</v>
      </c>
      <c r="D5" s="134" t="s">
        <v>18</v>
      </c>
      <c r="E5" s="135" t="s">
        <v>3</v>
      </c>
      <c r="F5" s="136" t="s">
        <v>192</v>
      </c>
      <c r="G5" s="137"/>
      <c r="H5" s="138">
        <v>7</v>
      </c>
      <c r="I5" s="138"/>
      <c r="J5" s="138">
        <v>14</v>
      </c>
      <c r="K5" s="138">
        <v>21</v>
      </c>
      <c r="L5" s="138">
        <v>21</v>
      </c>
      <c r="M5" s="138">
        <v>4</v>
      </c>
      <c r="N5" s="139"/>
      <c r="O5" s="73">
        <f t="shared" ref="O5:O6" si="1">SUM(H5:N5)</f>
        <v>67</v>
      </c>
    </row>
    <row r="6" spans="1:15" ht="16.5" thickTop="1" thickBot="1">
      <c r="A6" s="33" t="str">
        <f t="shared" si="0"/>
        <v>4240-00</v>
      </c>
      <c r="B6" s="133">
        <v>46043</v>
      </c>
      <c r="C6" s="133"/>
      <c r="D6" s="144" t="s">
        <v>193</v>
      </c>
      <c r="E6" s="135" t="s">
        <v>3</v>
      </c>
      <c r="F6" s="141" t="s">
        <v>194</v>
      </c>
      <c r="G6" s="142"/>
      <c r="H6" s="138">
        <v>70</v>
      </c>
      <c r="I6" s="138">
        <v>110</v>
      </c>
      <c r="J6" s="138">
        <v>110</v>
      </c>
      <c r="K6" s="138">
        <v>90</v>
      </c>
      <c r="L6" s="138">
        <v>70</v>
      </c>
      <c r="M6" s="138">
        <v>60</v>
      </c>
      <c r="N6" s="143"/>
      <c r="O6" s="73">
        <f t="shared" si="1"/>
        <v>510</v>
      </c>
    </row>
    <row r="7" spans="1:15" ht="16.5" thickTop="1" thickBot="1">
      <c r="A7" s="33" t="str">
        <f t="shared" si="0"/>
        <v>4240-00</v>
      </c>
      <c r="B7" s="133"/>
      <c r="C7" s="133"/>
      <c r="D7" s="144" t="s">
        <v>72</v>
      </c>
      <c r="E7" s="135" t="s">
        <v>3</v>
      </c>
      <c r="F7" s="141"/>
      <c r="G7" s="142"/>
      <c r="H7" s="143"/>
      <c r="I7" s="143"/>
      <c r="J7" s="143"/>
      <c r="K7" s="143"/>
      <c r="L7" s="143"/>
      <c r="M7" s="143"/>
      <c r="N7" s="143"/>
      <c r="O7" s="150"/>
    </row>
    <row r="8" spans="1:15" ht="19.5" thickTop="1">
      <c r="O8" s="161">
        <f>SUM(O5:O7)</f>
        <v>577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F2BA-2030-41F4-9B9B-2345A00FB6F6}">
  <sheetPr>
    <tabColor theme="8" tint="-0.249977111117893"/>
  </sheetPr>
  <dimension ref="A1:O7"/>
  <sheetViews>
    <sheetView workbookViewId="0">
      <selection activeCell="A2" sqref="A2:O6"/>
    </sheetView>
  </sheetViews>
  <sheetFormatPr defaultColWidth="11.42578125" defaultRowHeight="15"/>
  <cols>
    <col min="1" max="1" width="8.5703125" bestFit="1" customWidth="1"/>
    <col min="2" max="2" width="9" bestFit="1" customWidth="1"/>
    <col min="3" max="3" width="4.5703125" bestFit="1" customWidth="1"/>
    <col min="4" max="4" width="12.7109375" bestFit="1" customWidth="1"/>
    <col min="5" max="5" width="5.5703125" bestFit="1" customWidth="1"/>
    <col min="6" max="6" width="12.42578125" bestFit="1" customWidth="1"/>
    <col min="7" max="7" width="3.28515625" bestFit="1" customWidth="1"/>
    <col min="8" max="13" width="6.28515625" bestFit="1" customWidth="1"/>
    <col min="15" max="15" width="6.2851562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198</v>
      </c>
      <c r="B3" s="38" t="s">
        <v>95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6" si="0">+A3</f>
        <v>4243-00</v>
      </c>
      <c r="B4" s="39" t="s">
        <v>16</v>
      </c>
      <c r="C4" s="39"/>
      <c r="D4" s="39" t="str">
        <f>+B3</f>
        <v>New Glue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>
        <f>SUM(H4:N4)</f>
        <v>0</v>
      </c>
    </row>
    <row r="5" spans="1:15" ht="20.25" thickTop="1" thickBot="1">
      <c r="A5" s="33" t="str">
        <f t="shared" si="0"/>
        <v>4243-00</v>
      </c>
      <c r="B5" s="3">
        <v>45987</v>
      </c>
      <c r="C5" s="4" t="s">
        <v>17</v>
      </c>
      <c r="D5" s="4" t="s">
        <v>18</v>
      </c>
      <c r="E5" s="5" t="s">
        <v>3</v>
      </c>
      <c r="F5" s="29" t="s">
        <v>199</v>
      </c>
      <c r="G5" s="2"/>
      <c r="H5" s="7">
        <v>32</v>
      </c>
      <c r="I5" s="7">
        <v>40</v>
      </c>
      <c r="J5" s="7">
        <v>47</v>
      </c>
      <c r="K5" s="7">
        <v>41</v>
      </c>
      <c r="L5" s="7">
        <v>37</v>
      </c>
      <c r="M5" s="7">
        <v>19</v>
      </c>
      <c r="N5" s="8"/>
      <c r="O5" s="14">
        <f t="shared" ref="O5:O6" si="1">SUM(H5:N5)</f>
        <v>216</v>
      </c>
    </row>
    <row r="6" spans="1:15" ht="20.25" thickTop="1" thickBot="1">
      <c r="A6" s="33" t="str">
        <f t="shared" si="0"/>
        <v>4243-00</v>
      </c>
      <c r="B6" s="3"/>
      <c r="C6" s="3"/>
      <c r="D6" s="53" t="s">
        <v>201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15.75" thickTop="1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BBA0-D5EB-445D-AE23-9CEE3A586B00}">
  <sheetPr>
    <tabColor theme="8" tint="-0.249977111117893"/>
  </sheetPr>
  <dimension ref="A1:O7"/>
  <sheetViews>
    <sheetView workbookViewId="0">
      <selection activeCell="I20" sqref="I20"/>
    </sheetView>
  </sheetViews>
  <sheetFormatPr defaultColWidth="11.42578125" defaultRowHeight="15"/>
  <cols>
    <col min="1" max="1" width="8.5703125" bestFit="1" customWidth="1"/>
    <col min="2" max="2" width="9" bestFit="1" customWidth="1"/>
    <col min="3" max="3" width="4.5703125" bestFit="1" customWidth="1"/>
    <col min="4" max="4" width="19.140625" bestFit="1" customWidth="1"/>
    <col min="5" max="5" width="5.5703125" bestFit="1" customWidth="1"/>
    <col min="6" max="6" width="11.85546875" bestFit="1" customWidth="1"/>
    <col min="7" max="7" width="3.28515625" bestFit="1" customWidth="1"/>
    <col min="8" max="13" width="6.28515625" bestFit="1" customWidth="1"/>
    <col min="14" max="14" width="5.85546875" customWidth="1"/>
    <col min="15" max="15" width="6.2851562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203</v>
      </c>
      <c r="B3" s="38" t="s">
        <v>11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6" si="0">+A3</f>
        <v>4244-00</v>
      </c>
      <c r="B4" s="39" t="s">
        <v>16</v>
      </c>
      <c r="C4" s="39"/>
      <c r="D4" s="39" t="str">
        <f>+B3</f>
        <v>Ibiza Blue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>
        <f>SUM(H4:N4)</f>
        <v>0</v>
      </c>
    </row>
    <row r="5" spans="1:15" ht="20.25" thickTop="1" thickBot="1">
      <c r="A5" s="33" t="str">
        <f t="shared" si="0"/>
        <v>4244-00</v>
      </c>
      <c r="B5" s="3"/>
      <c r="C5" s="4" t="s">
        <v>17</v>
      </c>
      <c r="D5" s="4" t="s">
        <v>18</v>
      </c>
      <c r="E5" s="5" t="s">
        <v>3</v>
      </c>
      <c r="F5" s="29" t="s">
        <v>204</v>
      </c>
      <c r="G5" s="2"/>
      <c r="H5" s="7">
        <v>44</v>
      </c>
      <c r="I5" s="7">
        <v>55</v>
      </c>
      <c r="J5" s="7">
        <v>57</v>
      </c>
      <c r="K5" s="7">
        <v>61</v>
      </c>
      <c r="L5" s="7">
        <v>26</v>
      </c>
      <c r="M5" s="7">
        <v>7</v>
      </c>
      <c r="N5" s="8"/>
      <c r="O5" s="94">
        <f t="shared" ref="O5" si="1">SUM(H5:N5)</f>
        <v>250</v>
      </c>
    </row>
    <row r="6" spans="1:15" ht="20.25" thickTop="1" thickBot="1">
      <c r="A6" s="33" t="str">
        <f t="shared" si="0"/>
        <v>4244-00</v>
      </c>
      <c r="B6" s="3"/>
      <c r="C6" s="3"/>
      <c r="D6" s="53" t="s">
        <v>205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/>
    </row>
    <row r="7" spans="1:15" ht="15.75" thickTop="1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E6FD-FBBD-453C-ABD5-ACB28D8D7297}">
  <sheetPr>
    <tabColor theme="8" tint="-0.249977111117893"/>
  </sheetPr>
  <dimension ref="A1:O11"/>
  <sheetViews>
    <sheetView workbookViewId="0">
      <selection activeCell="R18" sqref="R18"/>
    </sheetView>
  </sheetViews>
  <sheetFormatPr defaultColWidth="11.42578125" defaultRowHeight="15"/>
  <cols>
    <col min="1" max="1" width="8.5703125" bestFit="1" customWidth="1"/>
    <col min="2" max="2" width="9.42578125" bestFit="1" customWidth="1"/>
    <col min="3" max="3" width="4.5703125" bestFit="1" customWidth="1"/>
    <col min="4" max="4" width="9.28515625" bestFit="1" customWidth="1"/>
    <col min="5" max="5" width="5.5703125" bestFit="1" customWidth="1"/>
    <col min="6" max="6" width="13.28515625" bestFit="1" customWidth="1"/>
    <col min="7" max="7" width="3.28515625" bestFit="1" customWidth="1"/>
    <col min="8" max="12" width="4.140625" bestFit="1" customWidth="1"/>
    <col min="13" max="13" width="3.28515625" bestFit="1" customWidth="1"/>
    <col min="15" max="15" width="5.710937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206</v>
      </c>
      <c r="B3" s="38" t="s">
        <v>36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10" si="0">+A3</f>
        <v>4245-00</v>
      </c>
      <c r="B4" s="39" t="s">
        <v>16</v>
      </c>
      <c r="C4" s="39"/>
      <c r="D4" s="39" t="str">
        <f>+B3</f>
        <v>B2868-V3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/>
    </row>
    <row r="5" spans="1:15" ht="20.25" thickTop="1" thickBot="1">
      <c r="A5" s="33" t="str">
        <f t="shared" si="0"/>
        <v>4245-00</v>
      </c>
      <c r="B5" s="3"/>
      <c r="C5" s="4" t="s">
        <v>17</v>
      </c>
      <c r="D5" s="4" t="s">
        <v>18</v>
      </c>
      <c r="E5" s="5" t="s">
        <v>3</v>
      </c>
      <c r="F5" s="29" t="s">
        <v>207</v>
      </c>
      <c r="G5" s="2"/>
      <c r="H5" s="7">
        <v>18</v>
      </c>
      <c r="I5" s="7">
        <v>30</v>
      </c>
      <c r="J5" s="7">
        <v>29</v>
      </c>
      <c r="K5" s="7">
        <v>30</v>
      </c>
      <c r="L5" s="7">
        <v>23</v>
      </c>
      <c r="M5" s="7">
        <v>7</v>
      </c>
      <c r="N5" s="8"/>
      <c r="O5" s="14">
        <f t="shared" ref="O5:O9" si="1">SUM(H5:N5)</f>
        <v>137</v>
      </c>
    </row>
    <row r="6" spans="1:15" ht="20.25" thickTop="1" thickBot="1">
      <c r="A6" s="33" t="str">
        <f t="shared" si="0"/>
        <v>4245-00</v>
      </c>
      <c r="B6" s="3"/>
      <c r="C6" s="3"/>
      <c r="D6" s="53" t="s">
        <v>208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20.25" thickTop="1" thickBot="1">
      <c r="A7" s="33" t="str">
        <f t="shared" si="0"/>
        <v>4245-00</v>
      </c>
      <c r="B7" s="3"/>
      <c r="C7" s="3"/>
      <c r="D7" s="3"/>
      <c r="E7" s="5" t="s">
        <v>3</v>
      </c>
      <c r="F7" s="62" t="s">
        <v>72</v>
      </c>
      <c r="G7" s="6"/>
      <c r="H7" s="15"/>
      <c r="I7" s="15"/>
      <c r="J7" s="15"/>
      <c r="K7" s="15"/>
      <c r="L7" s="15"/>
      <c r="M7" s="15"/>
      <c r="N7" s="15"/>
      <c r="O7" s="16">
        <f t="shared" si="1"/>
        <v>0</v>
      </c>
    </row>
    <row r="8" spans="1:15" ht="20.25" thickTop="1" thickBot="1">
      <c r="A8" s="33" t="str">
        <f t="shared" si="0"/>
        <v>4245-00</v>
      </c>
      <c r="B8" s="3"/>
      <c r="C8" s="3"/>
      <c r="D8" s="3"/>
      <c r="E8" s="5" t="s">
        <v>3</v>
      </c>
      <c r="F8" s="31"/>
      <c r="G8" s="6"/>
      <c r="H8" s="8"/>
      <c r="I8" s="8"/>
      <c r="J8" s="8"/>
      <c r="K8" s="8"/>
      <c r="L8" s="8"/>
      <c r="M8" s="8"/>
      <c r="N8" s="15"/>
      <c r="O8" s="16">
        <f t="shared" si="1"/>
        <v>0</v>
      </c>
    </row>
    <row r="9" spans="1:15" ht="20.25" thickTop="1" thickBot="1">
      <c r="A9" s="34" t="str">
        <f t="shared" si="0"/>
        <v>4245-00</v>
      </c>
      <c r="B9" s="19"/>
      <c r="C9" s="19"/>
      <c r="D9" s="19"/>
      <c r="E9" s="20" t="s">
        <v>3</v>
      </c>
      <c r="F9" s="30"/>
      <c r="G9" s="21"/>
      <c r="H9" s="22"/>
      <c r="I9" s="22"/>
      <c r="J9" s="22"/>
      <c r="K9" s="22"/>
      <c r="L9" s="22"/>
      <c r="M9" s="22"/>
      <c r="N9" s="22"/>
      <c r="O9" s="23">
        <f t="shared" si="1"/>
        <v>0</v>
      </c>
    </row>
    <row r="10" spans="1:15" ht="16.5" thickTop="1" thickBot="1">
      <c r="A10" s="46" t="str">
        <f t="shared" si="0"/>
        <v>4245-00</v>
      </c>
      <c r="B10" s="47"/>
      <c r="C10" s="47"/>
      <c r="D10" s="47"/>
      <c r="E10" s="48" t="s">
        <v>23</v>
      </c>
      <c r="F10" s="49" t="str">
        <f>+B3</f>
        <v>B2868-V3</v>
      </c>
      <c r="G10" s="48"/>
      <c r="H10" s="48"/>
      <c r="I10" s="48"/>
      <c r="J10" s="48"/>
      <c r="K10" s="48"/>
      <c r="L10" s="48"/>
      <c r="M10" s="48"/>
      <c r="N10" s="48"/>
      <c r="O10" s="48"/>
    </row>
    <row r="11" spans="1:15" ht="15.75" thickTop="1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9132-84F4-4143-84AC-C0605E059EDB}">
  <sheetPr>
    <tabColor theme="8" tint="-0.249977111117893"/>
  </sheetPr>
  <dimension ref="A1:O7"/>
  <sheetViews>
    <sheetView workbookViewId="0">
      <selection activeCell="A2" sqref="A2:O6"/>
    </sheetView>
  </sheetViews>
  <sheetFormatPr defaultColWidth="11.42578125" defaultRowHeight="15"/>
  <cols>
    <col min="1" max="1" width="8.5703125" bestFit="1" customWidth="1"/>
    <col min="2" max="2" width="7.42578125" bestFit="1" customWidth="1"/>
    <col min="3" max="3" width="4.5703125" bestFit="1" customWidth="1"/>
    <col min="4" max="4" width="12.7109375" bestFit="1" customWidth="1"/>
    <col min="5" max="5" width="5" bestFit="1" customWidth="1"/>
    <col min="6" max="6" width="11.85546875" bestFit="1" customWidth="1"/>
    <col min="7" max="13" width="3.28515625" bestFit="1" customWidth="1"/>
    <col min="15" max="15" width="5.7109375" bestFit="1" customWidth="1"/>
  </cols>
  <sheetData>
    <row r="1" spans="1:15" ht="15.75" thickBot="1"/>
    <row r="2" spans="1:15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15" ht="17.25" thickTop="1" thickBot="1">
      <c r="A3" s="32" t="s">
        <v>209</v>
      </c>
      <c r="B3" s="38" t="s">
        <v>50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15" ht="16.5" thickTop="1" thickBot="1">
      <c r="A4" s="33" t="str">
        <f t="shared" ref="A4:A6" si="0">+A3</f>
        <v>4246-00</v>
      </c>
      <c r="B4" s="39" t="s">
        <v>16</v>
      </c>
      <c r="C4" s="39"/>
      <c r="D4" s="39" t="str">
        <f>+B3</f>
        <v>Ayla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>
        <f>SUM(H4:N4)</f>
        <v>0</v>
      </c>
    </row>
    <row r="5" spans="1:15" ht="20.25" thickTop="1" thickBot="1">
      <c r="A5" s="33" t="str">
        <f t="shared" si="0"/>
        <v>4246-00</v>
      </c>
      <c r="B5" s="3">
        <v>45933</v>
      </c>
      <c r="C5" s="4" t="s">
        <v>17</v>
      </c>
      <c r="D5" s="9" t="s">
        <v>38</v>
      </c>
      <c r="E5" s="5" t="s">
        <v>3</v>
      </c>
      <c r="F5" s="29" t="s">
        <v>210</v>
      </c>
      <c r="G5" s="2"/>
      <c r="H5" s="7">
        <v>17</v>
      </c>
      <c r="I5" s="7">
        <v>29</v>
      </c>
      <c r="J5" s="7">
        <v>48</v>
      </c>
      <c r="K5" s="7">
        <v>40</v>
      </c>
      <c r="L5" s="7">
        <v>29</v>
      </c>
      <c r="M5" s="7">
        <v>15</v>
      </c>
      <c r="N5" s="8"/>
      <c r="O5" s="59">
        <f t="shared" ref="O5:O6" si="1">SUM(H5:N5)</f>
        <v>178</v>
      </c>
    </row>
    <row r="6" spans="1:15" ht="20.25" thickTop="1" thickBot="1">
      <c r="A6" s="33" t="str">
        <f t="shared" si="0"/>
        <v>4246-00</v>
      </c>
      <c r="B6" s="3"/>
      <c r="C6" s="3"/>
      <c r="D6" s="53" t="s">
        <v>211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15" ht="15.75" thickTop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5C6F-6060-438F-A203-F88420B481AD}">
  <sheetPr>
    <tabColor theme="8" tint="-0.249977111117893"/>
  </sheetPr>
  <dimension ref="A1:W21"/>
  <sheetViews>
    <sheetView workbookViewId="0">
      <selection activeCell="K24" sqref="K24"/>
    </sheetView>
  </sheetViews>
  <sheetFormatPr defaultColWidth="11.42578125" defaultRowHeight="15"/>
  <cols>
    <col min="1" max="1" width="8.5703125" bestFit="1" customWidth="1"/>
    <col min="2" max="2" width="9" bestFit="1" customWidth="1"/>
    <col min="3" max="3" width="4.5703125" bestFit="1" customWidth="1"/>
    <col min="4" max="4" width="12.7109375" bestFit="1" customWidth="1"/>
    <col min="5" max="5" width="5.5703125" bestFit="1" customWidth="1"/>
    <col min="6" max="6" width="11.85546875" bestFit="1" customWidth="1"/>
    <col min="7" max="7" width="3.28515625" bestFit="1" customWidth="1"/>
    <col min="8" max="13" width="6.28515625" bestFit="1" customWidth="1"/>
    <col min="15" max="15" width="6.28515625" bestFit="1" customWidth="1"/>
  </cols>
  <sheetData>
    <row r="1" spans="1:23" ht="15.75" thickBot="1"/>
    <row r="2" spans="1:23" ht="16.5" thickTop="1" thickBot="1">
      <c r="A2" s="42" t="s">
        <v>7</v>
      </c>
      <c r="B2" s="43" t="s">
        <v>8</v>
      </c>
      <c r="C2" s="43"/>
      <c r="D2" s="43"/>
      <c r="E2" s="44" t="s">
        <v>9</v>
      </c>
      <c r="F2" s="45"/>
      <c r="G2" s="45"/>
      <c r="H2" s="44"/>
      <c r="I2" s="44"/>
      <c r="J2" s="44"/>
      <c r="K2" s="44"/>
      <c r="L2" s="44"/>
      <c r="M2" s="44"/>
      <c r="N2" s="44"/>
      <c r="O2" s="44"/>
    </row>
    <row r="3" spans="1:23" ht="17.25" thickTop="1" thickBot="1">
      <c r="A3" s="32" t="s">
        <v>212</v>
      </c>
      <c r="B3" s="38" t="s">
        <v>11</v>
      </c>
      <c r="C3" s="9" t="s">
        <v>12</v>
      </c>
      <c r="D3" s="9" t="s">
        <v>13</v>
      </c>
      <c r="E3" s="10"/>
      <c r="F3" s="11" t="s">
        <v>14</v>
      </c>
      <c r="G3" s="12">
        <v>34</v>
      </c>
      <c r="H3" s="12">
        <v>36</v>
      </c>
      <c r="I3" s="12">
        <v>38</v>
      </c>
      <c r="J3" s="12">
        <v>40</v>
      </c>
      <c r="K3" s="12">
        <v>42</v>
      </c>
      <c r="L3" s="12">
        <v>44</v>
      </c>
      <c r="M3" s="12">
        <v>46</v>
      </c>
      <c r="N3" s="12"/>
      <c r="O3" s="13" t="s">
        <v>15</v>
      </c>
    </row>
    <row r="4" spans="1:23" ht="16.5" thickTop="1" thickBot="1">
      <c r="A4" s="33" t="str">
        <f t="shared" ref="A4:A6" si="0">+A3</f>
        <v>4247-00</v>
      </c>
      <c r="B4" s="39" t="s">
        <v>16</v>
      </c>
      <c r="C4" s="39"/>
      <c r="D4" s="39" t="str">
        <f>+B3</f>
        <v>Ibiza Blue</v>
      </c>
      <c r="E4" s="40"/>
      <c r="F4" s="41" t="s">
        <v>1</v>
      </c>
      <c r="G4" s="41"/>
      <c r="H4" s="50"/>
      <c r="I4" s="50"/>
      <c r="J4" s="50"/>
      <c r="K4" s="50"/>
      <c r="L4" s="50"/>
      <c r="M4" s="50"/>
      <c r="N4" s="50"/>
      <c r="O4" s="51">
        <f>SUM(H4:N4)</f>
        <v>0</v>
      </c>
    </row>
    <row r="5" spans="1:23" ht="20.25" thickTop="1" thickBot="1">
      <c r="A5" s="33" t="str">
        <f t="shared" si="0"/>
        <v>4247-00</v>
      </c>
      <c r="B5" s="3">
        <v>45980</v>
      </c>
      <c r="C5" s="4" t="s">
        <v>17</v>
      </c>
      <c r="D5" s="4" t="s">
        <v>213</v>
      </c>
      <c r="E5" s="5" t="s">
        <v>3</v>
      </c>
      <c r="F5" s="29" t="s">
        <v>214</v>
      </c>
      <c r="G5" s="2"/>
      <c r="H5" s="7">
        <v>52</v>
      </c>
      <c r="I5" s="7">
        <v>70</v>
      </c>
      <c r="J5" s="7">
        <v>79</v>
      </c>
      <c r="K5" s="7">
        <v>60</v>
      </c>
      <c r="L5" s="7">
        <v>54</v>
      </c>
      <c r="M5" s="7">
        <v>25</v>
      </c>
      <c r="N5" s="8"/>
      <c r="O5" s="14">
        <f t="shared" ref="O5:O6" si="1">SUM(H5:N5)</f>
        <v>340</v>
      </c>
    </row>
    <row r="6" spans="1:23" ht="20.25" thickTop="1" thickBot="1">
      <c r="A6" s="33" t="str">
        <f t="shared" si="0"/>
        <v>4247-00</v>
      </c>
      <c r="B6" s="3"/>
      <c r="C6" s="3"/>
      <c r="D6" s="53" t="s">
        <v>215</v>
      </c>
      <c r="E6" s="5" t="s">
        <v>3</v>
      </c>
      <c r="F6" s="31"/>
      <c r="G6" s="6"/>
      <c r="H6" s="7"/>
      <c r="I6" s="7"/>
      <c r="J6" s="7"/>
      <c r="K6" s="7"/>
      <c r="L6" s="7"/>
      <c r="M6" s="7"/>
      <c r="N6" s="15"/>
      <c r="O6" s="14">
        <f t="shared" si="1"/>
        <v>0</v>
      </c>
    </row>
    <row r="7" spans="1:23" ht="15.75" thickTop="1"/>
    <row r="11" spans="1:23" ht="15.75" thickBot="1"/>
    <row r="12" spans="1:23" ht="16.5" thickTop="1" thickBot="1">
      <c r="A12" s="274" t="s">
        <v>7</v>
      </c>
      <c r="B12" s="43" t="s">
        <v>8</v>
      </c>
      <c r="C12" s="43"/>
      <c r="D12" s="43"/>
      <c r="E12" s="44" t="s">
        <v>9</v>
      </c>
      <c r="F12" s="45"/>
      <c r="G12" s="45"/>
      <c r="H12" s="44"/>
      <c r="I12" s="44"/>
      <c r="J12" s="44"/>
      <c r="K12" s="44"/>
      <c r="L12" s="44"/>
      <c r="M12" s="44"/>
      <c r="N12" s="44"/>
      <c r="O12" s="44"/>
      <c r="Q12" s="74"/>
      <c r="R12" s="74"/>
      <c r="S12" s="74"/>
      <c r="T12" s="74"/>
      <c r="U12" s="74"/>
      <c r="V12" s="74"/>
      <c r="W12" s="74"/>
    </row>
    <row r="13" spans="1:23" ht="16.5" thickTop="1" thickBot="1">
      <c r="A13" s="278" t="s">
        <v>212</v>
      </c>
      <c r="B13" s="38" t="s">
        <v>11</v>
      </c>
      <c r="C13" s="9" t="s">
        <v>12</v>
      </c>
      <c r="D13" s="9" t="s">
        <v>13</v>
      </c>
      <c r="E13" s="10"/>
      <c r="F13" s="256" t="s">
        <v>14</v>
      </c>
      <c r="G13" s="257">
        <v>34</v>
      </c>
      <c r="H13" s="257">
        <v>36</v>
      </c>
      <c r="I13" s="257">
        <v>38</v>
      </c>
      <c r="J13" s="257">
        <v>40</v>
      </c>
      <c r="K13" s="257">
        <v>42</v>
      </c>
      <c r="L13" s="257">
        <v>44</v>
      </c>
      <c r="M13" s="257">
        <v>46</v>
      </c>
      <c r="N13" s="257"/>
      <c r="O13" s="258" t="s">
        <v>15</v>
      </c>
      <c r="Q13" s="7"/>
      <c r="R13" s="7"/>
      <c r="S13" s="7"/>
      <c r="T13" s="7"/>
      <c r="U13" s="7"/>
      <c r="V13" s="7"/>
      <c r="W13" s="399"/>
    </row>
    <row r="14" spans="1:23" ht="16.5" thickTop="1" thickBot="1">
      <c r="A14" s="280" t="s">
        <v>212</v>
      </c>
      <c r="B14" s="39" t="s">
        <v>16</v>
      </c>
      <c r="C14" s="39"/>
      <c r="D14" s="39" t="s">
        <v>11</v>
      </c>
      <c r="E14" s="40"/>
      <c r="F14" s="261" t="s">
        <v>1</v>
      </c>
      <c r="G14" s="261"/>
      <c r="H14" s="262"/>
      <c r="I14" s="262"/>
      <c r="J14" s="262"/>
      <c r="K14" s="262"/>
      <c r="L14" s="262"/>
      <c r="M14" s="262"/>
      <c r="N14" s="262"/>
      <c r="O14" s="263"/>
    </row>
    <row r="15" spans="1:23" ht="16.5" thickTop="1" thickBot="1">
      <c r="A15" s="280" t="s">
        <v>212</v>
      </c>
      <c r="B15" s="3">
        <v>45980</v>
      </c>
      <c r="C15" s="4" t="s">
        <v>17</v>
      </c>
      <c r="D15" s="4" t="s">
        <v>213</v>
      </c>
      <c r="E15" s="5" t="s">
        <v>3</v>
      </c>
      <c r="F15" s="265"/>
      <c r="G15" s="2"/>
      <c r="H15" s="7"/>
      <c r="I15" s="7"/>
      <c r="J15" s="7"/>
      <c r="K15" s="7"/>
      <c r="L15" s="7"/>
      <c r="M15" s="7"/>
      <c r="N15" s="8"/>
      <c r="O15" s="14"/>
    </row>
    <row r="16" spans="1:23" ht="17.25" thickTop="1" thickBot="1">
      <c r="A16" s="280" t="s">
        <v>212</v>
      </c>
      <c r="B16" s="3"/>
      <c r="C16" s="3"/>
      <c r="D16" s="57" t="s">
        <v>215</v>
      </c>
      <c r="E16" s="5" t="s">
        <v>3</v>
      </c>
      <c r="F16" s="400" t="s">
        <v>488</v>
      </c>
      <c r="G16" s="6"/>
      <c r="H16" s="7"/>
      <c r="I16" s="7"/>
      <c r="J16" s="7"/>
      <c r="K16" s="7"/>
      <c r="L16" s="7"/>
      <c r="M16" s="7"/>
      <c r="N16" s="15"/>
      <c r="O16" s="14">
        <v>0</v>
      </c>
      <c r="Q16" s="7"/>
      <c r="R16" s="7"/>
      <c r="S16" s="7"/>
      <c r="T16" s="7"/>
      <c r="U16" s="7"/>
      <c r="V16" s="7"/>
    </row>
    <row r="17" spans="1:22" ht="16.5" thickTop="1" thickBot="1">
      <c r="A17" s="280" t="s">
        <v>212</v>
      </c>
      <c r="B17" s="3">
        <v>46043</v>
      </c>
      <c r="C17" s="3"/>
      <c r="D17" s="3">
        <v>0</v>
      </c>
      <c r="E17" s="5" t="s">
        <v>3</v>
      </c>
      <c r="F17" s="269" t="s">
        <v>216</v>
      </c>
      <c r="G17" s="6"/>
      <c r="H17" s="7">
        <v>20</v>
      </c>
      <c r="I17" s="7">
        <v>50</v>
      </c>
      <c r="J17" s="7">
        <v>50</v>
      </c>
      <c r="K17" s="7">
        <v>60</v>
      </c>
      <c r="L17" s="7">
        <v>40</v>
      </c>
      <c r="M17" s="7">
        <v>45</v>
      </c>
      <c r="N17" s="15"/>
      <c r="O17" s="16">
        <f>SUM(G17:N17)</f>
        <v>265</v>
      </c>
    </row>
    <row r="18" spans="1:22" ht="16.5" thickTop="1" thickBot="1">
      <c r="A18" s="280" t="s">
        <v>212</v>
      </c>
      <c r="B18" s="3"/>
      <c r="C18" s="3"/>
      <c r="D18" s="3"/>
      <c r="E18" s="5" t="s">
        <v>3</v>
      </c>
      <c r="F18" s="269"/>
      <c r="G18" s="6"/>
      <c r="H18" s="8"/>
      <c r="I18" s="8"/>
      <c r="J18" s="8"/>
      <c r="K18" s="8"/>
      <c r="L18" s="8"/>
      <c r="M18" s="8"/>
      <c r="N18" s="15"/>
      <c r="O18" s="16">
        <v>0</v>
      </c>
      <c r="Q18" s="399"/>
      <c r="R18" s="399"/>
      <c r="S18" s="399"/>
      <c r="T18" s="399"/>
      <c r="U18" s="399"/>
      <c r="V18" s="399"/>
    </row>
    <row r="19" spans="1:22" ht="16.5" thickTop="1" thickBot="1">
      <c r="A19" s="283" t="s">
        <v>212</v>
      </c>
      <c r="B19" s="19"/>
      <c r="C19" s="19"/>
      <c r="D19" s="19"/>
      <c r="E19" s="20" t="s">
        <v>3</v>
      </c>
      <c r="F19" s="271"/>
      <c r="G19" s="21"/>
      <c r="H19" s="22"/>
      <c r="I19" s="22"/>
      <c r="J19" s="22"/>
      <c r="K19" s="22"/>
      <c r="L19" s="22"/>
      <c r="M19" s="22"/>
      <c r="N19" s="22"/>
      <c r="O19" s="23">
        <v>0</v>
      </c>
    </row>
    <row r="20" spans="1:22" ht="16.5" thickTop="1" thickBot="1">
      <c r="A20" s="284" t="s">
        <v>212</v>
      </c>
      <c r="B20" s="47"/>
      <c r="C20" s="47"/>
      <c r="D20" s="47"/>
      <c r="E20" s="48" t="s">
        <v>23</v>
      </c>
      <c r="F20" s="49" t="s">
        <v>11</v>
      </c>
      <c r="G20" s="48"/>
      <c r="H20" s="48"/>
      <c r="I20" s="48"/>
      <c r="J20" s="48"/>
      <c r="K20" s="48"/>
      <c r="L20" s="48"/>
      <c r="M20" s="48"/>
      <c r="N20" s="48"/>
      <c r="O20" s="48"/>
    </row>
    <row r="21" spans="1:22" ht="15.75" thickTop="1"/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ED4F-BE38-4A81-9EBB-30FCE42095AA}">
  <sheetPr>
    <tabColor theme="8" tint="-0.249977111117893"/>
  </sheetPr>
  <dimension ref="A1:O15"/>
  <sheetViews>
    <sheetView workbookViewId="0">
      <selection activeCell="P21" sqref="P21"/>
    </sheetView>
  </sheetViews>
  <sheetFormatPr defaultColWidth="11.42578125" defaultRowHeight="15"/>
  <cols>
    <col min="1" max="1" width="8.5703125" bestFit="1" customWidth="1"/>
    <col min="2" max="2" width="10.85546875" bestFit="1" customWidth="1"/>
    <col min="3" max="3" width="5.140625" bestFit="1" customWidth="1"/>
    <col min="4" max="4" width="10" bestFit="1" customWidth="1"/>
    <col min="5" max="5" width="5.42578125" bestFit="1" customWidth="1"/>
    <col min="6" max="6" width="6.7109375" bestFit="1" customWidth="1"/>
    <col min="7" max="13" width="3.28515625" bestFit="1" customWidth="1"/>
    <col min="15" max="15" width="6.7109375" bestFit="1" customWidth="1"/>
  </cols>
  <sheetData>
    <row r="1" spans="1:15" ht="16.5" thickTop="1" thickBot="1">
      <c r="A1" s="42" t="s">
        <v>7</v>
      </c>
      <c r="B1" s="125" t="s">
        <v>8</v>
      </c>
      <c r="C1" s="125"/>
      <c r="D1" s="125"/>
      <c r="E1" s="77" t="s">
        <v>9</v>
      </c>
      <c r="F1" s="124"/>
      <c r="G1" s="124"/>
      <c r="H1" s="77"/>
      <c r="I1" s="77"/>
      <c r="J1" s="77"/>
      <c r="K1" s="77"/>
      <c r="L1" s="77"/>
      <c r="M1" s="77"/>
      <c r="N1" s="77"/>
      <c r="O1" s="77"/>
    </row>
    <row r="2" spans="1:15" ht="16.5" thickTop="1" thickBot="1">
      <c r="A2" s="32" t="s">
        <v>217</v>
      </c>
      <c r="B2" s="126" t="s">
        <v>36</v>
      </c>
      <c r="C2" s="127" t="s">
        <v>12</v>
      </c>
      <c r="D2" s="127" t="s">
        <v>13</v>
      </c>
      <c r="E2" s="128"/>
      <c r="F2" s="129" t="s">
        <v>14</v>
      </c>
      <c r="G2" s="130">
        <v>34</v>
      </c>
      <c r="H2" s="130">
        <v>36</v>
      </c>
      <c r="I2" s="130">
        <v>38</v>
      </c>
      <c r="J2" s="130">
        <v>40</v>
      </c>
      <c r="K2" s="130">
        <v>42</v>
      </c>
      <c r="L2" s="130">
        <v>44</v>
      </c>
      <c r="M2" s="130">
        <v>46</v>
      </c>
      <c r="N2" s="130"/>
      <c r="O2" s="76" t="s">
        <v>15</v>
      </c>
    </row>
    <row r="3" spans="1:15" ht="16.5" thickTop="1" thickBot="1">
      <c r="A3" s="33" t="str">
        <f t="shared" ref="A3:A5" si="0">+A2</f>
        <v>4248-00</v>
      </c>
      <c r="B3" s="131" t="s">
        <v>16</v>
      </c>
      <c r="C3" s="131"/>
      <c r="D3" s="131" t="str">
        <f>+B2</f>
        <v>B2868-V3</v>
      </c>
      <c r="E3" s="132"/>
      <c r="F3" s="41" t="s">
        <v>1</v>
      </c>
      <c r="G3" s="41"/>
      <c r="H3" s="50"/>
      <c r="I3" s="50"/>
      <c r="J3" s="50"/>
      <c r="K3" s="50"/>
      <c r="L3" s="50"/>
      <c r="M3" s="50"/>
      <c r="N3" s="50"/>
      <c r="O3" s="51"/>
    </row>
    <row r="4" spans="1:15" ht="16.5" thickTop="1" thickBot="1">
      <c r="A4" s="33" t="str">
        <f t="shared" si="0"/>
        <v>4248-00</v>
      </c>
      <c r="B4" s="133">
        <v>46043</v>
      </c>
      <c r="C4" s="134" t="s">
        <v>17</v>
      </c>
      <c r="D4" s="134" t="s">
        <v>213</v>
      </c>
      <c r="E4" s="135" t="s">
        <v>3</v>
      </c>
      <c r="F4" s="136">
        <v>11548</v>
      </c>
      <c r="G4" s="137"/>
      <c r="H4" s="138">
        <f>50-H13</f>
        <v>34</v>
      </c>
      <c r="I4" s="138">
        <f>100-I13</f>
        <v>76</v>
      </c>
      <c r="J4" s="138">
        <f>120-J13</f>
        <v>77</v>
      </c>
      <c r="K4" s="138">
        <f>100-K13</f>
        <v>76</v>
      </c>
      <c r="L4" s="138">
        <f>90-L13</f>
        <v>57</v>
      </c>
      <c r="M4" s="138">
        <f>60-M13</f>
        <v>45</v>
      </c>
      <c r="N4" s="139"/>
      <c r="O4" s="73">
        <f t="shared" ref="O4" si="1">SUM(H4:N4)</f>
        <v>365</v>
      </c>
    </row>
    <row r="5" spans="1:15" ht="16.5" thickTop="1" thickBot="1">
      <c r="A5" s="33" t="str">
        <f t="shared" si="0"/>
        <v>4248-00</v>
      </c>
      <c r="B5" s="133"/>
      <c r="C5" s="133"/>
      <c r="D5" s="133"/>
      <c r="E5" s="135" t="s">
        <v>3</v>
      </c>
      <c r="F5" s="141"/>
      <c r="G5" s="142"/>
      <c r="H5" s="138"/>
      <c r="I5" s="138"/>
      <c r="J5" s="138"/>
      <c r="K5" s="138"/>
      <c r="L5" s="138"/>
      <c r="M5" s="138"/>
      <c r="N5" s="143"/>
      <c r="O5" s="73"/>
    </row>
    <row r="6" spans="1:15" ht="15.75" thickTop="1">
      <c r="O6" s="74"/>
    </row>
    <row r="7" spans="1:15">
      <c r="O7" s="74"/>
    </row>
    <row r="8" spans="1:15">
      <c r="O8" s="74"/>
    </row>
    <row r="9" spans="1:15" ht="15.75" thickBot="1">
      <c r="O9" s="74"/>
    </row>
    <row r="10" spans="1:15" ht="16.5" thickTop="1" thickBot="1">
      <c r="A10" s="42" t="s">
        <v>7</v>
      </c>
      <c r="B10" s="125" t="s">
        <v>8</v>
      </c>
      <c r="C10" s="125"/>
      <c r="D10" s="125"/>
      <c r="E10" s="77" t="s">
        <v>9</v>
      </c>
      <c r="F10" s="124"/>
      <c r="G10" s="124"/>
      <c r="H10" s="77"/>
      <c r="I10" s="77"/>
      <c r="J10" s="77"/>
      <c r="K10" s="77"/>
      <c r="L10" s="77"/>
      <c r="M10" s="77"/>
      <c r="N10" s="77"/>
      <c r="O10" s="77"/>
    </row>
    <row r="11" spans="1:15" ht="16.5" thickTop="1" thickBot="1">
      <c r="A11" s="32" t="s">
        <v>218</v>
      </c>
      <c r="B11" s="126" t="s">
        <v>36</v>
      </c>
      <c r="C11" s="127" t="s">
        <v>12</v>
      </c>
      <c r="D11" s="127" t="s">
        <v>13</v>
      </c>
      <c r="E11" s="128"/>
      <c r="F11" s="129" t="s">
        <v>14</v>
      </c>
      <c r="G11" s="130">
        <v>34</v>
      </c>
      <c r="H11" s="130">
        <v>36</v>
      </c>
      <c r="I11" s="130">
        <v>38</v>
      </c>
      <c r="J11" s="130">
        <v>40</v>
      </c>
      <c r="K11" s="130">
        <v>42</v>
      </c>
      <c r="L11" s="130">
        <v>44</v>
      </c>
      <c r="M11" s="130">
        <v>46</v>
      </c>
      <c r="N11" s="130"/>
      <c r="O11" s="76" t="s">
        <v>15</v>
      </c>
    </row>
    <row r="12" spans="1:15" ht="16.5" thickTop="1" thickBot="1">
      <c r="A12" s="33" t="str">
        <f t="shared" ref="A12:A14" si="2">+A11</f>
        <v>4248-01</v>
      </c>
      <c r="B12" s="131" t="s">
        <v>16</v>
      </c>
      <c r="C12" s="131"/>
      <c r="D12" s="131" t="str">
        <f>+B11</f>
        <v>B2868-V3</v>
      </c>
      <c r="E12" s="132"/>
      <c r="F12" s="41" t="s">
        <v>1</v>
      </c>
      <c r="G12" s="41"/>
      <c r="H12" s="50"/>
      <c r="I12" s="50"/>
      <c r="J12" s="50"/>
      <c r="K12" s="50"/>
      <c r="L12" s="50"/>
      <c r="M12" s="50"/>
      <c r="N12" s="50"/>
      <c r="O12" s="51"/>
    </row>
    <row r="13" spans="1:15" ht="16.5" thickTop="1" thickBot="1">
      <c r="A13" s="33" t="str">
        <f t="shared" si="2"/>
        <v>4248-01</v>
      </c>
      <c r="B13" s="133"/>
      <c r="C13" s="134" t="s">
        <v>17</v>
      </c>
      <c r="D13" s="134" t="s">
        <v>213</v>
      </c>
      <c r="E13" s="135" t="s">
        <v>3</v>
      </c>
      <c r="F13" s="136">
        <v>11548</v>
      </c>
      <c r="G13" s="137"/>
      <c r="H13" s="138">
        <v>16</v>
      </c>
      <c r="I13" s="138">
        <v>24</v>
      </c>
      <c r="J13" s="138">
        <v>43</v>
      </c>
      <c r="K13" s="138">
        <v>24</v>
      </c>
      <c r="L13" s="138">
        <v>33</v>
      </c>
      <c r="M13" s="138">
        <v>15</v>
      </c>
      <c r="N13" s="139"/>
      <c r="O13" s="73">
        <f t="shared" ref="O13" si="3">SUM(H13:N13)</f>
        <v>155</v>
      </c>
    </row>
    <row r="14" spans="1:15" ht="16.5" thickTop="1" thickBot="1">
      <c r="A14" s="33" t="str">
        <f t="shared" si="2"/>
        <v>4248-01</v>
      </c>
      <c r="B14" s="133"/>
      <c r="C14" s="133"/>
      <c r="D14" s="133"/>
      <c r="E14" s="135" t="s">
        <v>3</v>
      </c>
      <c r="F14" s="141"/>
      <c r="G14" s="142"/>
      <c r="H14" s="138"/>
      <c r="I14" s="138"/>
      <c r="J14" s="138"/>
      <c r="K14" s="138"/>
      <c r="L14" s="138"/>
      <c r="M14" s="138"/>
      <c r="N14" s="143"/>
      <c r="O14" s="73"/>
    </row>
    <row r="15" spans="1:15" ht="19.5" thickTop="1">
      <c r="O15" s="75">
        <f>SUM(O1:O14)</f>
        <v>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C1B57-9C59-475D-9287-045732CE3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2026-03-27T12:35:01Z</dcterms:modified>
  <cp:category/>
  <cp:contentStatus/>
</cp:coreProperties>
</file>